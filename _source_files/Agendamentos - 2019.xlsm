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715" codeName="{54D0D2CB-4C12-4D6E-6EDF-ACB5E8E520A3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D:\Junior &amp; Cris\Desktop\"/>
    </mc:Choice>
  </mc:AlternateContent>
  <xr:revisionPtr revIDLastSave="0" documentId="13_ncr:1_{603AF196-E2D5-4FFB-A245-D54F3C88EE03}" xr6:coauthVersionLast="43" xr6:coauthVersionMax="43" xr10:uidLastSave="{00000000-0000-0000-0000-000000000000}"/>
  <bookViews>
    <workbookView xWindow="-120" yWindow="-120" windowWidth="20730" windowHeight="11310" tabRatio="606" xr2:uid="{00000000-000D-0000-FFFF-FFFF00000000}"/>
  </bookViews>
  <sheets>
    <sheet name="agendamentos" sheetId="1" r:id="rId1"/>
    <sheet name="escala - limpeza" sheetId="3" r:id="rId2"/>
    <sheet name="Historico" sheetId="5" r:id="rId3"/>
    <sheet name="contagem café" sheetId="4" state="hidden" r:id="rId4"/>
  </sheets>
  <functionGroups builtInGroupCount="19"/>
  <definedNames>
    <definedName name="_xlnm._FilterDatabase" localSheetId="0" hidden="1">agendamentos!$A$1:$L$547</definedName>
    <definedName name="_xlnm.Print_Area" localSheetId="0">agendamentos!$A$1:$K$408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" i="1" l="1"/>
  <c r="A83" i="1"/>
  <c r="A109" i="1"/>
  <c r="A479" i="1"/>
  <c r="A473" i="1"/>
  <c r="A466" i="1"/>
  <c r="A458" i="1"/>
  <c r="A450" i="1"/>
  <c r="A444" i="1"/>
  <c r="A436" i="1"/>
  <c r="A428" i="1"/>
  <c r="A421" i="1"/>
  <c r="A417" i="1"/>
  <c r="A402" i="1"/>
  <c r="A384" i="1"/>
  <c r="A369" i="1"/>
  <c r="A353" i="1"/>
  <c r="A320" i="1"/>
  <c r="A299" i="1"/>
  <c r="A275" i="1"/>
  <c r="A255" i="1"/>
  <c r="A235" i="1"/>
  <c r="A215" i="1"/>
  <c r="A194" i="1"/>
  <c r="A154" i="1"/>
  <c r="A117" i="1"/>
  <c r="A63" i="1"/>
  <c r="A62" i="1"/>
  <c r="A101" i="1"/>
  <c r="A97" i="1"/>
  <c r="A35" i="1"/>
  <c r="A54" i="1"/>
  <c r="A61" i="1"/>
  <c r="A45" i="1"/>
  <c r="A31" i="1"/>
  <c r="A78" i="1"/>
  <c r="A107" i="1"/>
  <c r="A40" i="1"/>
  <c r="A44" i="1"/>
  <c r="A50" i="1"/>
  <c r="A68" i="1"/>
  <c r="A79" i="1"/>
  <c r="A90" i="1"/>
  <c r="A106" i="1"/>
  <c r="A30" i="1"/>
  <c r="A64" i="1"/>
  <c r="A60" i="1"/>
  <c r="A87" i="1"/>
  <c r="A46" i="1"/>
  <c r="A20" i="1"/>
  <c r="A27" i="1"/>
  <c r="A171" i="1"/>
  <c r="A166" i="1"/>
  <c r="A162" i="1"/>
  <c r="A156" i="1"/>
  <c r="A155" i="1"/>
  <c r="A152" i="1"/>
  <c r="A150" i="1"/>
  <c r="A144" i="1"/>
  <c r="A143" i="1"/>
  <c r="A137" i="1"/>
  <c r="A133" i="1"/>
  <c r="A129" i="1"/>
  <c r="A121" i="1"/>
  <c r="A119" i="1"/>
  <c r="A105" i="1"/>
  <c r="A100" i="1"/>
  <c r="A96" i="1"/>
  <c r="A89" i="1"/>
  <c r="A88" i="1"/>
  <c r="A81" i="1"/>
  <c r="A77" i="1"/>
  <c r="A75" i="1"/>
  <c r="A67" i="1"/>
  <c r="A66" i="1"/>
  <c r="A49" i="1"/>
  <c r="A43" i="1"/>
  <c r="A39" i="1"/>
  <c r="A29" i="1"/>
  <c r="A28" i="1"/>
  <c r="A38" i="1"/>
  <c r="A25" i="1"/>
  <c r="A42" i="1"/>
  <c r="A51" i="1"/>
  <c r="A48" i="1"/>
  <c r="A47" i="1"/>
  <c r="A14" i="1"/>
  <c r="A80" i="1"/>
  <c r="A182" i="1"/>
  <c r="A416" i="1"/>
  <c r="A407" i="1"/>
  <c r="A398" i="1"/>
  <c r="A389" i="1"/>
  <c r="A378" i="1"/>
  <c r="A374" i="1"/>
  <c r="A362" i="1"/>
  <c r="A357" i="1"/>
  <c r="A349" i="1"/>
  <c r="A340" i="1"/>
  <c r="A335" i="1"/>
  <c r="A325" i="1"/>
  <c r="A311" i="1"/>
  <c r="A304" i="1"/>
  <c r="A290" i="1"/>
  <c r="A283" i="1"/>
  <c r="A270" i="1"/>
  <c r="A260" i="1"/>
  <c r="A250" i="1"/>
  <c r="A240" i="1"/>
  <c r="A230" i="1"/>
  <c r="A220" i="1"/>
  <c r="A210" i="1"/>
  <c r="A199" i="1"/>
  <c r="A187" i="1"/>
  <c r="A161" i="1"/>
  <c r="A149" i="1"/>
  <c r="A128" i="1"/>
  <c r="A95" i="1"/>
  <c r="A74" i="1"/>
  <c r="A37" i="1"/>
  <c r="A10" i="1"/>
  <c r="A16" i="1"/>
  <c r="A18" i="1"/>
  <c r="A73" i="1"/>
  <c r="A193" i="1"/>
  <c r="A153" i="1"/>
  <c r="A57" i="1"/>
  <c r="A86" i="1"/>
  <c r="A181" i="1"/>
  <c r="A277" i="1"/>
  <c r="A278" i="1"/>
  <c r="A284" i="1"/>
  <c r="A285" i="1"/>
  <c r="A276" i="1"/>
  <c r="A108" i="1"/>
  <c r="A104" i="1"/>
  <c r="A17" i="1"/>
  <c r="A15" i="1"/>
  <c r="A24" i="1"/>
  <c r="A546" i="1"/>
  <c r="A544" i="1"/>
  <c r="A542" i="1"/>
  <c r="A540" i="1"/>
  <c r="A539" i="1"/>
  <c r="A537" i="1"/>
  <c r="A535" i="1"/>
  <c r="A534" i="1"/>
  <c r="A532" i="1"/>
  <c r="A530" i="1"/>
  <c r="A528" i="1"/>
  <c r="A526" i="1"/>
  <c r="A524" i="1"/>
  <c r="A522" i="1"/>
  <c r="A520" i="1"/>
  <c r="A518" i="1"/>
  <c r="A516" i="1"/>
  <c r="A514" i="1"/>
  <c r="A512" i="1"/>
  <c r="A510" i="1"/>
  <c r="A508" i="1"/>
  <c r="A506" i="1"/>
  <c r="A505" i="1"/>
  <c r="A504" i="1"/>
  <c r="A500" i="1"/>
  <c r="A498" i="1"/>
  <c r="A497" i="1"/>
  <c r="A493" i="1"/>
  <c r="A491" i="1"/>
  <c r="A487" i="1"/>
  <c r="A485" i="1"/>
  <c r="A481" i="1"/>
  <c r="A480" i="1"/>
  <c r="A475" i="1"/>
  <c r="A472" i="1"/>
  <c r="A467" i="1"/>
  <c r="A461" i="1"/>
  <c r="A459" i="1"/>
  <c r="A453" i="1"/>
  <c r="A451" i="1"/>
  <c r="A445" i="1"/>
  <c r="A441" i="1"/>
  <c r="A437" i="1"/>
  <c r="A433" i="1"/>
  <c r="A429" i="1"/>
  <c r="A426" i="1"/>
  <c r="A422" i="1"/>
  <c r="A547" i="1"/>
  <c r="A545" i="1"/>
  <c r="A543" i="1"/>
  <c r="A541" i="1"/>
  <c r="A538" i="1"/>
  <c r="A536" i="1"/>
  <c r="A533" i="1"/>
  <c r="A531" i="1"/>
  <c r="A529" i="1"/>
  <c r="A527" i="1"/>
  <c r="A525" i="1"/>
  <c r="A523" i="1"/>
  <c r="A521" i="1"/>
  <c r="A519" i="1"/>
  <c r="A517" i="1"/>
  <c r="A515" i="1"/>
  <c r="A513" i="1"/>
  <c r="A511" i="1"/>
  <c r="A509" i="1"/>
  <c r="A507" i="1"/>
  <c r="A503" i="1"/>
  <c r="A499" i="1"/>
  <c r="A496" i="1"/>
  <c r="A492" i="1"/>
  <c r="A490" i="1"/>
  <c r="A486" i="1"/>
  <c r="A484" i="1"/>
  <c r="A478" i="1"/>
  <c r="A474" i="1"/>
  <c r="A471" i="1"/>
  <c r="A465" i="1"/>
  <c r="A460" i="1"/>
  <c r="A457" i="1"/>
  <c r="A452" i="1"/>
  <c r="A449" i="1"/>
  <c r="A443" i="1"/>
  <c r="A440" i="1"/>
  <c r="A435" i="1"/>
  <c r="A432" i="1"/>
  <c r="A427" i="1"/>
  <c r="A425" i="1"/>
  <c r="A415" i="1"/>
  <c r="A406" i="1"/>
  <c r="A397" i="1"/>
  <c r="A388" i="1"/>
  <c r="A373" i="1"/>
  <c r="A361" i="1"/>
  <c r="A339" i="1"/>
  <c r="A334" i="1"/>
  <c r="A324" i="1"/>
  <c r="A310" i="1"/>
  <c r="A303" i="1"/>
  <c r="A289" i="1"/>
  <c r="A282" i="1"/>
  <c r="A269" i="1"/>
  <c r="A259" i="1"/>
  <c r="A249" i="1"/>
  <c r="A239" i="1"/>
  <c r="A229" i="1"/>
  <c r="A219" i="1"/>
  <c r="A209" i="1"/>
  <c r="A198" i="1"/>
  <c r="A186" i="1"/>
  <c r="A160" i="1"/>
  <c r="A148" i="1"/>
  <c r="A127" i="1"/>
  <c r="A94" i="1"/>
  <c r="A72" i="1"/>
  <c r="A36" i="1"/>
  <c r="A9" i="1"/>
  <c r="A411" i="1"/>
  <c r="A401" i="1"/>
  <c r="A393" i="1"/>
  <c r="A383" i="1"/>
  <c r="A368" i="1"/>
  <c r="A330" i="1"/>
  <c r="A319" i="1"/>
  <c r="A306" i="1"/>
  <c r="A298" i="1"/>
  <c r="A274" i="1"/>
  <c r="A265" i="1"/>
  <c r="A254" i="1"/>
  <c r="A245" i="1"/>
  <c r="A234" i="1"/>
  <c r="A225" i="1"/>
  <c r="A214" i="1"/>
  <c r="A205" i="1"/>
  <c r="A192" i="1"/>
  <c r="A180" i="1"/>
  <c r="A142" i="1"/>
  <c r="A116" i="1"/>
  <c r="A85" i="1"/>
  <c r="A59" i="1"/>
  <c r="A23" i="1"/>
  <c r="A179" i="1"/>
  <c r="A141" i="1"/>
  <c r="A115" i="1"/>
  <c r="A84" i="1"/>
  <c r="A58" i="1"/>
  <c r="A22" i="1"/>
  <c r="A4" i="1"/>
  <c r="A13" i="1"/>
  <c r="A120" i="1"/>
  <c r="A118" i="1"/>
  <c r="A3" i="1"/>
  <c r="A5" i="1"/>
  <c r="A11" i="1"/>
  <c r="A345" i="1"/>
  <c r="A342" i="1"/>
  <c r="A65" i="1"/>
  <c r="A190" i="1"/>
  <c r="A189" i="1"/>
  <c r="A170" i="1"/>
  <c r="A93" i="1"/>
  <c r="A41" i="1"/>
  <c r="D1" i="4"/>
  <c r="E1" i="4"/>
  <c r="D2" i="4"/>
  <c r="E2" i="4"/>
  <c r="D3" i="4"/>
  <c r="E3" i="4"/>
  <c r="D4" i="4"/>
  <c r="E4" i="4"/>
  <c r="D5" i="4"/>
  <c r="E5" i="4"/>
  <c r="D6" i="4"/>
  <c r="E6" i="4"/>
  <c r="D7" i="4"/>
  <c r="E7" i="4"/>
  <c r="D8" i="4"/>
  <c r="E8" i="4"/>
  <c r="D9" i="4"/>
  <c r="E9" i="4"/>
  <c r="D10" i="4"/>
  <c r="E10" i="4"/>
  <c r="D11" i="4"/>
  <c r="E11" i="4"/>
  <c r="D12" i="4"/>
  <c r="E12" i="4"/>
  <c r="D13" i="4"/>
  <c r="E13" i="4"/>
  <c r="D14" i="4"/>
  <c r="E14" i="4"/>
  <c r="D15" i="4"/>
  <c r="E15" i="4"/>
  <c r="D16" i="4"/>
  <c r="E16" i="4"/>
  <c r="D17" i="4"/>
  <c r="E17" i="4"/>
  <c r="D18" i="4"/>
  <c r="E18" i="4"/>
  <c r="D19" i="4"/>
  <c r="E19" i="4"/>
  <c r="D20" i="4"/>
  <c r="E20" i="4"/>
  <c r="D21" i="4"/>
  <c r="E21" i="4"/>
  <c r="D22" i="4"/>
  <c r="E22" i="4"/>
  <c r="D23" i="4"/>
  <c r="E23" i="4"/>
  <c r="D24" i="4"/>
  <c r="E24" i="4"/>
  <c r="D25" i="4"/>
  <c r="E25" i="4"/>
  <c r="D26" i="4"/>
  <c r="E26" i="4"/>
  <c r="D27" i="4"/>
  <c r="E27" i="4"/>
  <c r="D28" i="4"/>
  <c r="E28" i="4"/>
  <c r="D29" i="4"/>
  <c r="E29" i="4"/>
  <c r="D30" i="4"/>
  <c r="E30" i="4"/>
  <c r="D31" i="4"/>
  <c r="E31" i="4"/>
  <c r="D32" i="4"/>
  <c r="E32" i="4"/>
  <c r="D33" i="4"/>
  <c r="E33" i="4"/>
  <c r="D34" i="4"/>
  <c r="E34" i="4"/>
  <c r="D35" i="4"/>
  <c r="E35" i="4"/>
  <c r="D36" i="4"/>
  <c r="E36" i="4"/>
  <c r="D37" i="4"/>
  <c r="E37" i="4"/>
  <c r="D38" i="4"/>
  <c r="E38" i="4"/>
  <c r="D39" i="4"/>
  <c r="E39" i="4"/>
  <c r="D40" i="4"/>
  <c r="E40" i="4"/>
  <c r="D41" i="4"/>
  <c r="E41" i="4"/>
  <c r="D42" i="4"/>
  <c r="E42" i="4"/>
  <c r="D43" i="4"/>
  <c r="E43" i="4"/>
  <c r="D44" i="4"/>
  <c r="E44" i="4"/>
  <c r="D45" i="4"/>
  <c r="E45" i="4"/>
  <c r="A140" i="1"/>
  <c r="A136" i="1"/>
  <c r="A132" i="1"/>
  <c r="A126" i="1"/>
  <c r="A134" i="1"/>
  <c r="A130" i="1"/>
  <c r="A125" i="1"/>
  <c r="A172" i="1"/>
  <c r="A168" i="1"/>
  <c r="A164" i="1"/>
  <c r="A167" i="1"/>
  <c r="A163" i="1"/>
  <c r="A26" i="1"/>
  <c r="A12" i="1"/>
  <c r="A76" i="1"/>
  <c r="A98" i="1"/>
  <c r="A131" i="1"/>
  <c r="A165" i="1"/>
  <c r="XFC1" i="1"/>
  <c r="A6" i="1"/>
  <c r="A32" i="1"/>
  <c r="A69" i="1"/>
  <c r="A91" i="1"/>
  <c r="A122" i="1"/>
  <c r="A145" i="1"/>
  <c r="A157" i="1"/>
  <c r="A183" i="1"/>
  <c r="A195" i="1"/>
  <c r="A206" i="1"/>
  <c r="A216" i="1"/>
  <c r="A226" i="1"/>
  <c r="A236" i="1"/>
  <c r="A246" i="1"/>
  <c r="A256" i="1"/>
  <c r="A266" i="1"/>
  <c r="A279" i="1"/>
  <c r="A286" i="1"/>
  <c r="A300" i="1"/>
  <c r="A307" i="1"/>
  <c r="A321" i="1"/>
  <c r="A331" i="1"/>
  <c r="A336" i="1"/>
  <c r="A346" i="1"/>
  <c r="A354" i="1"/>
  <c r="A358" i="1"/>
  <c r="A370" i="1"/>
  <c r="A375" i="1"/>
  <c r="A385" i="1"/>
  <c r="A394" i="1"/>
  <c r="A403" i="1"/>
  <c r="A412" i="1"/>
  <c r="A418" i="1"/>
  <c r="A7" i="1"/>
  <c r="A33" i="1"/>
  <c r="A70" i="1"/>
  <c r="A92" i="1"/>
  <c r="A123" i="1"/>
  <c r="A146" i="1"/>
  <c r="A158" i="1"/>
  <c r="A184" i="1"/>
  <c r="A196" i="1"/>
  <c r="A207" i="1"/>
  <c r="A217" i="1"/>
  <c r="A227" i="1"/>
  <c r="A237" i="1"/>
  <c r="A247" i="1"/>
  <c r="A257" i="1"/>
  <c r="A267" i="1"/>
  <c r="A280" i="1"/>
  <c r="A287" i="1"/>
  <c r="A301" i="1"/>
  <c r="A308" i="1"/>
  <c r="A322" i="1"/>
  <c r="A332" i="1"/>
  <c r="A337" i="1"/>
  <c r="A347" i="1"/>
  <c r="A355" i="1"/>
  <c r="A359" i="1"/>
  <c r="A371" i="1"/>
  <c r="A376" i="1"/>
  <c r="A386" i="1"/>
  <c r="A395" i="1"/>
  <c r="A404" i="1"/>
  <c r="A413" i="1"/>
  <c r="A419" i="1"/>
  <c r="A8" i="1"/>
  <c r="A34" i="1"/>
  <c r="A71" i="1"/>
  <c r="A124" i="1"/>
  <c r="A147" i="1"/>
  <c r="A159" i="1"/>
  <c r="A185" i="1"/>
  <c r="A197" i="1"/>
  <c r="A208" i="1"/>
  <c r="A218" i="1"/>
  <c r="A228" i="1"/>
  <c r="A238" i="1"/>
  <c r="A248" i="1"/>
  <c r="A258" i="1"/>
  <c r="A268" i="1"/>
  <c r="A281" i="1"/>
  <c r="A288" i="1"/>
  <c r="A302" i="1"/>
  <c r="A309" i="1"/>
  <c r="A323" i="1"/>
  <c r="A333" i="1"/>
  <c r="A338" i="1"/>
  <c r="A348" i="1"/>
  <c r="A356" i="1"/>
  <c r="A360" i="1"/>
  <c r="A372" i="1"/>
  <c r="A377" i="1"/>
  <c r="A387" i="1"/>
  <c r="A396" i="1"/>
  <c r="A405" i="1"/>
  <c r="A414" i="1"/>
  <c r="A420" i="1"/>
  <c r="A410" i="1"/>
  <c r="A408" i="1"/>
  <c r="A399" i="1"/>
  <c r="A392" i="1"/>
  <c r="A390" i="1"/>
  <c r="A382" i="1"/>
  <c r="A379" i="1"/>
  <c r="A367" i="1"/>
  <c r="A363" i="1"/>
  <c r="A344" i="1"/>
  <c r="A341" i="1"/>
  <c r="A329" i="1"/>
  <c r="A326" i="1"/>
  <c r="A318" i="1"/>
  <c r="A312" i="1"/>
  <c r="A305" i="1"/>
  <c r="A297" i="1"/>
  <c r="A291" i="1"/>
  <c r="A273" i="1"/>
  <c r="A271" i="1"/>
  <c r="A253" i="1"/>
  <c r="A251" i="1"/>
  <c r="A233" i="1"/>
  <c r="A231" i="1"/>
  <c r="A213" i="1"/>
  <c r="A211" i="1"/>
  <c r="A200" i="1"/>
  <c r="A191" i="1"/>
  <c r="A188" i="1"/>
  <c r="A178" i="1"/>
  <c r="A169" i="1"/>
  <c r="A151" i="1"/>
  <c r="A139" i="1"/>
  <c r="A135" i="1"/>
  <c r="A114" i="1"/>
  <c r="A103" i="1"/>
  <c r="A19" i="1"/>
  <c r="A53" i="1"/>
  <c r="A111" i="1"/>
  <c r="A174" i="1"/>
  <c r="A202" i="1"/>
  <c r="A222" i="1"/>
  <c r="A242" i="1"/>
  <c r="A262" i="1"/>
  <c r="A293" i="1"/>
  <c r="A501" i="1"/>
  <c r="A494" i="1"/>
  <c r="A488" i="1"/>
  <c r="A482" i="1"/>
  <c r="A476" i="1"/>
  <c r="A468" i="1"/>
  <c r="A462" i="1"/>
  <c r="A454" i="1"/>
  <c r="A446" i="1"/>
  <c r="A438" i="1"/>
  <c r="A430" i="1"/>
  <c r="A423" i="1"/>
  <c r="A380" i="1"/>
  <c r="A364" i="1"/>
  <c r="A350" i="1"/>
  <c r="A327" i="1"/>
  <c r="A313" i="1"/>
  <c r="A292" i="1"/>
  <c r="A261" i="1"/>
  <c r="A241" i="1"/>
  <c r="A221" i="1"/>
  <c r="A201" i="1"/>
  <c r="A173" i="1"/>
  <c r="A110" i="1"/>
  <c r="A52" i="1"/>
  <c r="A314" i="1"/>
  <c r="A328" i="1"/>
  <c r="A351" i="1"/>
  <c r="A365" i="1"/>
  <c r="A381" i="1"/>
  <c r="A424" i="1"/>
  <c r="A431" i="1"/>
  <c r="A439" i="1"/>
  <c r="A447" i="1"/>
  <c r="A469" i="1"/>
  <c r="A477" i="1"/>
  <c r="A483" i="1"/>
  <c r="A489" i="1"/>
  <c r="A495" i="1"/>
  <c r="A502" i="1"/>
  <c r="A455" i="1"/>
  <c r="A46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Maryane Colozzo Verne</author>
  </authors>
  <commentList>
    <comment ref="I4" authorId="0" shapeId="0" xr:uid="{00000000-0006-0000-0000-000001000000}">
      <text>
        <r>
          <rPr>
            <b/>
            <sz val="9"/>
            <color indexed="81"/>
            <rFont val="Segoe UI"/>
            <charset val="1"/>
          </rPr>
          <t>Maryane Colozzo Verne:</t>
        </r>
        <r>
          <rPr>
            <sz val="9"/>
            <color indexed="81"/>
            <rFont val="Segoe UI"/>
            <charset val="1"/>
          </rPr>
          <t xml:space="preserve">
Transmissao simultanea</t>
        </r>
      </text>
    </comment>
    <comment ref="J24" authorId="0" shapeId="0" xr:uid="{00000000-0006-0000-0000-000002000000}">
      <text>
        <r>
          <rPr>
            <b/>
            <sz val="9"/>
            <color indexed="81"/>
            <rFont val="Segoe UI"/>
            <charset val="1"/>
          </rPr>
          <t>Maryane Colozzo Verne:</t>
        </r>
        <r>
          <rPr>
            <sz val="9"/>
            <color indexed="81"/>
            <rFont val="Segoe UI"/>
            <charset val="1"/>
          </rPr>
          <t xml:space="preserve">
Pedro</t>
        </r>
      </text>
    </comment>
    <comment ref="C83" authorId="0" shapeId="0" xr:uid="{00000000-0006-0000-0000-000003000000}">
      <text>
        <r>
          <rPr>
            <b/>
            <sz val="9"/>
            <color indexed="81"/>
            <rFont val="Segoe UI"/>
            <charset val="1"/>
          </rPr>
          <t>Maryane Colozzo Verne:</t>
        </r>
        <r>
          <rPr>
            <sz val="9"/>
            <color indexed="81"/>
            <rFont val="Segoe UI"/>
            <charset val="1"/>
          </rPr>
          <t xml:space="preserve">
Aprovação MKT
Envio contrato
Envio comprovante</t>
        </r>
      </text>
    </comment>
    <comment ref="J104" authorId="0" shapeId="0" xr:uid="{00000000-0006-0000-0000-000004000000}">
      <text>
        <r>
          <rPr>
            <b/>
            <sz val="9"/>
            <color indexed="81"/>
            <rFont val="Segoe UI"/>
            <charset val="1"/>
          </rPr>
          <t>Maryane Colozzo Verne:</t>
        </r>
        <r>
          <rPr>
            <sz val="9"/>
            <color indexed="81"/>
            <rFont val="Segoe UI"/>
            <charset val="1"/>
          </rPr>
          <t xml:space="preserve">
confirmar limpeza</t>
        </r>
      </text>
    </comment>
    <comment ref="K104" authorId="0" shapeId="0" xr:uid="{00000000-0006-0000-0000-000005000000}">
      <text>
        <r>
          <rPr>
            <b/>
            <sz val="9"/>
            <color indexed="81"/>
            <rFont val="Segoe UI"/>
            <charset val="1"/>
          </rPr>
          <t>Maryane Colozzo Verne:</t>
        </r>
        <r>
          <rPr>
            <sz val="9"/>
            <color indexed="81"/>
            <rFont val="Segoe UI"/>
            <charset val="1"/>
          </rPr>
          <t xml:space="preserve">
confirmar bedel</t>
        </r>
      </text>
    </comment>
    <comment ref="C109" authorId="0" shapeId="0" xr:uid="{00000000-0006-0000-0000-000006000000}">
      <text>
        <r>
          <rPr>
            <b/>
            <sz val="9"/>
            <color indexed="81"/>
            <rFont val="Segoe UI"/>
            <charset val="1"/>
          </rPr>
          <t>Maryane Colozzo Verne:</t>
        </r>
        <r>
          <rPr>
            <sz val="9"/>
            <color indexed="81"/>
            <rFont val="Segoe UI"/>
            <charset val="1"/>
          </rPr>
          <t xml:space="preserve">
Envio do Contrato
Envio do comprovante de depósito</t>
        </r>
      </text>
    </comment>
    <comment ref="I276" authorId="0" shapeId="0" xr:uid="{00000000-0006-0000-0000-000007000000}">
      <text>
        <r>
          <rPr>
            <b/>
            <sz val="9"/>
            <color indexed="81"/>
            <rFont val="Segoe UI"/>
            <charset val="1"/>
          </rPr>
          <t>Maryane Colozzo Verne:</t>
        </r>
        <r>
          <rPr>
            <sz val="9"/>
            <color indexed="81"/>
            <rFont val="Segoe UI"/>
            <charset val="1"/>
          </rPr>
          <t xml:space="preserve">
Transmissão simultanea</t>
        </r>
      </text>
    </comment>
    <comment ref="J276" authorId="0" shapeId="0" xr:uid="{00000000-0006-0000-0000-000008000000}">
      <text>
        <r>
          <rPr>
            <b/>
            <sz val="9"/>
            <color indexed="81"/>
            <rFont val="Segoe UI"/>
            <charset val="1"/>
          </rPr>
          <t>Maryane Colozzo Verne:</t>
        </r>
        <r>
          <rPr>
            <sz val="9"/>
            <color indexed="81"/>
            <rFont val="Segoe UI"/>
            <charset val="1"/>
          </rPr>
          <t xml:space="preserve">
AVISAR PEDRO</t>
        </r>
      </text>
    </comment>
    <comment ref="K276" authorId="0" shapeId="0" xr:uid="{00000000-0006-0000-0000-000009000000}">
      <text>
        <r>
          <rPr>
            <b/>
            <sz val="9"/>
            <color indexed="81"/>
            <rFont val="Segoe UI"/>
            <charset val="1"/>
          </rPr>
          <t>Maryane Colozzo Verne:</t>
        </r>
        <r>
          <rPr>
            <sz val="9"/>
            <color indexed="81"/>
            <rFont val="Segoe UI"/>
            <charset val="1"/>
          </rPr>
          <t xml:space="preserve">
AVISAR LIMPEZA</t>
        </r>
      </text>
    </comment>
    <comment ref="I277" authorId="0" shapeId="0" xr:uid="{00000000-0006-0000-0000-00000A000000}">
      <text>
        <r>
          <rPr>
            <b/>
            <sz val="9"/>
            <color indexed="81"/>
            <rFont val="Segoe UI"/>
            <charset val="1"/>
          </rPr>
          <t>Maryane Colozzo Verne:</t>
        </r>
        <r>
          <rPr>
            <sz val="9"/>
            <color indexed="81"/>
            <rFont val="Segoe UI"/>
            <charset val="1"/>
          </rPr>
          <t xml:space="preserve">
Transmissão simultanea</t>
        </r>
      </text>
    </comment>
    <comment ref="I278" authorId="0" shapeId="0" xr:uid="{00000000-0006-0000-0000-00000B000000}">
      <text>
        <r>
          <rPr>
            <b/>
            <sz val="9"/>
            <color indexed="81"/>
            <rFont val="Segoe UI"/>
            <charset val="1"/>
          </rPr>
          <t>Maryane Colozzo Verne:</t>
        </r>
        <r>
          <rPr>
            <sz val="9"/>
            <color indexed="81"/>
            <rFont val="Segoe UI"/>
            <charset val="1"/>
          </rPr>
          <t xml:space="preserve">
Transmissão simultanea</t>
        </r>
      </text>
    </comment>
    <comment ref="I284" authorId="0" shapeId="0" xr:uid="{00000000-0006-0000-0000-00000C000000}">
      <text>
        <r>
          <rPr>
            <b/>
            <sz val="9"/>
            <color indexed="81"/>
            <rFont val="Segoe UI"/>
            <charset val="1"/>
          </rPr>
          <t>Maryane Colozzo Verne:</t>
        </r>
        <r>
          <rPr>
            <sz val="9"/>
            <color indexed="81"/>
            <rFont val="Segoe UI"/>
            <charset val="1"/>
          </rPr>
          <t xml:space="preserve">
Transmissão simultanea</t>
        </r>
      </text>
    </comment>
    <comment ref="I285" authorId="0" shapeId="0" xr:uid="{00000000-0006-0000-0000-00000D000000}">
      <text>
        <r>
          <rPr>
            <b/>
            <sz val="9"/>
            <color indexed="81"/>
            <rFont val="Segoe UI"/>
            <charset val="1"/>
          </rPr>
          <t>Maryane Colozzo Verne:</t>
        </r>
        <r>
          <rPr>
            <sz val="9"/>
            <color indexed="81"/>
            <rFont val="Segoe UI"/>
            <charset val="1"/>
          </rPr>
          <t xml:space="preserve">
Transmissão simultanea</t>
        </r>
      </text>
    </comment>
  </commentList>
</comments>
</file>

<file path=xl/sharedStrings.xml><?xml version="1.0" encoding="utf-8"?>
<sst xmlns="http://schemas.openxmlformats.org/spreadsheetml/2006/main" count="4009" uniqueCount="182">
  <si>
    <t>-</t>
  </si>
  <si>
    <t>TEMA</t>
  </si>
  <si>
    <t>DATA</t>
  </si>
  <si>
    <t>PRÉDIO</t>
  </si>
  <si>
    <t>BEDEL</t>
  </si>
  <si>
    <t>CAFÉ</t>
  </si>
  <si>
    <t>SIM</t>
  </si>
  <si>
    <t>Ana Paula</t>
  </si>
  <si>
    <t>Sala: 3</t>
  </si>
  <si>
    <t>Laboratório Informática 6</t>
  </si>
  <si>
    <t>Pós Graduação Ciências Forences</t>
  </si>
  <si>
    <t>Patricia Rosarin</t>
  </si>
  <si>
    <t>Curso de Pedagogia</t>
  </si>
  <si>
    <t>Sala de Vídeo</t>
  </si>
  <si>
    <t>Avaliações Presenciais dos Cursos Online</t>
  </si>
  <si>
    <t>Odivaldo</t>
  </si>
  <si>
    <t>SEMANA</t>
  </si>
  <si>
    <t>SOLICITANTE</t>
  </si>
  <si>
    <t>Pós Fitossanidade</t>
  </si>
  <si>
    <t>MBA Executivo</t>
  </si>
  <si>
    <t>MBA Finanças e Controladoria</t>
  </si>
  <si>
    <t xml:space="preserve">Pós Graduação Ciências Forences </t>
  </si>
  <si>
    <t>TÉRMINO</t>
  </si>
  <si>
    <t>F</t>
  </si>
  <si>
    <t>D</t>
  </si>
  <si>
    <t>E</t>
  </si>
  <si>
    <t>A</t>
  </si>
  <si>
    <t>C</t>
  </si>
  <si>
    <t>SALA</t>
  </si>
  <si>
    <t>PISO</t>
  </si>
  <si>
    <t>Cultural</t>
  </si>
  <si>
    <t>Salão Azul</t>
  </si>
  <si>
    <t>Laboratório Informática 5</t>
  </si>
  <si>
    <t>07:20 (30 pessoas)</t>
  </si>
  <si>
    <t>MBA em Gestão Comercial e Vendas</t>
  </si>
  <si>
    <t>Laboratório Informática: 04</t>
  </si>
  <si>
    <t>07:20 (50 pessoas)</t>
  </si>
  <si>
    <t>MBA em Contabilidade, Auditoria e Gestão Tributária</t>
  </si>
  <si>
    <t>07:20 (60 pessoas)</t>
  </si>
  <si>
    <t>19:00 (20 pessoas)</t>
  </si>
  <si>
    <t>07:20 (20 pessoas)</t>
  </si>
  <si>
    <t>LIDIANE</t>
  </si>
  <si>
    <t>ROSANGELA</t>
  </si>
  <si>
    <t>CLAUDINEIA</t>
  </si>
  <si>
    <t>KARINA</t>
  </si>
  <si>
    <t>KATIA</t>
  </si>
  <si>
    <t>LUCIANA</t>
  </si>
  <si>
    <t>CLAUDIA</t>
  </si>
  <si>
    <t>JUREMA</t>
  </si>
  <si>
    <t>Sala: 1</t>
  </si>
  <si>
    <t>Sala: 4</t>
  </si>
  <si>
    <t>Projeto Coral - Prefeitura</t>
  </si>
  <si>
    <t>Patricia Furlanetto</t>
  </si>
  <si>
    <t>Coral da UNIfeob</t>
  </si>
  <si>
    <t>Beth / Francini</t>
  </si>
  <si>
    <t>Sala: 7</t>
  </si>
  <si>
    <t>3ª IDADE</t>
  </si>
  <si>
    <t>Beth / Gláucia</t>
  </si>
  <si>
    <t>DIA</t>
  </si>
  <si>
    <t>Sala: 1, 2 e 3</t>
  </si>
  <si>
    <t>Aula - Integral</t>
  </si>
  <si>
    <t>Yara de Oliveira</t>
  </si>
  <si>
    <t>Sala: 12</t>
  </si>
  <si>
    <t>Processo Seletivo - Procuradoria da República</t>
  </si>
  <si>
    <t>Carla Brandão</t>
  </si>
  <si>
    <t>RESPONSÁVEL</t>
  </si>
  <si>
    <t>Sala: 1 e 2</t>
  </si>
  <si>
    <t>Sala: 1, 2, 3 e 4</t>
  </si>
  <si>
    <t>ROSANGELA / CLAUDINEIA</t>
  </si>
  <si>
    <t/>
  </si>
  <si>
    <t>KATIA / LUCIANA</t>
  </si>
  <si>
    <t>CLAUDIA / JUREMA</t>
  </si>
  <si>
    <t>JUREMA / LIDIANE</t>
  </si>
  <si>
    <t>CLAUDINEIA / KARINA</t>
  </si>
  <si>
    <t>LUCIANA / CLAUDIA</t>
  </si>
  <si>
    <t>ESCALA LIMPEZA SÁBADO</t>
  </si>
  <si>
    <t xml:space="preserve">Aula Integral </t>
  </si>
  <si>
    <t>Fotos Formatura - 7º módulo enfermagem</t>
  </si>
  <si>
    <t>Lara Teodoro</t>
  </si>
  <si>
    <t>Sala: 2</t>
  </si>
  <si>
    <t>I Semana Teológica - Diocese</t>
  </si>
  <si>
    <t>Padre João Paulo</t>
  </si>
  <si>
    <t>Entrega Carteirinhas - Santander</t>
  </si>
  <si>
    <t>Gabriella Jonas</t>
  </si>
  <si>
    <t>CARLOS</t>
  </si>
  <si>
    <t>Palestra - CRC</t>
  </si>
  <si>
    <t>Baesso</t>
  </si>
  <si>
    <t>Salão Vermelho</t>
  </si>
  <si>
    <t>Análise Técnica do Plano Diretor</t>
  </si>
  <si>
    <t>Flávia Simões</t>
  </si>
  <si>
    <t>INÍCIO</t>
  </si>
  <si>
    <t>Instrumentação Cirúrgica</t>
  </si>
  <si>
    <t>B</t>
  </si>
  <si>
    <t>Lab: Enfermagem</t>
  </si>
  <si>
    <t>Vestibular Agendado</t>
  </si>
  <si>
    <t>Valdirene</t>
  </si>
  <si>
    <t>Curso Extensão - Revit</t>
  </si>
  <si>
    <t>Lab Informática: 04</t>
  </si>
  <si>
    <t>10:30 (2 garrafas)</t>
  </si>
  <si>
    <t>Dirceu</t>
  </si>
  <si>
    <t>Engrene - Escola de Negócios</t>
  </si>
  <si>
    <t>LIMPEZA</t>
  </si>
  <si>
    <t>Medicina Veterinária - EREB</t>
  </si>
  <si>
    <t>DAYANA</t>
  </si>
  <si>
    <t>Semana Acadêmica - Arquitetura e Urbanismo</t>
  </si>
  <si>
    <t>Ricardo Ciaco</t>
  </si>
  <si>
    <t>Salão Azul e Vermelho</t>
  </si>
  <si>
    <t>Sala: 1 (Vídeo)</t>
  </si>
  <si>
    <t>Campanha - Doação de Medula</t>
  </si>
  <si>
    <t>Alessandra Massuia</t>
  </si>
  <si>
    <t>Brinquedoteca</t>
  </si>
  <si>
    <t>Simulado ENAD - 5º módulo semestral Pedagogia</t>
  </si>
  <si>
    <t>Aulas de TCC com a Profª Eliane - Pedagogia</t>
  </si>
  <si>
    <t>19:00 (30 pesssoas)</t>
  </si>
  <si>
    <t>Palestra - GEPA e GANT</t>
  </si>
  <si>
    <t>Giovanna Marquiti</t>
  </si>
  <si>
    <t>Sala: 6</t>
  </si>
  <si>
    <t>Reunião Central de Relacionamento</t>
  </si>
  <si>
    <t>Luciano Candido</t>
  </si>
  <si>
    <t>Palestra - E-social (Borleme)</t>
  </si>
  <si>
    <t>Ricardo Macedo</t>
  </si>
  <si>
    <t>Beth Custódio</t>
  </si>
  <si>
    <t>Projeto Encantando Na Universidade</t>
  </si>
  <si>
    <t>Sala 02</t>
  </si>
  <si>
    <t>Processo Seletivo - CIEE</t>
  </si>
  <si>
    <t>Silvana da Silva</t>
  </si>
  <si>
    <t>Aula Engenharia Civil - 1º módulo</t>
  </si>
  <si>
    <t>Cine Horizonte - Aspectos Biopsicossociais da Aprendizagem</t>
  </si>
  <si>
    <t>Inês Waitz</t>
  </si>
  <si>
    <t>Carolina Mello</t>
  </si>
  <si>
    <t>Sala: 03</t>
  </si>
  <si>
    <t>Reunião do Núcleo dos Contadores da ACE</t>
  </si>
  <si>
    <t>Reunião de interesse coletivo</t>
  </si>
  <si>
    <t>Marcos Prado</t>
  </si>
  <si>
    <t>Palestra GEGA</t>
  </si>
  <si>
    <t>Augusto Alberto</t>
  </si>
  <si>
    <t>Sala: 06</t>
  </si>
  <si>
    <t>Atividades avaliativas do curso de arquitetura</t>
  </si>
  <si>
    <t>Curso Preparatório Militar - NÃO APROVADO</t>
  </si>
  <si>
    <t>Sala: 02</t>
  </si>
  <si>
    <t>Maryane</t>
  </si>
  <si>
    <t>Dedetização - Campus ll</t>
  </si>
  <si>
    <t>CII</t>
  </si>
  <si>
    <t>Todos os prédios</t>
  </si>
  <si>
    <t>Aula Fisioterapia</t>
  </si>
  <si>
    <t>Danuza</t>
  </si>
  <si>
    <t>Pré Bancas de TFG1 - Arquitetura e Urbanismo</t>
  </si>
  <si>
    <t>Luciana Valin</t>
  </si>
  <si>
    <t>Laboratório 20</t>
  </si>
  <si>
    <t>Palestra - Integral</t>
  </si>
  <si>
    <t>Ciclo de palestras sobre Bovinocultura</t>
  </si>
  <si>
    <t>Adilson Tomé</t>
  </si>
  <si>
    <t>Foto Formatura - Direito (Cola Grau)</t>
  </si>
  <si>
    <t>Foto Formatura - Contábeis e Agronomia (Cola Grau)</t>
  </si>
  <si>
    <t>Foto Formatura - Biologia (Cola Grau)</t>
  </si>
  <si>
    <t>Foto Formatura - Arquitetura (Cola Grau)</t>
  </si>
  <si>
    <t>Maiara Reneis</t>
  </si>
  <si>
    <t>Foto Formatura - Contábeis (WJR)</t>
  </si>
  <si>
    <t>Damaris Lapa</t>
  </si>
  <si>
    <t>Reunião de CONSUNI e CONSEPE.</t>
  </si>
  <si>
    <t>Encontro motivacional com as assistentes sociais e pedagogos</t>
  </si>
  <si>
    <t>João Urbano</t>
  </si>
  <si>
    <t>Aula DP - Engenharia Civil</t>
  </si>
  <si>
    <t>Reinaldo Moraes</t>
  </si>
  <si>
    <t>Palestra de MBA</t>
  </si>
  <si>
    <t>Karyne Oliveira</t>
  </si>
  <si>
    <t>Laboratório Informática 4</t>
  </si>
  <si>
    <t>Reunião - Conexão</t>
  </si>
  <si>
    <t>Palestra Beneficente - Santa Casa (Engaja)</t>
  </si>
  <si>
    <t>Danielle Rodrigues</t>
  </si>
  <si>
    <t>Aula professora - Fátima Médici</t>
  </si>
  <si>
    <t>WorkShop para empreendedores</t>
  </si>
  <si>
    <t>Rodrigo Marudi</t>
  </si>
  <si>
    <t>Sala do meio (arquitetura)</t>
  </si>
  <si>
    <t>07:20 (40 pessoas)</t>
  </si>
  <si>
    <t>Palestra - Perícia Forense Digital junto com pós graduação</t>
  </si>
  <si>
    <t>Curso Preparatório Militar</t>
  </si>
  <si>
    <t>Ana Funes</t>
  </si>
  <si>
    <t>Palestra "Importância da Preservação do Meio Ambiente"</t>
  </si>
  <si>
    <t>Wal (Ecapre)</t>
  </si>
  <si>
    <t>Reunião Entre vendedores e Diretoria - Mira</t>
  </si>
  <si>
    <t>Geisi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</si>
</sst>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dd"/>
    <numFmt numFmtId="165" formatCode="h:mm;@"/>
  </numFmts>
  <fonts count="12" x14ac:knownFonts="1"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0"/>
      <color theme="0"/>
      <name val="Arial"/>
      <family val="2"/>
    </font>
    <font>
      <b/>
      <sz val="18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name val="Arial"/>
      <family val="2"/>
    </font>
    <font>
      <sz val="9"/>
      <color indexed="81"/>
      <name val="Segoe UI"/>
      <charset val="1"/>
    </font>
    <font>
      <b/>
      <sz val="9"/>
      <color indexed="81"/>
      <name val="Segoe UI"/>
      <charset val="1"/>
    </font>
  </fonts>
  <fills count="8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9393"/>
        <bgColor indexed="64"/>
      </patternFill>
    </fill>
    <fill>
      <patternFill patternType="solid">
        <fgColor rgb="FFFF7D7D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/>
  </cellStyleXfs>
  <cellXfs count="72">
    <xf numFmtId="0" fontId="0" fillId="0" borderId="0" xfId="0"/>
    <xf numFmtId="0" fontId="1" fillId="0" borderId="0" xfId="0" applyFont="1" applyFill="1" applyAlignment="1">
      <alignment vertical="center"/>
    </xf>
    <xf numFmtId="49" fontId="1" fillId="0" borderId="1" xfId="0" applyNumberFormat="1" applyFont="1" applyFill="1" applyBorder="1" applyAlignment="1">
      <alignment horizontal="center" vertical="center"/>
    </xf>
    <xf numFmtId="0" fontId="2" fillId="0" borderId="0" xfId="0" applyFont="1" applyFill="1" applyAlignment="1">
      <alignment vertical="center"/>
    </xf>
    <xf numFmtId="164" fontId="2" fillId="0" borderId="1" xfId="0" applyNumberFormat="1" applyFont="1" applyFill="1" applyBorder="1" applyAlignment="1">
      <alignment horizontal="left" vertical="center"/>
    </xf>
    <xf numFmtId="14" fontId="2" fillId="0" borderId="1" xfId="0" applyNumberFormat="1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left" vertical="center"/>
    </xf>
    <xf numFmtId="0" fontId="2" fillId="0" borderId="1" xfId="0" applyFont="1" applyFill="1" applyBorder="1" applyAlignment="1">
      <alignment horizontal="center" vertical="center"/>
    </xf>
    <xf numFmtId="20" fontId="2" fillId="0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horizontal="left" vertical="center"/>
    </xf>
    <xf numFmtId="17" fontId="2" fillId="0" borderId="1" xfId="0" applyNumberFormat="1" applyFont="1" applyFill="1" applyBorder="1" applyAlignment="1">
      <alignment horizontal="left" vertical="center"/>
    </xf>
    <xf numFmtId="164" fontId="2" fillId="0" borderId="0" xfId="0" applyNumberFormat="1" applyFont="1" applyFill="1" applyAlignment="1">
      <alignment horizontal="left" vertical="center"/>
    </xf>
    <xf numFmtId="0" fontId="2" fillId="0" borderId="0" xfId="0" applyFont="1" applyFill="1" applyAlignment="1">
      <alignment horizontal="left" vertical="center"/>
    </xf>
    <xf numFmtId="164" fontId="3" fillId="2" borderId="1" xfId="0" applyNumberFormat="1" applyFont="1" applyFill="1" applyBorder="1" applyAlignment="1">
      <alignment horizontal="left" vertical="center"/>
    </xf>
    <xf numFmtId="14" fontId="3" fillId="2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left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NumberFormat="1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center" vertical="center"/>
    </xf>
    <xf numFmtId="165" fontId="1" fillId="0" borderId="1" xfId="0" applyNumberFormat="1" applyFont="1" applyFill="1" applyBorder="1" applyAlignment="1">
      <alignment horizontal="center" vertical="center"/>
    </xf>
    <xf numFmtId="165" fontId="2" fillId="0" borderId="1" xfId="0" applyNumberFormat="1" applyFont="1" applyFill="1" applyBorder="1" applyAlignment="1">
      <alignment horizontal="center" vertical="center"/>
    </xf>
    <xf numFmtId="165" fontId="3" fillId="2" borderId="1" xfId="0" applyNumberFormat="1" applyFont="1" applyFill="1" applyBorder="1" applyAlignment="1">
      <alignment horizontal="center" vertical="center"/>
    </xf>
    <xf numFmtId="165" fontId="1" fillId="2" borderId="1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Alignment="1">
      <alignment vertical="center"/>
    </xf>
    <xf numFmtId="0" fontId="3" fillId="0" borderId="0" xfId="0" applyFont="1" applyFill="1" applyAlignment="1">
      <alignment vertical="center"/>
    </xf>
    <xf numFmtId="164" fontId="4" fillId="0" borderId="1" xfId="0" applyNumberFormat="1" applyFont="1" applyFill="1" applyBorder="1" applyAlignment="1">
      <alignment horizontal="left" vertical="center"/>
    </xf>
    <xf numFmtId="14" fontId="4" fillId="0" borderId="1" xfId="0" applyNumberFormat="1" applyFont="1" applyFill="1" applyBorder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4" fillId="0" borderId="1" xfId="0" applyFont="1" applyFill="1" applyBorder="1" applyAlignment="1">
      <alignment horizontal="left" vertical="center"/>
    </xf>
    <xf numFmtId="165" fontId="4" fillId="0" borderId="1" xfId="0" applyNumberFormat="1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" xfId="0" applyFill="1" applyBorder="1"/>
    <xf numFmtId="14" fontId="5" fillId="0" borderId="0" xfId="0" applyNumberFormat="1" applyFont="1" applyFill="1" applyAlignment="1">
      <alignment vertical="center"/>
    </xf>
    <xf numFmtId="14" fontId="1" fillId="0" borderId="1" xfId="0" applyNumberFormat="1" applyFont="1" applyFill="1" applyBorder="1" applyAlignment="1">
      <alignment horizontal="center" vertical="center"/>
    </xf>
    <xf numFmtId="14" fontId="2" fillId="0" borderId="0" xfId="0" applyNumberFormat="1" applyFont="1" applyFill="1" applyAlignment="1">
      <alignment vertical="center"/>
    </xf>
    <xf numFmtId="49" fontId="3" fillId="0" borderId="1" xfId="0" applyNumberFormat="1" applyFont="1" applyFill="1" applyBorder="1" applyAlignment="1">
      <alignment horizontal="center" vertical="center"/>
    </xf>
    <xf numFmtId="0" fontId="4" fillId="0" borderId="0" xfId="0" applyFont="1" applyFill="1" applyAlignment="1">
      <alignment horizontal="left" vertical="center"/>
    </xf>
    <xf numFmtId="164" fontId="1" fillId="2" borderId="1" xfId="0" applyNumberFormat="1" applyFont="1" applyFill="1" applyBorder="1" applyAlignment="1">
      <alignment horizontal="left" vertical="center"/>
    </xf>
    <xf numFmtId="164" fontId="1" fillId="0" borderId="0" xfId="0" applyNumberFormat="1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left" vertical="center"/>
    </xf>
    <xf numFmtId="14" fontId="4" fillId="3" borderId="1" xfId="0" applyNumberFormat="1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/>
    </xf>
    <xf numFmtId="165" fontId="4" fillId="3" borderId="1" xfId="0" applyNumberFormat="1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14" fontId="3" fillId="0" borderId="0" xfId="0" applyNumberFormat="1" applyFont="1" applyFill="1" applyBorder="1" applyAlignment="1">
      <alignment horizontal="center" vertical="center"/>
    </xf>
    <xf numFmtId="17" fontId="3" fillId="0" borderId="0" xfId="0" applyNumberFormat="1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 vertical="center"/>
    </xf>
    <xf numFmtId="165" fontId="3" fillId="0" borderId="0" xfId="0" applyNumberFormat="1" applyFont="1" applyFill="1" applyBorder="1" applyAlignment="1">
      <alignment horizontal="center" vertical="center"/>
    </xf>
    <xf numFmtId="16" fontId="0" fillId="0" borderId="0" xfId="0" applyNumberFormat="1"/>
    <xf numFmtId="0" fontId="7" fillId="0" borderId="0" xfId="0" applyFont="1"/>
    <xf numFmtId="0" fontId="8" fillId="0" borderId="1" xfId="0" applyFont="1" applyBorder="1" applyAlignment="1">
      <alignment horizontal="center"/>
    </xf>
    <xf numFmtId="14" fontId="9" fillId="0" borderId="1" xfId="0" applyNumberFormat="1" applyFont="1" applyFill="1" applyBorder="1" applyAlignment="1">
      <alignment horizontal="center" vertical="center"/>
    </xf>
    <xf numFmtId="0" fontId="7" fillId="0" borderId="1" xfId="0" applyFont="1" applyFill="1" applyBorder="1"/>
    <xf numFmtId="0" fontId="7" fillId="0" borderId="0" xfId="0" applyFont="1" applyFill="1"/>
    <xf numFmtId="0" fontId="2" fillId="3" borderId="1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horizontal="left"/>
    </xf>
    <xf numFmtId="0" fontId="7" fillId="0" borderId="0" xfId="0" applyFont="1" applyFill="1" applyAlignment="1">
      <alignment horizontal="left"/>
    </xf>
    <xf numFmtId="20" fontId="2" fillId="5" borderId="1" xfId="0" applyNumberFormat="1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left" vertical="center"/>
    </xf>
    <xf numFmtId="0" fontId="2" fillId="6" borderId="0" xfId="0" applyFont="1" applyFill="1" applyAlignment="1">
      <alignment vertical="center"/>
    </xf>
    <xf numFmtId="0" fontId="1" fillId="6" borderId="0" xfId="0" applyFont="1" applyFill="1" applyAlignment="1">
      <alignment vertical="center"/>
    </xf>
    <xf numFmtId="0" fontId="3" fillId="6" borderId="1" xfId="0" applyFont="1" applyFill="1" applyBorder="1" applyAlignment="1">
      <alignment horizontal="left" vertical="center"/>
    </xf>
    <xf numFmtId="0" fontId="7" fillId="0" borderId="1" xfId="0" applyFont="1" applyBorder="1" applyAlignment="1">
      <alignment horizontal="left"/>
    </xf>
    <xf numFmtId="0" fontId="6" fillId="4" borderId="2" xfId="0" applyFont="1" applyFill="1" applyBorder="1" applyAlignment="1">
      <alignment horizontal="center"/>
    </xf>
    <xf numFmtId="0" fontId="6" fillId="4" borderId="0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7" fillId="0" borderId="1" xfId="0" applyFont="1" applyFill="1" applyBorder="1" applyAlignment="1">
      <alignment horizontal="left"/>
    </xf>
  </cellXfs>
  <cellStyles count="1">
    <cellStyle name="Normal" xfId="0" builtinId="0"/>
  </cellStyles>
  <dxfs count="162"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</dxfs>
  <tableStyles count="0" defaultTableStyle="TableStyleMedium2" defaultPivotStyle="PivotStyleLight16"/>
  <colors>
    <mruColors>
      <color rgb="FFFF9393"/>
      <color rgb="FFFF7D7D"/>
      <color rgb="FFFF8989"/>
      <color rgb="FFFF7171"/>
      <color rgb="FFFF8585"/>
      <color rgb="FFFF7C80"/>
      <color rgb="FF00FF00"/>
      <color rgb="FFFFFF99"/>
      <color rgb="FFFF99FF"/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Agndtos">
    <pageSetUpPr fitToPage="1"/>
  </sheetPr>
  <dimension ref="A1:XFC547"/>
  <sheetViews>
    <sheetView showGridLines="0" tabSelected="1" zoomScaleNormal="100" workbookViewId="0">
      <pane ySplit="1" topLeftCell="A528" activePane="bottomLeft" state="frozen"/>
      <selection pane="bottomLeft" activeCell="G533" sqref="G533"/>
    </sheetView>
  </sheetViews>
  <sheetFormatPr defaultColWidth="10.7109375" defaultRowHeight="16.5" customHeight="1" x14ac:dyDescent="0.25"/>
  <cols>
    <col min="1" max="1" width="13.42578125" style="11" bestFit="1" customWidth="1"/>
    <col min="2" max="2" width="10.5703125" style="36" bestFit="1" customWidth="1"/>
    <col min="3" max="3" width="56" style="12" bestFit="1" customWidth="1"/>
    <col min="4" max="4" width="19.140625" style="12" bestFit="1" customWidth="1"/>
    <col min="5" max="5" width="11.28515625" style="24" bestFit="1" customWidth="1"/>
    <col min="6" max="6" width="14" style="24" bestFit="1" customWidth="1"/>
    <col min="7" max="7" width="12.5703125" style="3" bestFit="1" customWidth="1"/>
    <col min="8" max="8" width="10.140625" style="3" bestFit="1" customWidth="1"/>
    <col min="9" max="9" width="26.140625" style="38" bestFit="1" customWidth="1"/>
    <col min="10" max="10" width="11.5703125" style="3" bestFit="1" customWidth="1"/>
    <col min="11" max="11" width="18.140625" style="3" bestFit="1" customWidth="1"/>
    <col min="12" max="12" width="0" style="3" hidden="1" customWidth="1"/>
    <col min="13" max="16384" width="10.7109375" style="3"/>
  </cols>
  <sheetData>
    <row r="1" spans="1:12 16383:16383" s="1" customFormat="1" ht="16.5" customHeight="1" x14ac:dyDescent="0.25">
      <c r="A1" s="2" t="s">
        <v>16</v>
      </c>
      <c r="B1" s="35" t="s">
        <v>2</v>
      </c>
      <c r="C1" s="2" t="s">
        <v>1</v>
      </c>
      <c r="D1" s="2" t="s">
        <v>17</v>
      </c>
      <c r="E1" s="20" t="s">
        <v>90</v>
      </c>
      <c r="F1" s="20" t="s">
        <v>22</v>
      </c>
      <c r="G1" s="2" t="s">
        <v>3</v>
      </c>
      <c r="H1" s="2" t="s">
        <v>29</v>
      </c>
      <c r="I1" s="37" t="s">
        <v>28</v>
      </c>
      <c r="J1" s="2" t="s">
        <v>4</v>
      </c>
      <c r="K1" s="2" t="s">
        <v>5</v>
      </c>
      <c r="XFC1" s="34">
        <f ca="1">TODAY()</f>
        <v>43615</v>
      </c>
    </row>
    <row r="2" spans="1:12 16383:16383" ht="16.5" customHeight="1" x14ac:dyDescent="0.25">
      <c r="A2" s="26">
        <f>B2</f>
        <v>43598</v>
      </c>
      <c r="B2" s="27">
        <v>43598</v>
      </c>
      <c r="C2" s="6" t="s">
        <v>82</v>
      </c>
      <c r="D2" s="6" t="s">
        <v>83</v>
      </c>
      <c r="E2" s="21">
        <v>0.33333333333333331</v>
      </c>
      <c r="F2" s="21">
        <v>0.9375</v>
      </c>
      <c r="G2" s="7" t="s">
        <v>27</v>
      </c>
      <c r="H2" s="7">
        <v>1</v>
      </c>
      <c r="I2" s="6" t="s">
        <v>49</v>
      </c>
      <c r="J2" s="7" t="s">
        <v>0</v>
      </c>
      <c r="K2" s="8" t="s">
        <v>0</v>
      </c>
    </row>
    <row r="3" spans="1:12 16383:16383" ht="16.5" customHeight="1" x14ac:dyDescent="0.25">
      <c r="A3" s="26">
        <f t="shared" ref="A2:A20" si="0">B3</f>
        <v>43599</v>
      </c>
      <c r="B3" s="27">
        <v>43599</v>
      </c>
      <c r="C3" s="6" t="s">
        <v>82</v>
      </c>
      <c r="D3" s="6" t="s">
        <v>83</v>
      </c>
      <c r="E3" s="21">
        <v>0.33333333333333331</v>
      </c>
      <c r="F3" s="21">
        <v>0.9375</v>
      </c>
      <c r="G3" s="7" t="s">
        <v>27</v>
      </c>
      <c r="H3" s="7">
        <v>1</v>
      </c>
      <c r="I3" s="6" t="s">
        <v>49</v>
      </c>
      <c r="J3" s="7" t="s">
        <v>0</v>
      </c>
      <c r="K3" s="8" t="s">
        <v>0</v>
      </c>
    </row>
    <row r="4" spans="1:12 16383:16383" ht="16.5" customHeight="1" x14ac:dyDescent="0.25">
      <c r="A4" s="26">
        <f t="shared" si="0"/>
        <v>43599</v>
      </c>
      <c r="B4" s="27">
        <v>43599</v>
      </c>
      <c r="C4" s="6" t="s">
        <v>88</v>
      </c>
      <c r="D4" s="6" t="s">
        <v>89</v>
      </c>
      <c r="E4" s="21">
        <v>0.79166666666666663</v>
      </c>
      <c r="F4" s="21">
        <v>0.95833333333333337</v>
      </c>
      <c r="G4" s="7" t="s">
        <v>30</v>
      </c>
      <c r="H4" s="7" t="s">
        <v>0</v>
      </c>
      <c r="I4" s="6" t="s">
        <v>106</v>
      </c>
      <c r="J4" s="7" t="s">
        <v>6</v>
      </c>
      <c r="K4" s="8" t="s">
        <v>113</v>
      </c>
    </row>
    <row r="5" spans="1:12 16383:16383" ht="16.5" customHeight="1" x14ac:dyDescent="0.25">
      <c r="A5" s="26">
        <f t="shared" si="0"/>
        <v>43600</v>
      </c>
      <c r="B5" s="27">
        <v>43600</v>
      </c>
      <c r="C5" s="6" t="s">
        <v>82</v>
      </c>
      <c r="D5" s="6" t="s">
        <v>83</v>
      </c>
      <c r="E5" s="21">
        <v>0.33333333333333331</v>
      </c>
      <c r="F5" s="21">
        <v>0.9375</v>
      </c>
      <c r="G5" s="7" t="s">
        <v>27</v>
      </c>
      <c r="H5" s="7">
        <v>1</v>
      </c>
      <c r="I5" s="6" t="s">
        <v>49</v>
      </c>
      <c r="J5" s="7" t="s">
        <v>0</v>
      </c>
      <c r="K5" s="8" t="s">
        <v>0</v>
      </c>
    </row>
    <row r="6" spans="1:12 16383:16383" ht="16.5" customHeight="1" x14ac:dyDescent="0.25">
      <c r="A6" s="26">
        <f t="shared" si="0"/>
        <v>43600</v>
      </c>
      <c r="B6" s="27">
        <v>43600</v>
      </c>
      <c r="C6" s="6" t="s">
        <v>51</v>
      </c>
      <c r="D6" s="6" t="s">
        <v>52</v>
      </c>
      <c r="E6" s="21">
        <v>0.375</v>
      </c>
      <c r="F6" s="21">
        <v>0.625</v>
      </c>
      <c r="G6" s="7" t="s">
        <v>25</v>
      </c>
      <c r="H6" s="7" t="s">
        <v>0</v>
      </c>
      <c r="I6" s="6" t="s">
        <v>50</v>
      </c>
      <c r="J6" s="7" t="s">
        <v>0</v>
      </c>
      <c r="K6" s="8" t="s">
        <v>0</v>
      </c>
    </row>
    <row r="7" spans="1:12 16383:16383" ht="16.5" customHeight="1" x14ac:dyDescent="0.25">
      <c r="A7" s="26">
        <f t="shared" si="0"/>
        <v>43600</v>
      </c>
      <c r="B7" s="27">
        <v>43600</v>
      </c>
      <c r="C7" s="6" t="s">
        <v>53</v>
      </c>
      <c r="D7" s="6" t="s">
        <v>54</v>
      </c>
      <c r="E7" s="21">
        <v>0.77083333333333304</v>
      </c>
      <c r="F7" s="21">
        <v>0.8125</v>
      </c>
      <c r="G7" s="7" t="s">
        <v>24</v>
      </c>
      <c r="H7" s="7" t="s">
        <v>0</v>
      </c>
      <c r="I7" s="6" t="s">
        <v>55</v>
      </c>
      <c r="J7" s="7" t="s">
        <v>0</v>
      </c>
      <c r="K7" s="8" t="s">
        <v>0</v>
      </c>
      <c r="L7" s="3" t="s">
        <v>69</v>
      </c>
    </row>
    <row r="8" spans="1:12 16383:16383" ht="16.5" customHeight="1" x14ac:dyDescent="0.25">
      <c r="A8" s="26">
        <f t="shared" si="0"/>
        <v>43600</v>
      </c>
      <c r="B8" s="27">
        <v>43600</v>
      </c>
      <c r="C8" s="6" t="s">
        <v>56</v>
      </c>
      <c r="D8" s="6" t="s">
        <v>57</v>
      </c>
      <c r="E8" s="21">
        <v>0.58333333333333304</v>
      </c>
      <c r="F8" s="21">
        <v>0.6875</v>
      </c>
      <c r="G8" s="7" t="s">
        <v>24</v>
      </c>
      <c r="H8" s="7" t="s">
        <v>0</v>
      </c>
      <c r="I8" s="6" t="s">
        <v>55</v>
      </c>
      <c r="J8" s="7" t="s">
        <v>0</v>
      </c>
      <c r="K8" s="8" t="s">
        <v>0</v>
      </c>
      <c r="L8" s="3" t="s">
        <v>69</v>
      </c>
    </row>
    <row r="9" spans="1:12 16383:16383" ht="16.5" customHeight="1" x14ac:dyDescent="0.25">
      <c r="A9" s="26">
        <f t="shared" si="0"/>
        <v>43600</v>
      </c>
      <c r="B9" s="27">
        <v>43600</v>
      </c>
      <c r="C9" s="6" t="s">
        <v>94</v>
      </c>
      <c r="D9" s="6" t="s">
        <v>95</v>
      </c>
      <c r="E9" s="21">
        <v>0.79166666666666663</v>
      </c>
      <c r="F9" s="21">
        <v>0.875</v>
      </c>
      <c r="G9" s="7" t="s">
        <v>27</v>
      </c>
      <c r="H9" s="7">
        <v>1</v>
      </c>
      <c r="I9" s="6" t="s">
        <v>79</v>
      </c>
      <c r="J9" s="7" t="s">
        <v>0</v>
      </c>
      <c r="K9" s="8" t="s">
        <v>0</v>
      </c>
    </row>
    <row r="10" spans="1:12 16383:16383" ht="16.5" customHeight="1" x14ac:dyDescent="0.25">
      <c r="A10" s="26">
        <f t="shared" si="0"/>
        <v>43600</v>
      </c>
      <c r="B10" s="27">
        <v>43600</v>
      </c>
      <c r="C10" s="6" t="s">
        <v>122</v>
      </c>
      <c r="D10" s="6" t="s">
        <v>121</v>
      </c>
      <c r="E10" s="30">
        <v>0.5625</v>
      </c>
      <c r="F10" s="30">
        <v>0.64583333333333337</v>
      </c>
      <c r="G10" s="7" t="s">
        <v>30</v>
      </c>
      <c r="H10" s="7" t="s">
        <v>0</v>
      </c>
      <c r="I10" s="6" t="s">
        <v>123</v>
      </c>
      <c r="J10" s="7" t="s">
        <v>0</v>
      </c>
      <c r="K10" s="8" t="s">
        <v>0</v>
      </c>
      <c r="L10" s="3" t="s">
        <v>69</v>
      </c>
    </row>
    <row r="11" spans="1:12 16383:16383" ht="16.5" customHeight="1" x14ac:dyDescent="0.25">
      <c r="A11" s="26">
        <f t="shared" si="0"/>
        <v>43601</v>
      </c>
      <c r="B11" s="27">
        <v>43601</v>
      </c>
      <c r="C11" s="6" t="s">
        <v>82</v>
      </c>
      <c r="D11" s="6" t="s">
        <v>83</v>
      </c>
      <c r="E11" s="21">
        <v>0.33333333333333331</v>
      </c>
      <c r="F11" s="21">
        <v>0.9375</v>
      </c>
      <c r="G11" s="7" t="s">
        <v>27</v>
      </c>
      <c r="H11" s="7">
        <v>1</v>
      </c>
      <c r="I11" s="6" t="s">
        <v>49</v>
      </c>
      <c r="J11" s="7" t="s">
        <v>0</v>
      </c>
      <c r="K11" s="8" t="s">
        <v>0</v>
      </c>
      <c r="L11" s="3" t="s">
        <v>69</v>
      </c>
    </row>
    <row r="12" spans="1:12 16383:16383" ht="16.5" customHeight="1" x14ac:dyDescent="0.25">
      <c r="A12" s="26">
        <f t="shared" si="0"/>
        <v>43601</v>
      </c>
      <c r="B12" s="27">
        <v>43601</v>
      </c>
      <c r="C12" s="6" t="s">
        <v>60</v>
      </c>
      <c r="D12" s="6" t="s">
        <v>61</v>
      </c>
      <c r="E12" s="21">
        <v>0.58333333333333304</v>
      </c>
      <c r="F12" s="21">
        <v>0.6875</v>
      </c>
      <c r="G12" s="7" t="s">
        <v>30</v>
      </c>
      <c r="H12" s="7" t="s">
        <v>0</v>
      </c>
      <c r="I12" s="6" t="s">
        <v>31</v>
      </c>
      <c r="J12" s="7" t="s">
        <v>0</v>
      </c>
      <c r="K12" s="8" t="s">
        <v>0</v>
      </c>
    </row>
    <row r="13" spans="1:12 16383:16383" ht="16.5" customHeight="1" x14ac:dyDescent="0.25">
      <c r="A13" s="26">
        <f t="shared" si="0"/>
        <v>43601</v>
      </c>
      <c r="B13" s="27">
        <v>43601</v>
      </c>
      <c r="C13" s="6" t="s">
        <v>85</v>
      </c>
      <c r="D13" s="6" t="s">
        <v>86</v>
      </c>
      <c r="E13" s="21">
        <v>0.58333333333333337</v>
      </c>
      <c r="F13" s="21">
        <v>0.70833333333333337</v>
      </c>
      <c r="G13" s="7" t="s">
        <v>30</v>
      </c>
      <c r="H13" s="7" t="s">
        <v>0</v>
      </c>
      <c r="I13" s="6" t="s">
        <v>87</v>
      </c>
      <c r="J13" s="7" t="s">
        <v>0</v>
      </c>
      <c r="K13" s="8" t="s">
        <v>0</v>
      </c>
    </row>
    <row r="14" spans="1:12 16383:16383" ht="16.5" customHeight="1" x14ac:dyDescent="0.25">
      <c r="A14" s="26">
        <f t="shared" si="0"/>
        <v>43601</v>
      </c>
      <c r="B14" s="27">
        <v>43601</v>
      </c>
      <c r="C14" s="6" t="s">
        <v>127</v>
      </c>
      <c r="D14" s="6" t="s">
        <v>128</v>
      </c>
      <c r="E14" s="21">
        <v>0.72916666666666663</v>
      </c>
      <c r="F14" s="21">
        <v>0.79166666666666663</v>
      </c>
      <c r="G14" s="7" t="s">
        <v>25</v>
      </c>
      <c r="H14" s="7" t="s">
        <v>0</v>
      </c>
      <c r="I14" s="6" t="s">
        <v>13</v>
      </c>
      <c r="J14" s="7" t="s">
        <v>0</v>
      </c>
      <c r="K14" s="8" t="s">
        <v>0</v>
      </c>
    </row>
    <row r="15" spans="1:12 16383:16383" ht="16.5" customHeight="1" x14ac:dyDescent="0.25">
      <c r="A15" s="26">
        <f t="shared" si="0"/>
        <v>43601</v>
      </c>
      <c r="B15" s="27">
        <v>43601</v>
      </c>
      <c r="C15" s="57" t="s">
        <v>100</v>
      </c>
      <c r="D15" s="6" t="s">
        <v>99</v>
      </c>
      <c r="E15" s="21">
        <v>0.75</v>
      </c>
      <c r="F15" s="21">
        <v>0.95833333333333337</v>
      </c>
      <c r="G15" s="7" t="s">
        <v>30</v>
      </c>
      <c r="H15" s="7" t="s">
        <v>0</v>
      </c>
      <c r="I15" s="57" t="s">
        <v>31</v>
      </c>
      <c r="J15" s="7" t="s">
        <v>6</v>
      </c>
      <c r="K15" s="8" t="s">
        <v>101</v>
      </c>
    </row>
    <row r="16" spans="1:12 16383:16383" ht="16.5" customHeight="1" x14ac:dyDescent="0.25">
      <c r="A16" s="26">
        <f t="shared" si="0"/>
        <v>43602</v>
      </c>
      <c r="B16" s="27">
        <v>43602</v>
      </c>
      <c r="C16" s="6" t="s">
        <v>119</v>
      </c>
      <c r="D16" s="6" t="s">
        <v>120</v>
      </c>
      <c r="E16" s="21">
        <v>0.54166666666666663</v>
      </c>
      <c r="F16" s="21">
        <v>0.70833333333333337</v>
      </c>
      <c r="G16" s="7" t="s">
        <v>30</v>
      </c>
      <c r="H16" s="7" t="s">
        <v>0</v>
      </c>
      <c r="I16" s="6" t="s">
        <v>87</v>
      </c>
      <c r="J16" s="7" t="s">
        <v>0</v>
      </c>
      <c r="K16" s="8" t="s">
        <v>0</v>
      </c>
    </row>
    <row r="17" spans="1:12 16383:16383" ht="16.5" customHeight="1" x14ac:dyDescent="0.25">
      <c r="A17" s="26">
        <f t="shared" si="0"/>
        <v>43602</v>
      </c>
      <c r="B17" s="27">
        <v>43602</v>
      </c>
      <c r="C17" s="57" t="s">
        <v>100</v>
      </c>
      <c r="D17" s="6" t="s">
        <v>99</v>
      </c>
      <c r="E17" s="21">
        <v>0.75</v>
      </c>
      <c r="F17" s="21">
        <v>0.95833333333333337</v>
      </c>
      <c r="G17" s="7" t="s">
        <v>30</v>
      </c>
      <c r="H17" s="7" t="s">
        <v>0</v>
      </c>
      <c r="I17" s="57" t="s">
        <v>31</v>
      </c>
      <c r="J17" s="7" t="s">
        <v>6</v>
      </c>
      <c r="K17" s="8" t="s">
        <v>101</v>
      </c>
    </row>
    <row r="18" spans="1:12 16383:16383" ht="16.5" customHeight="1" x14ac:dyDescent="0.25">
      <c r="A18" s="26">
        <f t="shared" si="0"/>
        <v>43602</v>
      </c>
      <c r="B18" s="27">
        <v>43602</v>
      </c>
      <c r="C18" s="57" t="s">
        <v>117</v>
      </c>
      <c r="D18" s="6" t="s">
        <v>118</v>
      </c>
      <c r="E18" s="21">
        <v>0.625</v>
      </c>
      <c r="F18" s="21">
        <v>0.70833333333333337</v>
      </c>
      <c r="G18" s="7" t="s">
        <v>25</v>
      </c>
      <c r="H18" s="7" t="s">
        <v>0</v>
      </c>
      <c r="I18" s="57" t="s">
        <v>107</v>
      </c>
      <c r="J18" s="7" t="s">
        <v>0</v>
      </c>
      <c r="K18" s="8" t="s">
        <v>0</v>
      </c>
      <c r="L18" s="3" t="s">
        <v>6</v>
      </c>
    </row>
    <row r="19" spans="1:12 16383:16383" s="25" customFormat="1" ht="16.5" customHeight="1" x14ac:dyDescent="0.25">
      <c r="A19" s="26">
        <f t="shared" si="0"/>
        <v>43602</v>
      </c>
      <c r="B19" s="27">
        <v>43602</v>
      </c>
      <c r="C19" s="6" t="s">
        <v>10</v>
      </c>
      <c r="D19" s="6" t="s">
        <v>7</v>
      </c>
      <c r="E19" s="30">
        <v>0.8125</v>
      </c>
      <c r="F19" s="30">
        <v>0.95833333333333337</v>
      </c>
      <c r="G19" s="7" t="s">
        <v>24</v>
      </c>
      <c r="H19" s="7" t="s">
        <v>0</v>
      </c>
      <c r="I19" s="6" t="s">
        <v>8</v>
      </c>
      <c r="J19" s="7" t="s">
        <v>6</v>
      </c>
      <c r="K19" s="8" t="s">
        <v>39</v>
      </c>
      <c r="L19" s="25" t="s">
        <v>6</v>
      </c>
      <c r="XFC19" s="3"/>
    </row>
    <row r="20" spans="1:12 16383:16383" ht="16.5" customHeight="1" x14ac:dyDescent="0.25">
      <c r="A20" s="13">
        <f t="shared" si="0"/>
        <v>43603</v>
      </c>
      <c r="B20" s="14">
        <v>43603</v>
      </c>
      <c r="C20" s="15" t="s">
        <v>144</v>
      </c>
      <c r="D20" s="15" t="s">
        <v>145</v>
      </c>
      <c r="E20" s="22">
        <v>0.33333333333333331</v>
      </c>
      <c r="F20" s="22">
        <v>0.54166666666666663</v>
      </c>
      <c r="G20" s="16" t="s">
        <v>24</v>
      </c>
      <c r="H20" s="16" t="s">
        <v>0</v>
      </c>
      <c r="I20" s="15" t="s">
        <v>49</v>
      </c>
      <c r="J20" s="16" t="s">
        <v>0</v>
      </c>
      <c r="K20" s="16" t="s">
        <v>0</v>
      </c>
    </row>
    <row r="21" spans="1:12 16383:16383" ht="16.5" customHeight="1" x14ac:dyDescent="0.25">
      <c r="A21" s="13">
        <v>43603</v>
      </c>
      <c r="B21" s="14">
        <v>43603</v>
      </c>
      <c r="C21" s="15" t="s">
        <v>18</v>
      </c>
      <c r="D21" s="15" t="s">
        <v>7</v>
      </c>
      <c r="E21" s="22">
        <v>0.33333333333333331</v>
      </c>
      <c r="F21" s="22">
        <v>0.70833333333333337</v>
      </c>
      <c r="G21" s="16" t="s">
        <v>26</v>
      </c>
      <c r="H21" s="16" t="s">
        <v>0</v>
      </c>
      <c r="I21" s="15" t="s">
        <v>130</v>
      </c>
      <c r="J21" s="16" t="s">
        <v>6</v>
      </c>
      <c r="K21" s="16" t="s">
        <v>38</v>
      </c>
    </row>
    <row r="22" spans="1:12 16383:16383" ht="16.5" customHeight="1" x14ac:dyDescent="0.25">
      <c r="A22" s="13">
        <f t="shared" ref="A22:A54" si="1">B22</f>
        <v>43603</v>
      </c>
      <c r="B22" s="14">
        <v>43603</v>
      </c>
      <c r="C22" s="15" t="s">
        <v>91</v>
      </c>
      <c r="D22" s="15" t="s">
        <v>7</v>
      </c>
      <c r="E22" s="23">
        <v>0.33333333333333331</v>
      </c>
      <c r="F22" s="23">
        <v>0.68055555555555547</v>
      </c>
      <c r="G22" s="16" t="s">
        <v>92</v>
      </c>
      <c r="H22" s="16" t="s">
        <v>0</v>
      </c>
      <c r="I22" s="15" t="s">
        <v>93</v>
      </c>
      <c r="J22" s="16" t="s">
        <v>0</v>
      </c>
      <c r="K22" s="16" t="s">
        <v>33</v>
      </c>
    </row>
    <row r="23" spans="1:12 16383:16383" ht="16.5" customHeight="1" x14ac:dyDescent="0.25">
      <c r="A23" s="13">
        <f t="shared" si="1"/>
        <v>43603</v>
      </c>
      <c r="B23" s="14">
        <v>43603</v>
      </c>
      <c r="C23" s="15" t="s">
        <v>94</v>
      </c>
      <c r="D23" s="15" t="s">
        <v>95</v>
      </c>
      <c r="E23" s="22">
        <v>0.33333333333333331</v>
      </c>
      <c r="F23" s="22">
        <v>0.5</v>
      </c>
      <c r="G23" s="16" t="s">
        <v>27</v>
      </c>
      <c r="H23" s="16">
        <v>1</v>
      </c>
      <c r="I23" s="15" t="s">
        <v>49</v>
      </c>
      <c r="J23" s="16" t="s">
        <v>0</v>
      </c>
      <c r="K23" s="16" t="s">
        <v>0</v>
      </c>
    </row>
    <row r="24" spans="1:12 16383:16383" s="25" customFormat="1" ht="16.5" customHeight="1" x14ac:dyDescent="0.25">
      <c r="A24" s="13">
        <f t="shared" si="1"/>
        <v>43603</v>
      </c>
      <c r="B24" s="14">
        <v>43603</v>
      </c>
      <c r="C24" s="15" t="s">
        <v>96</v>
      </c>
      <c r="D24" s="15" t="s">
        <v>7</v>
      </c>
      <c r="E24" s="22">
        <v>0.54166666666666663</v>
      </c>
      <c r="F24" s="22">
        <v>0.72916666666666663</v>
      </c>
      <c r="G24" s="16" t="s">
        <v>26</v>
      </c>
      <c r="H24" s="16" t="s">
        <v>0</v>
      </c>
      <c r="I24" s="15" t="s">
        <v>97</v>
      </c>
      <c r="J24" s="16" t="s">
        <v>6</v>
      </c>
      <c r="K24" s="16" t="s">
        <v>98</v>
      </c>
      <c r="L24" s="25" t="s">
        <v>69</v>
      </c>
      <c r="XFC24" s="3"/>
    </row>
    <row r="25" spans="1:12 16383:16383" s="25" customFormat="1" ht="16.5" customHeight="1" x14ac:dyDescent="0.25">
      <c r="A25" s="13">
        <f t="shared" si="1"/>
        <v>43603</v>
      </c>
      <c r="B25" s="14">
        <v>43603</v>
      </c>
      <c r="C25" s="15" t="s">
        <v>132</v>
      </c>
      <c r="D25" s="15" t="s">
        <v>133</v>
      </c>
      <c r="E25" s="22">
        <v>0.33333333333333331</v>
      </c>
      <c r="F25" s="22">
        <v>0.5</v>
      </c>
      <c r="G25" s="16" t="s">
        <v>27</v>
      </c>
      <c r="H25" s="16" t="s">
        <v>0</v>
      </c>
      <c r="I25" s="15" t="s">
        <v>8</v>
      </c>
      <c r="J25" s="16" t="s">
        <v>0</v>
      </c>
      <c r="K25" s="16" t="s">
        <v>0</v>
      </c>
      <c r="XFC25" s="3"/>
    </row>
    <row r="26" spans="1:12 16383:16383" ht="16.5" customHeight="1" x14ac:dyDescent="0.25">
      <c r="A26" s="13">
        <f t="shared" si="1"/>
        <v>43604</v>
      </c>
      <c r="B26" s="14">
        <v>43604</v>
      </c>
      <c r="C26" s="15" t="s">
        <v>63</v>
      </c>
      <c r="D26" s="15" t="s">
        <v>64</v>
      </c>
      <c r="E26" s="22">
        <v>0.375</v>
      </c>
      <c r="F26" s="22">
        <v>0.5</v>
      </c>
      <c r="G26" s="16" t="s">
        <v>26</v>
      </c>
      <c r="H26" s="16" t="s">
        <v>0</v>
      </c>
      <c r="I26" s="15" t="s">
        <v>62</v>
      </c>
      <c r="J26" s="16" t="s">
        <v>0</v>
      </c>
      <c r="K26" s="16" t="s">
        <v>0</v>
      </c>
      <c r="L26" s="3" t="s">
        <v>69</v>
      </c>
    </row>
    <row r="27" spans="1:12 16383:16383" ht="16.5" customHeight="1" x14ac:dyDescent="0.25">
      <c r="A27" s="13">
        <f t="shared" si="1"/>
        <v>43604</v>
      </c>
      <c r="B27" s="14">
        <v>43604</v>
      </c>
      <c r="C27" s="15" t="s">
        <v>141</v>
      </c>
      <c r="D27" s="15" t="s">
        <v>140</v>
      </c>
      <c r="E27" s="22">
        <v>0.29166666666666669</v>
      </c>
      <c r="F27" s="22">
        <v>0.75</v>
      </c>
      <c r="G27" s="16" t="s">
        <v>142</v>
      </c>
      <c r="H27" s="16" t="s">
        <v>0</v>
      </c>
      <c r="I27" s="15" t="s">
        <v>143</v>
      </c>
      <c r="J27" s="16" t="s">
        <v>0</v>
      </c>
      <c r="K27" s="16" t="s">
        <v>0</v>
      </c>
    </row>
    <row r="28" spans="1:12 16383:16383" s="25" customFormat="1" ht="16.5" customHeight="1" x14ac:dyDescent="0.25">
      <c r="A28" s="26">
        <f t="shared" si="1"/>
        <v>43605</v>
      </c>
      <c r="B28" s="27">
        <v>43605</v>
      </c>
      <c r="C28" s="29" t="s">
        <v>137</v>
      </c>
      <c r="D28" s="29" t="s">
        <v>105</v>
      </c>
      <c r="E28" s="30">
        <v>0.25</v>
      </c>
      <c r="F28" s="30">
        <v>0.95833333333333337</v>
      </c>
      <c r="G28" s="31" t="s">
        <v>25</v>
      </c>
      <c r="H28" s="31" t="s">
        <v>0</v>
      </c>
      <c r="I28" s="29" t="s">
        <v>13</v>
      </c>
      <c r="J28" s="31" t="s">
        <v>0</v>
      </c>
      <c r="K28" s="8" t="s">
        <v>0</v>
      </c>
      <c r="L28" s="25" t="s">
        <v>69</v>
      </c>
      <c r="XFC28" s="3"/>
    </row>
    <row r="29" spans="1:12 16383:16383" s="25" customFormat="1" ht="16.5" customHeight="1" x14ac:dyDescent="0.25">
      <c r="A29" s="26">
        <f t="shared" si="1"/>
        <v>43606</v>
      </c>
      <c r="B29" s="27">
        <v>43606</v>
      </c>
      <c r="C29" s="29" t="s">
        <v>137</v>
      </c>
      <c r="D29" s="29" t="s">
        <v>105</v>
      </c>
      <c r="E29" s="30">
        <v>0.25</v>
      </c>
      <c r="F29" s="30">
        <v>0.95833333333333337</v>
      </c>
      <c r="G29" s="31" t="s">
        <v>25</v>
      </c>
      <c r="H29" s="31" t="s">
        <v>0</v>
      </c>
      <c r="I29" s="29" t="s">
        <v>13</v>
      </c>
      <c r="J29" s="31" t="s">
        <v>0</v>
      </c>
      <c r="K29" s="8" t="s">
        <v>0</v>
      </c>
      <c r="L29" s="25" t="s">
        <v>69</v>
      </c>
      <c r="XFC29" s="3"/>
    </row>
    <row r="30" spans="1:12 16383:16383" ht="16.5" customHeight="1" x14ac:dyDescent="0.25">
      <c r="A30" s="26">
        <f t="shared" si="1"/>
        <v>43606</v>
      </c>
      <c r="B30" s="27">
        <v>43606</v>
      </c>
      <c r="C30" s="6" t="s">
        <v>152</v>
      </c>
      <c r="D30" s="6" t="s">
        <v>156</v>
      </c>
      <c r="E30" s="21">
        <v>0.79166666666666663</v>
      </c>
      <c r="F30" s="21">
        <v>0.95833333333333337</v>
      </c>
      <c r="G30" s="7" t="s">
        <v>27</v>
      </c>
      <c r="H30" s="7">
        <v>1</v>
      </c>
      <c r="I30" s="6" t="s">
        <v>79</v>
      </c>
      <c r="J30" s="7" t="s">
        <v>0</v>
      </c>
      <c r="K30" s="8" t="s">
        <v>0</v>
      </c>
    </row>
    <row r="31" spans="1:12 16383:16383" ht="16.5" customHeight="1" x14ac:dyDescent="0.25">
      <c r="A31" s="26">
        <f t="shared" si="1"/>
        <v>43606</v>
      </c>
      <c r="B31" s="27">
        <v>43606</v>
      </c>
      <c r="C31" s="6" t="s">
        <v>159</v>
      </c>
      <c r="D31" s="6" t="s">
        <v>11</v>
      </c>
      <c r="E31" s="21">
        <v>0.64583333333333337</v>
      </c>
      <c r="F31" s="21">
        <v>0.72916666666666663</v>
      </c>
      <c r="G31" s="7" t="s">
        <v>25</v>
      </c>
      <c r="H31" s="7" t="s">
        <v>0</v>
      </c>
      <c r="I31" s="6" t="s">
        <v>13</v>
      </c>
      <c r="J31" s="7" t="s">
        <v>0</v>
      </c>
      <c r="K31" s="8" t="s">
        <v>0</v>
      </c>
    </row>
    <row r="32" spans="1:12 16383:16383" ht="16.5" customHeight="1" x14ac:dyDescent="0.25">
      <c r="A32" s="26">
        <f t="shared" si="1"/>
        <v>43607</v>
      </c>
      <c r="B32" s="27">
        <v>43607</v>
      </c>
      <c r="C32" s="6" t="s">
        <v>51</v>
      </c>
      <c r="D32" s="6" t="s">
        <v>52</v>
      </c>
      <c r="E32" s="21">
        <v>0.375</v>
      </c>
      <c r="F32" s="21">
        <v>0.625</v>
      </c>
      <c r="G32" s="7" t="s">
        <v>25</v>
      </c>
      <c r="H32" s="7" t="s">
        <v>0</v>
      </c>
      <c r="I32" s="6" t="s">
        <v>50</v>
      </c>
      <c r="J32" s="7" t="s">
        <v>0</v>
      </c>
      <c r="K32" s="8" t="s">
        <v>0</v>
      </c>
    </row>
    <row r="33" spans="1:12 16383:16383" s="25" customFormat="1" ht="16.5" customHeight="1" x14ac:dyDescent="0.25">
      <c r="A33" s="26">
        <f t="shared" si="1"/>
        <v>43607</v>
      </c>
      <c r="B33" s="27">
        <v>43607</v>
      </c>
      <c r="C33" s="6" t="s">
        <v>53</v>
      </c>
      <c r="D33" s="6" t="s">
        <v>54</v>
      </c>
      <c r="E33" s="21">
        <v>0.77083333333333304</v>
      </c>
      <c r="F33" s="21">
        <v>0.8125</v>
      </c>
      <c r="G33" s="7" t="s">
        <v>24</v>
      </c>
      <c r="H33" s="7" t="s">
        <v>0</v>
      </c>
      <c r="I33" s="6" t="s">
        <v>55</v>
      </c>
      <c r="J33" s="7" t="s">
        <v>0</v>
      </c>
      <c r="K33" s="8" t="s">
        <v>0</v>
      </c>
      <c r="L33" s="25" t="s">
        <v>6</v>
      </c>
      <c r="XFC33" s="3"/>
    </row>
    <row r="34" spans="1:12 16383:16383" s="25" customFormat="1" ht="16.5" customHeight="1" x14ac:dyDescent="0.25">
      <c r="A34" s="26">
        <f t="shared" si="1"/>
        <v>43607</v>
      </c>
      <c r="B34" s="27">
        <v>43607</v>
      </c>
      <c r="C34" s="6" t="s">
        <v>56</v>
      </c>
      <c r="D34" s="6" t="s">
        <v>57</v>
      </c>
      <c r="E34" s="21">
        <v>0.58333333333333304</v>
      </c>
      <c r="F34" s="21">
        <v>0.6875</v>
      </c>
      <c r="G34" s="7" t="s">
        <v>24</v>
      </c>
      <c r="H34" s="7" t="s">
        <v>0</v>
      </c>
      <c r="I34" s="6" t="s">
        <v>55</v>
      </c>
      <c r="J34" s="7" t="s">
        <v>0</v>
      </c>
      <c r="K34" s="8" t="s">
        <v>0</v>
      </c>
      <c r="XFC34" s="3"/>
    </row>
    <row r="35" spans="1:12 16383:16383" s="25" customFormat="1" ht="16.5" customHeight="1" x14ac:dyDescent="0.25">
      <c r="A35" s="26">
        <f t="shared" si="1"/>
        <v>43607</v>
      </c>
      <c r="B35" s="27">
        <v>43607</v>
      </c>
      <c r="C35" s="6" t="s">
        <v>167</v>
      </c>
      <c r="D35" s="6" t="s">
        <v>151</v>
      </c>
      <c r="E35" s="21">
        <v>0.58333333333333337</v>
      </c>
      <c r="F35" s="21">
        <v>0.625</v>
      </c>
      <c r="G35" s="7" t="s">
        <v>27</v>
      </c>
      <c r="H35" s="7">
        <v>1</v>
      </c>
      <c r="I35" s="6" t="s">
        <v>49</v>
      </c>
      <c r="J35" s="7" t="s">
        <v>0</v>
      </c>
      <c r="K35" s="8" t="s">
        <v>0</v>
      </c>
      <c r="XFC35" s="3"/>
    </row>
    <row r="36" spans="1:12 16383:16383" s="25" customFormat="1" ht="16.5" customHeight="1" x14ac:dyDescent="0.25">
      <c r="A36" s="26">
        <f t="shared" si="1"/>
        <v>43607</v>
      </c>
      <c r="B36" s="27">
        <v>43607</v>
      </c>
      <c r="C36" s="6" t="s">
        <v>94</v>
      </c>
      <c r="D36" s="6" t="s">
        <v>95</v>
      </c>
      <c r="E36" s="21">
        <v>0.79166666666666663</v>
      </c>
      <c r="F36" s="21">
        <v>0.875</v>
      </c>
      <c r="G36" s="7" t="s">
        <v>27</v>
      </c>
      <c r="H36" s="7">
        <v>1</v>
      </c>
      <c r="I36" s="6" t="s">
        <v>49</v>
      </c>
      <c r="J36" s="7" t="s">
        <v>0</v>
      </c>
      <c r="K36" s="8" t="s">
        <v>0</v>
      </c>
      <c r="L36" s="25" t="s">
        <v>69</v>
      </c>
      <c r="XFC36" s="3"/>
    </row>
    <row r="37" spans="1:12 16383:16383" s="25" customFormat="1" ht="16.5" customHeight="1" x14ac:dyDescent="0.25">
      <c r="A37" s="26">
        <f t="shared" si="1"/>
        <v>43607</v>
      </c>
      <c r="B37" s="27">
        <v>43607</v>
      </c>
      <c r="C37" s="6" t="s">
        <v>122</v>
      </c>
      <c r="D37" s="6" t="s">
        <v>121</v>
      </c>
      <c r="E37" s="30">
        <v>0.5625</v>
      </c>
      <c r="F37" s="30">
        <v>0.64583333333333337</v>
      </c>
      <c r="G37" s="7" t="s">
        <v>30</v>
      </c>
      <c r="H37" s="7" t="s">
        <v>0</v>
      </c>
      <c r="I37" s="6" t="s">
        <v>123</v>
      </c>
      <c r="J37" s="7" t="s">
        <v>0</v>
      </c>
      <c r="K37" s="8" t="s">
        <v>0</v>
      </c>
      <c r="XFC37" s="3"/>
    </row>
    <row r="38" spans="1:12 16383:16383" s="25" customFormat="1" ht="16.5" customHeight="1" x14ac:dyDescent="0.25">
      <c r="A38" s="26">
        <f t="shared" si="1"/>
        <v>43607</v>
      </c>
      <c r="B38" s="27">
        <v>43607</v>
      </c>
      <c r="C38" s="6" t="s">
        <v>134</v>
      </c>
      <c r="D38" s="6" t="s">
        <v>135</v>
      </c>
      <c r="E38" s="30">
        <v>0.79166666666666663</v>
      </c>
      <c r="F38" s="30">
        <v>0.875</v>
      </c>
      <c r="G38" s="7" t="s">
        <v>23</v>
      </c>
      <c r="H38" s="7">
        <v>4</v>
      </c>
      <c r="I38" s="6" t="s">
        <v>136</v>
      </c>
      <c r="J38" s="7" t="s">
        <v>0</v>
      </c>
      <c r="K38" s="8" t="s">
        <v>0</v>
      </c>
      <c r="L38" s="25" t="s">
        <v>6</v>
      </c>
      <c r="XFC38" s="3"/>
    </row>
    <row r="39" spans="1:12 16383:16383" s="25" customFormat="1" ht="16.5" customHeight="1" x14ac:dyDescent="0.25">
      <c r="A39" s="26">
        <f t="shared" si="1"/>
        <v>43607</v>
      </c>
      <c r="B39" s="27">
        <v>43607</v>
      </c>
      <c r="C39" s="29" t="s">
        <v>137</v>
      </c>
      <c r="D39" s="29" t="s">
        <v>105</v>
      </c>
      <c r="E39" s="30">
        <v>0.25</v>
      </c>
      <c r="F39" s="30">
        <v>0.95833333333333337</v>
      </c>
      <c r="G39" s="31" t="s">
        <v>25</v>
      </c>
      <c r="H39" s="31" t="s">
        <v>0</v>
      </c>
      <c r="I39" s="29" t="s">
        <v>13</v>
      </c>
      <c r="J39" s="31" t="s">
        <v>0</v>
      </c>
      <c r="K39" s="8" t="s">
        <v>0</v>
      </c>
      <c r="XFC39" s="3"/>
    </row>
    <row r="40" spans="1:12 16383:16383" ht="16.5" customHeight="1" x14ac:dyDescent="0.25">
      <c r="A40" s="26">
        <f t="shared" si="1"/>
        <v>43607</v>
      </c>
      <c r="B40" s="27">
        <v>43607</v>
      </c>
      <c r="C40" s="6" t="s">
        <v>152</v>
      </c>
      <c r="D40" s="6" t="s">
        <v>156</v>
      </c>
      <c r="E40" s="21">
        <v>0.79166666666666663</v>
      </c>
      <c r="F40" s="21">
        <v>0.95833333333333337</v>
      </c>
      <c r="G40" s="7" t="s">
        <v>27</v>
      </c>
      <c r="H40" s="7">
        <v>1</v>
      </c>
      <c r="I40" s="6" t="s">
        <v>79</v>
      </c>
      <c r="J40" s="7" t="s">
        <v>0</v>
      </c>
      <c r="K40" s="8" t="s">
        <v>0</v>
      </c>
    </row>
    <row r="41" spans="1:12 16383:16383" ht="16.5" customHeight="1" x14ac:dyDescent="0.25">
      <c r="A41" s="42">
        <f t="shared" si="1"/>
        <v>43608</v>
      </c>
      <c r="B41" s="43">
        <v>43608</v>
      </c>
      <c r="C41" s="29" t="s">
        <v>76</v>
      </c>
      <c r="D41" s="44" t="s">
        <v>61</v>
      </c>
      <c r="E41" s="45">
        <v>0.58333333333333337</v>
      </c>
      <c r="F41" s="45">
        <v>0.70833333333333337</v>
      </c>
      <c r="G41" s="46" t="s">
        <v>30</v>
      </c>
      <c r="H41" s="46" t="s">
        <v>0</v>
      </c>
      <c r="I41" s="44" t="s">
        <v>31</v>
      </c>
      <c r="J41" s="46" t="s">
        <v>0</v>
      </c>
      <c r="K41" s="46" t="s">
        <v>0</v>
      </c>
      <c r="L41" s="3" t="s">
        <v>6</v>
      </c>
    </row>
    <row r="42" spans="1:12 16383:16383" ht="16.5" customHeight="1" x14ac:dyDescent="0.25">
      <c r="A42" s="42">
        <f t="shared" si="1"/>
        <v>43608</v>
      </c>
      <c r="B42" s="43">
        <v>43608</v>
      </c>
      <c r="C42" s="29" t="s">
        <v>131</v>
      </c>
      <c r="D42" s="44" t="s">
        <v>99</v>
      </c>
      <c r="E42" s="45">
        <v>0.375</v>
      </c>
      <c r="F42" s="45">
        <v>0.45833333333333331</v>
      </c>
      <c r="G42" s="46" t="s">
        <v>27</v>
      </c>
      <c r="H42" s="46">
        <v>1</v>
      </c>
      <c r="I42" s="44" t="s">
        <v>49</v>
      </c>
      <c r="J42" s="46" t="s">
        <v>0</v>
      </c>
      <c r="K42" s="46" t="s">
        <v>0</v>
      </c>
    </row>
    <row r="43" spans="1:12 16383:16383" ht="16.5" customHeight="1" x14ac:dyDescent="0.25">
      <c r="A43" s="26">
        <f t="shared" si="1"/>
        <v>43608</v>
      </c>
      <c r="B43" s="27">
        <v>43608</v>
      </c>
      <c r="C43" s="29" t="s">
        <v>137</v>
      </c>
      <c r="D43" s="29" t="s">
        <v>105</v>
      </c>
      <c r="E43" s="30">
        <v>0.25</v>
      </c>
      <c r="F43" s="30">
        <v>0.95833333333333337</v>
      </c>
      <c r="G43" s="31" t="s">
        <v>25</v>
      </c>
      <c r="H43" s="31" t="s">
        <v>0</v>
      </c>
      <c r="I43" s="29" t="s">
        <v>13</v>
      </c>
      <c r="J43" s="31" t="s">
        <v>0</v>
      </c>
      <c r="K43" s="8" t="s">
        <v>0</v>
      </c>
      <c r="L43" s="3" t="s">
        <v>6</v>
      </c>
    </row>
    <row r="44" spans="1:12 16383:16383" ht="16.5" customHeight="1" x14ac:dyDescent="0.25">
      <c r="A44" s="26">
        <f t="shared" si="1"/>
        <v>43608</v>
      </c>
      <c r="B44" s="27">
        <v>43608</v>
      </c>
      <c r="C44" s="6" t="s">
        <v>152</v>
      </c>
      <c r="D44" s="6" t="s">
        <v>156</v>
      </c>
      <c r="E44" s="21">
        <v>0.79166666666666663</v>
      </c>
      <c r="F44" s="21">
        <v>0.95833333333333337</v>
      </c>
      <c r="G44" s="7" t="s">
        <v>27</v>
      </c>
      <c r="H44" s="7">
        <v>1</v>
      </c>
      <c r="I44" s="6" t="s">
        <v>79</v>
      </c>
      <c r="J44" s="7" t="s">
        <v>0</v>
      </c>
      <c r="K44" s="8" t="s">
        <v>0</v>
      </c>
    </row>
    <row r="45" spans="1:12 16383:16383" ht="16.5" customHeight="1" x14ac:dyDescent="0.25">
      <c r="A45" s="26">
        <f t="shared" si="1"/>
        <v>43609</v>
      </c>
      <c r="B45" s="27">
        <v>43609</v>
      </c>
      <c r="C45" s="6" t="s">
        <v>160</v>
      </c>
      <c r="D45" s="6" t="s">
        <v>161</v>
      </c>
      <c r="E45" s="21">
        <v>0.33333333333333331</v>
      </c>
      <c r="F45" s="21">
        <v>0.45833333333333331</v>
      </c>
      <c r="G45" s="7" t="s">
        <v>30</v>
      </c>
      <c r="H45" s="7" t="s">
        <v>0</v>
      </c>
      <c r="I45" s="6" t="s">
        <v>31</v>
      </c>
      <c r="J45" s="7" t="s">
        <v>0</v>
      </c>
      <c r="K45" s="8" t="s">
        <v>0</v>
      </c>
    </row>
    <row r="46" spans="1:12 16383:16383" ht="16.5" customHeight="1" x14ac:dyDescent="0.25">
      <c r="A46" s="26">
        <f t="shared" si="1"/>
        <v>43609</v>
      </c>
      <c r="B46" s="27">
        <v>43609</v>
      </c>
      <c r="C46" s="29" t="s">
        <v>146</v>
      </c>
      <c r="D46" s="29" t="s">
        <v>147</v>
      </c>
      <c r="E46" s="30">
        <v>0.70833333333333337</v>
      </c>
      <c r="F46" s="30">
        <v>0.91666666666666663</v>
      </c>
      <c r="G46" s="31" t="s">
        <v>23</v>
      </c>
      <c r="H46" s="31">
        <v>2</v>
      </c>
      <c r="I46" s="29" t="s">
        <v>148</v>
      </c>
      <c r="J46" s="31" t="s">
        <v>0</v>
      </c>
      <c r="K46" s="8" t="s">
        <v>0</v>
      </c>
      <c r="L46" s="3" t="s">
        <v>6</v>
      </c>
    </row>
    <row r="47" spans="1:12 16383:16383" ht="16.5" customHeight="1" x14ac:dyDescent="0.25">
      <c r="A47" s="26">
        <f t="shared" si="1"/>
        <v>43609</v>
      </c>
      <c r="B47" s="27">
        <v>43609</v>
      </c>
      <c r="C47" s="29" t="s">
        <v>10</v>
      </c>
      <c r="D47" s="29" t="s">
        <v>7</v>
      </c>
      <c r="E47" s="30">
        <v>0.8125</v>
      </c>
      <c r="F47" s="30">
        <v>0.95833333333333337</v>
      </c>
      <c r="G47" s="31" t="s">
        <v>24</v>
      </c>
      <c r="H47" s="31" t="s">
        <v>0</v>
      </c>
      <c r="I47" s="29" t="s">
        <v>8</v>
      </c>
      <c r="J47" s="31" t="s">
        <v>6</v>
      </c>
      <c r="K47" s="8" t="s">
        <v>39</v>
      </c>
    </row>
    <row r="48" spans="1:12 16383:16383" ht="16.5" customHeight="1" x14ac:dyDescent="0.25">
      <c r="A48" s="26">
        <f t="shared" si="1"/>
        <v>43609</v>
      </c>
      <c r="B48" s="27">
        <v>43609</v>
      </c>
      <c r="C48" s="29" t="s">
        <v>171</v>
      </c>
      <c r="D48" s="29" t="s">
        <v>129</v>
      </c>
      <c r="E48" s="30">
        <v>0.77083333333333337</v>
      </c>
      <c r="F48" s="30">
        <v>0.97916666666666663</v>
      </c>
      <c r="G48" s="31" t="s">
        <v>30</v>
      </c>
      <c r="H48" s="31" t="s">
        <v>0</v>
      </c>
      <c r="I48" s="29" t="s">
        <v>31</v>
      </c>
      <c r="J48" s="31" t="s">
        <v>0</v>
      </c>
      <c r="K48" s="8" t="s">
        <v>0</v>
      </c>
    </row>
    <row r="49" spans="1:12" ht="16.5" customHeight="1" x14ac:dyDescent="0.25">
      <c r="A49" s="26">
        <f t="shared" si="1"/>
        <v>43609</v>
      </c>
      <c r="B49" s="27">
        <v>43609</v>
      </c>
      <c r="C49" s="29" t="s">
        <v>137</v>
      </c>
      <c r="D49" s="29" t="s">
        <v>105</v>
      </c>
      <c r="E49" s="30">
        <v>0.25</v>
      </c>
      <c r="F49" s="30">
        <v>0.95833333333333337</v>
      </c>
      <c r="G49" s="31" t="s">
        <v>25</v>
      </c>
      <c r="H49" s="31" t="s">
        <v>0</v>
      </c>
      <c r="I49" s="29" t="s">
        <v>13</v>
      </c>
      <c r="J49" s="31" t="s">
        <v>0</v>
      </c>
      <c r="K49" s="8" t="s">
        <v>0</v>
      </c>
    </row>
    <row r="50" spans="1:12" ht="16.5" customHeight="1" x14ac:dyDescent="0.25">
      <c r="A50" s="26">
        <f t="shared" si="1"/>
        <v>43609</v>
      </c>
      <c r="B50" s="27">
        <v>43609</v>
      </c>
      <c r="C50" s="6" t="s">
        <v>152</v>
      </c>
      <c r="D50" s="6" t="s">
        <v>156</v>
      </c>
      <c r="E50" s="21">
        <v>0.375</v>
      </c>
      <c r="F50" s="21">
        <v>0.5</v>
      </c>
      <c r="G50" s="7" t="s">
        <v>27</v>
      </c>
      <c r="H50" s="7">
        <v>1</v>
      </c>
      <c r="I50" s="6" t="s">
        <v>79</v>
      </c>
      <c r="J50" s="7" t="s">
        <v>0</v>
      </c>
      <c r="K50" s="8" t="s">
        <v>0</v>
      </c>
      <c r="L50" s="3" t="s">
        <v>69</v>
      </c>
    </row>
    <row r="51" spans="1:12" ht="16.5" customHeight="1" x14ac:dyDescent="0.25">
      <c r="A51" s="13">
        <f t="shared" si="1"/>
        <v>43610</v>
      </c>
      <c r="B51" s="14">
        <v>43610</v>
      </c>
      <c r="C51" s="15" t="s">
        <v>171</v>
      </c>
      <c r="D51" s="15" t="s">
        <v>129</v>
      </c>
      <c r="E51" s="22">
        <v>0.33333333333333331</v>
      </c>
      <c r="F51" s="22">
        <v>0.54166666666666663</v>
      </c>
      <c r="G51" s="16" t="s">
        <v>30</v>
      </c>
      <c r="H51" s="16" t="s">
        <v>0</v>
      </c>
      <c r="I51" s="15" t="s">
        <v>130</v>
      </c>
      <c r="J51" s="16" t="s">
        <v>0</v>
      </c>
      <c r="K51" s="16" t="s">
        <v>0</v>
      </c>
      <c r="L51" s="3" t="s">
        <v>69</v>
      </c>
    </row>
    <row r="52" spans="1:12" ht="16.5" customHeight="1" x14ac:dyDescent="0.25">
      <c r="A52" s="13">
        <f t="shared" si="1"/>
        <v>43610</v>
      </c>
      <c r="B52" s="14">
        <v>43610</v>
      </c>
      <c r="C52" s="15" t="s">
        <v>37</v>
      </c>
      <c r="D52" s="15" t="s">
        <v>7</v>
      </c>
      <c r="E52" s="22">
        <v>0.33333333333333331</v>
      </c>
      <c r="F52" s="22">
        <v>0.58333333333333337</v>
      </c>
      <c r="G52" s="16" t="s">
        <v>25</v>
      </c>
      <c r="H52" s="16" t="s">
        <v>0</v>
      </c>
      <c r="I52" s="15" t="s">
        <v>139</v>
      </c>
      <c r="J52" s="16" t="s">
        <v>6</v>
      </c>
      <c r="K52" s="16" t="s">
        <v>0</v>
      </c>
      <c r="L52" s="3" t="s">
        <v>69</v>
      </c>
    </row>
    <row r="53" spans="1:12" ht="16.5" customHeight="1" x14ac:dyDescent="0.25">
      <c r="A53" s="13">
        <f t="shared" si="1"/>
        <v>43610</v>
      </c>
      <c r="B53" s="14">
        <v>43610</v>
      </c>
      <c r="C53" s="15" t="s">
        <v>34</v>
      </c>
      <c r="D53" s="15" t="s">
        <v>7</v>
      </c>
      <c r="E53" s="22">
        <v>0.33333333333333331</v>
      </c>
      <c r="F53" s="22">
        <v>0.58333333333333337</v>
      </c>
      <c r="G53" s="16" t="s">
        <v>25</v>
      </c>
      <c r="H53" s="16" t="s">
        <v>0</v>
      </c>
      <c r="I53" s="15" t="s">
        <v>139</v>
      </c>
      <c r="J53" s="16" t="s">
        <v>6</v>
      </c>
      <c r="K53" s="16" t="s">
        <v>36</v>
      </c>
    </row>
    <row r="54" spans="1:12" ht="16.5" customHeight="1" x14ac:dyDescent="0.25">
      <c r="A54" s="13">
        <f t="shared" si="1"/>
        <v>43610</v>
      </c>
      <c r="B54" s="14">
        <v>43610</v>
      </c>
      <c r="C54" s="15" t="s">
        <v>164</v>
      </c>
      <c r="D54" s="15" t="s">
        <v>165</v>
      </c>
      <c r="E54" s="22">
        <v>0.33333333333333331</v>
      </c>
      <c r="F54" s="22">
        <v>0.54166666666666663</v>
      </c>
      <c r="G54" s="16" t="s">
        <v>26</v>
      </c>
      <c r="H54" s="16" t="s">
        <v>0</v>
      </c>
      <c r="I54" s="15" t="s">
        <v>166</v>
      </c>
      <c r="J54" s="16" t="s">
        <v>6</v>
      </c>
      <c r="K54" s="16" t="s">
        <v>174</v>
      </c>
    </row>
    <row r="55" spans="1:12" ht="16.5" customHeight="1" x14ac:dyDescent="0.25">
      <c r="A55" s="13">
        <v>43610</v>
      </c>
      <c r="B55" s="14">
        <v>43610</v>
      </c>
      <c r="C55" s="17" t="s">
        <v>19</v>
      </c>
      <c r="D55" s="15" t="s">
        <v>7</v>
      </c>
      <c r="E55" s="22">
        <v>0.33333333333333331</v>
      </c>
      <c r="F55" s="22">
        <v>0.54166666666666663</v>
      </c>
      <c r="G55" s="16" t="s">
        <v>26</v>
      </c>
      <c r="H55" s="16" t="s">
        <v>0</v>
      </c>
      <c r="I55" s="15" t="s">
        <v>32</v>
      </c>
      <c r="J55" s="16" t="s">
        <v>6</v>
      </c>
      <c r="K55" s="16" t="s">
        <v>33</v>
      </c>
    </row>
    <row r="56" spans="1:12" ht="16.5" customHeight="1" x14ac:dyDescent="0.25">
      <c r="A56" s="13">
        <v>43610</v>
      </c>
      <c r="B56" s="14">
        <v>43610</v>
      </c>
      <c r="C56" s="17" t="s">
        <v>20</v>
      </c>
      <c r="D56" s="15" t="s">
        <v>7</v>
      </c>
      <c r="E56" s="22">
        <v>0.33333333333333331</v>
      </c>
      <c r="F56" s="22">
        <v>0.54166666666666663</v>
      </c>
      <c r="G56" s="16" t="s">
        <v>26</v>
      </c>
      <c r="H56" s="16" t="s">
        <v>0</v>
      </c>
      <c r="I56" s="15" t="s">
        <v>9</v>
      </c>
      <c r="J56" s="16" t="s">
        <v>6</v>
      </c>
      <c r="K56" s="16" t="s">
        <v>33</v>
      </c>
      <c r="L56" s="3" t="s">
        <v>69</v>
      </c>
    </row>
    <row r="57" spans="1:12" ht="16.5" customHeight="1" x14ac:dyDescent="0.25">
      <c r="A57" s="13">
        <f t="shared" ref="A57:A81" si="2">B57</f>
        <v>43610</v>
      </c>
      <c r="B57" s="14">
        <v>43610</v>
      </c>
      <c r="C57" s="17" t="s">
        <v>112</v>
      </c>
      <c r="D57" s="15" t="s">
        <v>15</v>
      </c>
      <c r="E57" s="22">
        <v>0.35416666666666669</v>
      </c>
      <c r="F57" s="22">
        <v>0.52083333333333337</v>
      </c>
      <c r="G57" s="16" t="s">
        <v>26</v>
      </c>
      <c r="H57" s="16" t="s">
        <v>0</v>
      </c>
      <c r="I57" s="15" t="s">
        <v>110</v>
      </c>
      <c r="J57" s="16" t="s">
        <v>0</v>
      </c>
      <c r="K57" s="16" t="s">
        <v>0</v>
      </c>
    </row>
    <row r="58" spans="1:12" ht="16.5" customHeight="1" x14ac:dyDescent="0.25">
      <c r="A58" s="13">
        <f t="shared" si="2"/>
        <v>43610</v>
      </c>
      <c r="B58" s="14">
        <v>43610</v>
      </c>
      <c r="C58" s="15" t="s">
        <v>91</v>
      </c>
      <c r="D58" s="15" t="s">
        <v>7</v>
      </c>
      <c r="E58" s="23">
        <v>0.33333333333333331</v>
      </c>
      <c r="F58" s="23">
        <v>0.68055555555555547</v>
      </c>
      <c r="G58" s="16">
        <v>8</v>
      </c>
      <c r="H58" s="16" t="s">
        <v>0</v>
      </c>
      <c r="I58" s="15" t="s">
        <v>93</v>
      </c>
      <c r="J58" s="16" t="s">
        <v>0</v>
      </c>
      <c r="K58" s="16" t="s">
        <v>33</v>
      </c>
      <c r="L58" s="3" t="s">
        <v>69</v>
      </c>
    </row>
    <row r="59" spans="1:12" ht="16.5" customHeight="1" x14ac:dyDescent="0.25">
      <c r="A59" s="13">
        <f t="shared" si="2"/>
        <v>43610</v>
      </c>
      <c r="B59" s="14">
        <v>43610</v>
      </c>
      <c r="C59" s="15" t="s">
        <v>94</v>
      </c>
      <c r="D59" s="15" t="s">
        <v>95</v>
      </c>
      <c r="E59" s="22">
        <v>0.33333333333333331</v>
      </c>
      <c r="F59" s="22">
        <v>0.5</v>
      </c>
      <c r="G59" s="16" t="s">
        <v>27</v>
      </c>
      <c r="H59" s="16">
        <v>1</v>
      </c>
      <c r="I59" s="15" t="s">
        <v>49</v>
      </c>
      <c r="J59" s="16" t="s">
        <v>0</v>
      </c>
      <c r="K59" s="16" t="s">
        <v>0</v>
      </c>
      <c r="L59" s="3" t="s">
        <v>6</v>
      </c>
    </row>
    <row r="60" spans="1:12" ht="16.5" customHeight="1" x14ac:dyDescent="0.25">
      <c r="A60" s="13">
        <f t="shared" si="2"/>
        <v>43610</v>
      </c>
      <c r="B60" s="14">
        <v>43610</v>
      </c>
      <c r="C60" s="15" t="s">
        <v>150</v>
      </c>
      <c r="D60" s="15" t="s">
        <v>151</v>
      </c>
      <c r="E60" s="22">
        <v>0.33333333333333331</v>
      </c>
      <c r="F60" s="22">
        <v>0.5</v>
      </c>
      <c r="G60" s="16" t="s">
        <v>27</v>
      </c>
      <c r="H60" s="16">
        <v>1</v>
      </c>
      <c r="I60" s="15" t="s">
        <v>8</v>
      </c>
      <c r="J60" s="16" t="s">
        <v>0</v>
      </c>
      <c r="K60" s="16" t="s">
        <v>0</v>
      </c>
    </row>
    <row r="61" spans="1:12" ht="16.5" customHeight="1" x14ac:dyDescent="0.25">
      <c r="A61" s="13">
        <f t="shared" si="2"/>
        <v>43610</v>
      </c>
      <c r="B61" s="14">
        <v>43610</v>
      </c>
      <c r="C61" s="15" t="s">
        <v>162</v>
      </c>
      <c r="D61" s="15" t="s">
        <v>163</v>
      </c>
      <c r="E61" s="22">
        <v>0.625</v>
      </c>
      <c r="F61" s="22">
        <v>0.79166666666666663</v>
      </c>
      <c r="G61" s="16" t="s">
        <v>26</v>
      </c>
      <c r="H61" s="16" t="s">
        <v>0</v>
      </c>
      <c r="I61" s="15" t="s">
        <v>8</v>
      </c>
      <c r="J61" s="16" t="s">
        <v>0</v>
      </c>
      <c r="K61" s="16" t="s">
        <v>0</v>
      </c>
    </row>
    <row r="62" spans="1:12" ht="16.5" customHeight="1" x14ac:dyDescent="0.25">
      <c r="A62" s="13">
        <f t="shared" si="2"/>
        <v>43610</v>
      </c>
      <c r="B62" s="14">
        <v>43610</v>
      </c>
      <c r="C62" s="15" t="s">
        <v>175</v>
      </c>
      <c r="D62" s="15" t="s">
        <v>172</v>
      </c>
      <c r="E62" s="22">
        <v>0.33333333333333331</v>
      </c>
      <c r="F62" s="22">
        <v>0.5</v>
      </c>
      <c r="G62" s="16" t="s">
        <v>23</v>
      </c>
      <c r="H62" s="16">
        <v>1</v>
      </c>
      <c r="I62" s="15" t="s">
        <v>173</v>
      </c>
      <c r="J62" s="19" t="s">
        <v>6</v>
      </c>
      <c r="K62" s="16" t="s">
        <v>174</v>
      </c>
    </row>
    <row r="63" spans="1:12" ht="16.5" customHeight="1" x14ac:dyDescent="0.25">
      <c r="A63" s="13">
        <f t="shared" si="2"/>
        <v>43610</v>
      </c>
      <c r="B63" s="14">
        <v>43610</v>
      </c>
      <c r="C63" s="15" t="s">
        <v>176</v>
      </c>
      <c r="D63" s="15" t="s">
        <v>177</v>
      </c>
      <c r="E63" s="22">
        <v>0.33333333333333331</v>
      </c>
      <c r="F63" s="22">
        <v>0.5</v>
      </c>
      <c r="G63" s="16" t="s">
        <v>27</v>
      </c>
      <c r="H63" s="16">
        <v>2</v>
      </c>
      <c r="I63" s="15" t="s">
        <v>49</v>
      </c>
      <c r="J63" s="19" t="s">
        <v>0</v>
      </c>
      <c r="K63" s="16" t="s">
        <v>0</v>
      </c>
    </row>
    <row r="64" spans="1:12" ht="16.5" customHeight="1" x14ac:dyDescent="0.25">
      <c r="A64" s="13">
        <f t="shared" si="2"/>
        <v>43611</v>
      </c>
      <c r="B64" s="14">
        <v>43611</v>
      </c>
      <c r="C64" s="15" t="s">
        <v>150</v>
      </c>
      <c r="D64" s="15" t="s">
        <v>151</v>
      </c>
      <c r="E64" s="22">
        <v>0.33333333333333331</v>
      </c>
      <c r="F64" s="22">
        <v>0.5</v>
      </c>
      <c r="G64" s="16" t="s">
        <v>27</v>
      </c>
      <c r="H64" s="16">
        <v>3</v>
      </c>
      <c r="I64" s="15" t="s">
        <v>8</v>
      </c>
      <c r="J64" s="16" t="s">
        <v>0</v>
      </c>
      <c r="K64" s="16" t="s">
        <v>0</v>
      </c>
    </row>
    <row r="65" spans="1:12 16383:16383" ht="16.5" customHeight="1" x14ac:dyDescent="0.25">
      <c r="A65" s="26">
        <f t="shared" si="2"/>
        <v>43612</v>
      </c>
      <c r="B65" s="27">
        <v>43612</v>
      </c>
      <c r="C65" s="6" t="s">
        <v>77</v>
      </c>
      <c r="D65" s="6" t="s">
        <v>78</v>
      </c>
      <c r="E65" s="21">
        <v>0.75</v>
      </c>
      <c r="F65" s="21">
        <v>0.97916666666666663</v>
      </c>
      <c r="G65" s="7" t="s">
        <v>27</v>
      </c>
      <c r="H65" s="7">
        <v>1</v>
      </c>
      <c r="I65" s="6" t="s">
        <v>66</v>
      </c>
      <c r="J65" s="7" t="s">
        <v>0</v>
      </c>
      <c r="K65" s="8" t="s">
        <v>0</v>
      </c>
    </row>
    <row r="66" spans="1:12 16383:16383" s="25" customFormat="1" ht="16.5" customHeight="1" x14ac:dyDescent="0.25">
      <c r="A66" s="26">
        <f t="shared" si="2"/>
        <v>43612</v>
      </c>
      <c r="B66" s="27">
        <v>43612</v>
      </c>
      <c r="C66" s="29" t="s">
        <v>137</v>
      </c>
      <c r="D66" s="29" t="s">
        <v>105</v>
      </c>
      <c r="E66" s="30">
        <v>0.25</v>
      </c>
      <c r="F66" s="30">
        <v>0.95833333333333337</v>
      </c>
      <c r="G66" s="31" t="s">
        <v>25</v>
      </c>
      <c r="H66" s="31" t="s">
        <v>0</v>
      </c>
      <c r="I66" s="29" t="s">
        <v>13</v>
      </c>
      <c r="J66" s="31" t="s">
        <v>0</v>
      </c>
      <c r="K66" s="8" t="s">
        <v>0</v>
      </c>
      <c r="L66" s="25" t="s">
        <v>69</v>
      </c>
      <c r="XFC66" s="3"/>
    </row>
    <row r="67" spans="1:12 16383:16383" ht="16.5" customHeight="1" x14ac:dyDescent="0.25">
      <c r="A67" s="26">
        <f t="shared" si="2"/>
        <v>43613</v>
      </c>
      <c r="B67" s="27">
        <v>43613</v>
      </c>
      <c r="C67" s="29" t="s">
        <v>137</v>
      </c>
      <c r="D67" s="29" t="s">
        <v>105</v>
      </c>
      <c r="E67" s="30">
        <v>0.25</v>
      </c>
      <c r="F67" s="30">
        <v>0.95833333333333337</v>
      </c>
      <c r="G67" s="31" t="s">
        <v>25</v>
      </c>
      <c r="H67" s="31" t="s">
        <v>0</v>
      </c>
      <c r="I67" s="29" t="s">
        <v>13</v>
      </c>
      <c r="J67" s="31" t="s">
        <v>0</v>
      </c>
      <c r="K67" s="8" t="s">
        <v>0</v>
      </c>
      <c r="L67" s="3" t="s">
        <v>69</v>
      </c>
    </row>
    <row r="68" spans="1:12 16383:16383" s="25" customFormat="1" ht="16.5" customHeight="1" x14ac:dyDescent="0.25">
      <c r="A68" s="26">
        <f t="shared" si="2"/>
        <v>43613</v>
      </c>
      <c r="B68" s="27">
        <v>43613</v>
      </c>
      <c r="C68" s="6" t="s">
        <v>152</v>
      </c>
      <c r="D68" s="6" t="s">
        <v>156</v>
      </c>
      <c r="E68" s="21">
        <v>0.79166666666666663</v>
      </c>
      <c r="F68" s="21">
        <v>0.95833333333333337</v>
      </c>
      <c r="G68" s="7" t="s">
        <v>27</v>
      </c>
      <c r="H68" s="7">
        <v>1</v>
      </c>
      <c r="I68" s="6" t="s">
        <v>79</v>
      </c>
      <c r="J68" s="7" t="s">
        <v>0</v>
      </c>
      <c r="K68" s="8" t="s">
        <v>0</v>
      </c>
      <c r="L68" s="25" t="s">
        <v>69</v>
      </c>
      <c r="XFC68" s="3"/>
    </row>
    <row r="69" spans="1:12 16383:16383" ht="16.5" customHeight="1" x14ac:dyDescent="0.25">
      <c r="A69" s="26">
        <f t="shared" si="2"/>
        <v>43614</v>
      </c>
      <c r="B69" s="27">
        <v>43614</v>
      </c>
      <c r="C69" s="6" t="s">
        <v>51</v>
      </c>
      <c r="D69" s="6" t="s">
        <v>52</v>
      </c>
      <c r="E69" s="21">
        <v>0.375</v>
      </c>
      <c r="F69" s="21">
        <v>0.625</v>
      </c>
      <c r="G69" s="7" t="s">
        <v>25</v>
      </c>
      <c r="H69" s="7" t="s">
        <v>0</v>
      </c>
      <c r="I69" s="6" t="s">
        <v>50</v>
      </c>
      <c r="J69" s="7" t="s">
        <v>0</v>
      </c>
      <c r="K69" s="8" t="s">
        <v>0</v>
      </c>
    </row>
    <row r="70" spans="1:12 16383:16383" ht="16.5" customHeight="1" x14ac:dyDescent="0.25">
      <c r="A70" s="26">
        <f t="shared" si="2"/>
        <v>43614</v>
      </c>
      <c r="B70" s="27">
        <v>43614</v>
      </c>
      <c r="C70" s="6" t="s">
        <v>53</v>
      </c>
      <c r="D70" s="6" t="s">
        <v>54</v>
      </c>
      <c r="E70" s="21">
        <v>0.77083333333333304</v>
      </c>
      <c r="F70" s="21">
        <v>0.8125</v>
      </c>
      <c r="G70" s="7" t="s">
        <v>24</v>
      </c>
      <c r="H70" s="7" t="s">
        <v>0</v>
      </c>
      <c r="I70" s="6" t="s">
        <v>55</v>
      </c>
      <c r="J70" s="7" t="s">
        <v>0</v>
      </c>
      <c r="K70" s="8" t="s">
        <v>0</v>
      </c>
    </row>
    <row r="71" spans="1:12 16383:16383" ht="16.5" customHeight="1" x14ac:dyDescent="0.25">
      <c r="A71" s="26">
        <f t="shared" si="2"/>
        <v>43614</v>
      </c>
      <c r="B71" s="27">
        <v>43614</v>
      </c>
      <c r="C71" s="6" t="s">
        <v>56</v>
      </c>
      <c r="D71" s="6" t="s">
        <v>57</v>
      </c>
      <c r="E71" s="21">
        <v>0.58333333333333304</v>
      </c>
      <c r="F71" s="21">
        <v>0.6875</v>
      </c>
      <c r="G71" s="7" t="s">
        <v>24</v>
      </c>
      <c r="H71" s="7" t="s">
        <v>0</v>
      </c>
      <c r="I71" s="6" t="s">
        <v>55</v>
      </c>
      <c r="J71" s="7" t="s">
        <v>0</v>
      </c>
      <c r="K71" s="8" t="s">
        <v>0</v>
      </c>
      <c r="L71" s="3" t="s">
        <v>69</v>
      </c>
    </row>
    <row r="72" spans="1:12 16383:16383" s="25" customFormat="1" ht="16.5" customHeight="1" x14ac:dyDescent="0.25">
      <c r="A72" s="26">
        <f t="shared" si="2"/>
        <v>43614</v>
      </c>
      <c r="B72" s="27">
        <v>43614</v>
      </c>
      <c r="C72" s="6" t="s">
        <v>94</v>
      </c>
      <c r="D72" s="6" t="s">
        <v>95</v>
      </c>
      <c r="E72" s="21">
        <v>0.79166666666666663</v>
      </c>
      <c r="F72" s="21">
        <v>0.875</v>
      </c>
      <c r="G72" s="7" t="s">
        <v>27</v>
      </c>
      <c r="H72" s="7">
        <v>1</v>
      </c>
      <c r="I72" s="6" t="s">
        <v>49</v>
      </c>
      <c r="J72" s="7" t="s">
        <v>0</v>
      </c>
      <c r="K72" s="8" t="s">
        <v>0</v>
      </c>
      <c r="L72" s="25" t="s">
        <v>69</v>
      </c>
      <c r="XFC72" s="3"/>
    </row>
    <row r="73" spans="1:12 16383:16383" s="25" customFormat="1" ht="16.5" customHeight="1" x14ac:dyDescent="0.25">
      <c r="A73" s="26">
        <f t="shared" si="2"/>
        <v>43614</v>
      </c>
      <c r="B73" s="27">
        <v>43614</v>
      </c>
      <c r="C73" s="6" t="s">
        <v>114</v>
      </c>
      <c r="D73" s="6" t="s">
        <v>115</v>
      </c>
      <c r="E73" s="21">
        <v>0.75</v>
      </c>
      <c r="F73" s="21">
        <v>0.95833333333333337</v>
      </c>
      <c r="G73" s="7" t="s">
        <v>23</v>
      </c>
      <c r="H73" s="7">
        <v>4</v>
      </c>
      <c r="I73" s="6" t="s">
        <v>116</v>
      </c>
      <c r="J73" s="7" t="s">
        <v>0</v>
      </c>
      <c r="K73" s="8" t="s">
        <v>0</v>
      </c>
      <c r="L73" s="25" t="s">
        <v>69</v>
      </c>
      <c r="XFC73" s="3"/>
    </row>
    <row r="74" spans="1:12 16383:16383" s="25" customFormat="1" ht="16.5" customHeight="1" x14ac:dyDescent="0.25">
      <c r="A74" s="26">
        <f t="shared" si="2"/>
        <v>43614</v>
      </c>
      <c r="B74" s="27">
        <v>43614</v>
      </c>
      <c r="C74" s="6" t="s">
        <v>122</v>
      </c>
      <c r="D74" s="6" t="s">
        <v>121</v>
      </c>
      <c r="E74" s="30">
        <v>0.5625</v>
      </c>
      <c r="F74" s="30">
        <v>0.64583333333333304</v>
      </c>
      <c r="G74" s="7" t="s">
        <v>30</v>
      </c>
      <c r="H74" s="7" t="s">
        <v>0</v>
      </c>
      <c r="I74" s="6" t="s">
        <v>123</v>
      </c>
      <c r="J74" s="7" t="s">
        <v>0</v>
      </c>
      <c r="K74" s="8" t="s">
        <v>0</v>
      </c>
      <c r="L74" s="25" t="s">
        <v>6</v>
      </c>
      <c r="XFC74" s="3"/>
    </row>
    <row r="75" spans="1:12 16383:16383" s="25" customFormat="1" ht="16.5" customHeight="1" x14ac:dyDescent="0.25">
      <c r="A75" s="26">
        <f t="shared" si="2"/>
        <v>43614</v>
      </c>
      <c r="B75" s="27">
        <v>43614</v>
      </c>
      <c r="C75" s="29" t="s">
        <v>137</v>
      </c>
      <c r="D75" s="29" t="s">
        <v>105</v>
      </c>
      <c r="E75" s="30">
        <v>0.25</v>
      </c>
      <c r="F75" s="30">
        <v>0.95833333333333337</v>
      </c>
      <c r="G75" s="31" t="s">
        <v>25</v>
      </c>
      <c r="H75" s="31" t="s">
        <v>0</v>
      </c>
      <c r="I75" s="29" t="s">
        <v>13</v>
      </c>
      <c r="J75" s="31" t="s">
        <v>0</v>
      </c>
      <c r="K75" s="8" t="s">
        <v>0</v>
      </c>
      <c r="XFC75" s="3"/>
    </row>
    <row r="76" spans="1:12 16383:16383" ht="16.5" customHeight="1" x14ac:dyDescent="0.25">
      <c r="A76" s="26">
        <f t="shared" si="2"/>
        <v>43615</v>
      </c>
      <c r="B76" s="27">
        <v>43615</v>
      </c>
      <c r="C76" s="6" t="s">
        <v>60</v>
      </c>
      <c r="D76" s="6" t="s">
        <v>61</v>
      </c>
      <c r="E76" s="21">
        <v>0.58333333333333304</v>
      </c>
      <c r="F76" s="21">
        <v>0.6875</v>
      </c>
      <c r="G76" s="7" t="s">
        <v>30</v>
      </c>
      <c r="H76" s="7" t="s">
        <v>0</v>
      </c>
      <c r="I76" s="6" t="s">
        <v>31</v>
      </c>
      <c r="J76" s="7" t="s">
        <v>0</v>
      </c>
      <c r="K76" s="8" t="s">
        <v>0</v>
      </c>
    </row>
    <row r="77" spans="1:12 16383:16383" ht="16.5" customHeight="1" x14ac:dyDescent="0.25">
      <c r="A77" s="26">
        <f t="shared" si="2"/>
        <v>43615</v>
      </c>
      <c r="B77" s="27">
        <v>43615</v>
      </c>
      <c r="C77" s="29" t="s">
        <v>137</v>
      </c>
      <c r="D77" s="29" t="s">
        <v>105</v>
      </c>
      <c r="E77" s="30">
        <v>0.25</v>
      </c>
      <c r="F77" s="30">
        <v>0.95833333333333337</v>
      </c>
      <c r="G77" s="31" t="s">
        <v>25</v>
      </c>
      <c r="H77" s="31" t="s">
        <v>0</v>
      </c>
      <c r="I77" s="29" t="s">
        <v>13</v>
      </c>
      <c r="J77" s="31" t="s">
        <v>0</v>
      </c>
      <c r="K77" s="8" t="s">
        <v>0</v>
      </c>
    </row>
    <row r="78" spans="1:12 16383:16383" ht="16.5" customHeight="1" x14ac:dyDescent="0.25">
      <c r="A78" s="26">
        <f t="shared" si="2"/>
        <v>43615</v>
      </c>
      <c r="B78" s="27">
        <v>43615</v>
      </c>
      <c r="C78" s="29" t="s">
        <v>157</v>
      </c>
      <c r="D78" s="29" t="s">
        <v>158</v>
      </c>
      <c r="E78" s="30">
        <v>0.79166666666666663</v>
      </c>
      <c r="F78" s="30">
        <v>0.95833333333333337</v>
      </c>
      <c r="G78" s="31" t="s">
        <v>27</v>
      </c>
      <c r="H78" s="31">
        <v>1</v>
      </c>
      <c r="I78" s="29" t="s">
        <v>49</v>
      </c>
      <c r="J78" s="31" t="s">
        <v>0</v>
      </c>
      <c r="K78" s="8" t="s">
        <v>0</v>
      </c>
      <c r="L78" s="3" t="s">
        <v>69</v>
      </c>
    </row>
    <row r="79" spans="1:12 16383:16383" s="25" customFormat="1" ht="16.5" customHeight="1" x14ac:dyDescent="0.25">
      <c r="A79" s="26">
        <f t="shared" si="2"/>
        <v>43615</v>
      </c>
      <c r="B79" s="27">
        <v>43615</v>
      </c>
      <c r="C79" s="6" t="s">
        <v>153</v>
      </c>
      <c r="D79" s="6" t="s">
        <v>156</v>
      </c>
      <c r="E79" s="21">
        <v>0.79166666666666663</v>
      </c>
      <c r="F79" s="21">
        <v>0.95833333333333337</v>
      </c>
      <c r="G79" s="7" t="s">
        <v>27</v>
      </c>
      <c r="H79" s="7">
        <v>1</v>
      </c>
      <c r="I79" s="6" t="s">
        <v>79</v>
      </c>
      <c r="J79" s="7" t="s">
        <v>0</v>
      </c>
      <c r="K79" s="8" t="s">
        <v>0</v>
      </c>
      <c r="L79" s="25" t="s">
        <v>6</v>
      </c>
      <c r="XFC79" s="3"/>
    </row>
    <row r="80" spans="1:12 16383:16383" s="25" customFormat="1" ht="16.5" customHeight="1" x14ac:dyDescent="0.25">
      <c r="A80" s="26">
        <f t="shared" si="2"/>
        <v>43616</v>
      </c>
      <c r="B80" s="27">
        <v>43616</v>
      </c>
      <c r="C80" s="6" t="s">
        <v>126</v>
      </c>
      <c r="D80" s="6" t="s">
        <v>7</v>
      </c>
      <c r="E80" s="21">
        <v>0.79166666666666663</v>
      </c>
      <c r="F80" s="21">
        <v>0.95833333333333337</v>
      </c>
      <c r="G80" s="7" t="s">
        <v>25</v>
      </c>
      <c r="H80" s="7" t="s">
        <v>0</v>
      </c>
      <c r="I80" s="63" t="s">
        <v>13</v>
      </c>
      <c r="J80" s="7" t="s">
        <v>0</v>
      </c>
      <c r="K80" s="8" t="s">
        <v>0</v>
      </c>
      <c r="XFC80" s="3"/>
    </row>
    <row r="81" spans="1:12 16383:16383" s="25" customFormat="1" ht="16.5" customHeight="1" x14ac:dyDescent="0.25">
      <c r="A81" s="26">
        <f t="shared" si="2"/>
        <v>43616</v>
      </c>
      <c r="B81" s="27">
        <v>43616</v>
      </c>
      <c r="C81" s="29" t="s">
        <v>137</v>
      </c>
      <c r="D81" s="29" t="s">
        <v>105</v>
      </c>
      <c r="E81" s="30">
        <v>0.25</v>
      </c>
      <c r="F81" s="30">
        <v>0.95833333333333337</v>
      </c>
      <c r="G81" s="31" t="s">
        <v>25</v>
      </c>
      <c r="H81" s="31" t="s">
        <v>0</v>
      </c>
      <c r="I81" s="29" t="s">
        <v>13</v>
      </c>
      <c r="J81" s="31" t="s">
        <v>0</v>
      </c>
      <c r="K81" s="8" t="s">
        <v>0</v>
      </c>
      <c r="L81" s="25" t="s">
        <v>6</v>
      </c>
      <c r="XFC81" s="3"/>
    </row>
    <row r="82" spans="1:12 16383:16383" ht="16.5" customHeight="1" x14ac:dyDescent="0.25">
      <c r="A82" s="13">
        <v>43617</v>
      </c>
      <c r="B82" s="14">
        <v>43617</v>
      </c>
      <c r="C82" s="15" t="s">
        <v>18</v>
      </c>
      <c r="D82" s="15" t="s">
        <v>7</v>
      </c>
      <c r="E82" s="22">
        <v>0.33333333333333331</v>
      </c>
      <c r="F82" s="22">
        <v>0.70833333333333337</v>
      </c>
      <c r="G82" s="16" t="s">
        <v>26</v>
      </c>
      <c r="H82" s="16" t="s">
        <v>0</v>
      </c>
      <c r="I82" s="15" t="s">
        <v>130</v>
      </c>
      <c r="J82" s="16" t="s">
        <v>6</v>
      </c>
      <c r="K82" s="16" t="s">
        <v>38</v>
      </c>
      <c r="L82" s="3" t="s">
        <v>6</v>
      </c>
    </row>
    <row r="83" spans="1:12 16383:16383" ht="16.5" customHeight="1" x14ac:dyDescent="0.25">
      <c r="A83" s="13">
        <f>B83</f>
        <v>43617</v>
      </c>
      <c r="B83" s="14">
        <v>43617</v>
      </c>
      <c r="C83" s="66" t="s">
        <v>180</v>
      </c>
      <c r="D83" s="15" t="s">
        <v>181</v>
      </c>
      <c r="E83" s="22">
        <v>0.33333333333333331</v>
      </c>
      <c r="F83" s="22">
        <v>0.625</v>
      </c>
      <c r="G83" s="16" t="s">
        <v>30</v>
      </c>
      <c r="H83" s="16" t="s">
        <v>0</v>
      </c>
      <c r="I83" s="15" t="s">
        <v>130</v>
      </c>
      <c r="J83" s="16" t="s">
        <v>0</v>
      </c>
      <c r="K83" s="16" t="s">
        <v>0</v>
      </c>
    </row>
    <row r="84" spans="1:12 16383:16383" ht="16.5" customHeight="1" x14ac:dyDescent="0.25">
      <c r="A84" s="13">
        <f t="shared" ref="A84:A98" si="3">B84</f>
        <v>43617</v>
      </c>
      <c r="B84" s="14">
        <v>43617</v>
      </c>
      <c r="C84" s="15" t="s">
        <v>91</v>
      </c>
      <c r="D84" s="15" t="s">
        <v>7</v>
      </c>
      <c r="E84" s="23">
        <v>0.33333333333333331</v>
      </c>
      <c r="F84" s="23">
        <v>0.68055555555555547</v>
      </c>
      <c r="G84" s="16" t="s">
        <v>92</v>
      </c>
      <c r="H84" s="16" t="s">
        <v>0</v>
      </c>
      <c r="I84" s="15" t="s">
        <v>93</v>
      </c>
      <c r="J84" s="16" t="s">
        <v>0</v>
      </c>
      <c r="K84" s="16" t="s">
        <v>33</v>
      </c>
    </row>
    <row r="85" spans="1:12 16383:16383" ht="16.5" customHeight="1" x14ac:dyDescent="0.25">
      <c r="A85" s="13">
        <f t="shared" si="3"/>
        <v>43617</v>
      </c>
      <c r="B85" s="14">
        <v>43617</v>
      </c>
      <c r="C85" s="15" t="s">
        <v>94</v>
      </c>
      <c r="D85" s="15" t="s">
        <v>95</v>
      </c>
      <c r="E85" s="22">
        <v>0.33333333333333331</v>
      </c>
      <c r="F85" s="22">
        <v>0.5</v>
      </c>
      <c r="G85" s="16" t="s">
        <v>27</v>
      </c>
      <c r="H85" s="16">
        <v>1</v>
      </c>
      <c r="I85" s="15" t="s">
        <v>49</v>
      </c>
      <c r="J85" s="16" t="s">
        <v>0</v>
      </c>
      <c r="K85" s="16" t="s">
        <v>0</v>
      </c>
    </row>
    <row r="86" spans="1:12 16383:16383" s="25" customFormat="1" ht="16.5" customHeight="1" x14ac:dyDescent="0.25">
      <c r="A86" s="13">
        <f t="shared" si="3"/>
        <v>43617</v>
      </c>
      <c r="B86" s="14">
        <v>43617</v>
      </c>
      <c r="C86" s="15" t="s">
        <v>111</v>
      </c>
      <c r="D86" s="15" t="s">
        <v>15</v>
      </c>
      <c r="E86" s="22">
        <v>0.375</v>
      </c>
      <c r="F86" s="22">
        <v>0.5</v>
      </c>
      <c r="G86" s="16" t="s">
        <v>27</v>
      </c>
      <c r="H86" s="16">
        <v>2</v>
      </c>
      <c r="I86" s="15" t="s">
        <v>49</v>
      </c>
      <c r="J86" s="16" t="s">
        <v>0</v>
      </c>
      <c r="K86" s="16" t="s">
        <v>0</v>
      </c>
      <c r="XFC86" s="3"/>
    </row>
    <row r="87" spans="1:12 16383:16383" s="25" customFormat="1" ht="16.5" customHeight="1" x14ac:dyDescent="0.25">
      <c r="A87" s="13">
        <f t="shared" si="3"/>
        <v>43617</v>
      </c>
      <c r="B87" s="14">
        <v>43617</v>
      </c>
      <c r="C87" s="15" t="s">
        <v>149</v>
      </c>
      <c r="D87" s="15" t="s">
        <v>61</v>
      </c>
      <c r="E87" s="22">
        <v>0.3125</v>
      </c>
      <c r="F87" s="22">
        <v>0.66666666666666663</v>
      </c>
      <c r="G87" s="16" t="s">
        <v>30</v>
      </c>
      <c r="H87" s="16" t="s">
        <v>0</v>
      </c>
      <c r="I87" s="15" t="s">
        <v>31</v>
      </c>
      <c r="J87" s="16" t="s">
        <v>0</v>
      </c>
      <c r="K87" s="16" t="s">
        <v>0</v>
      </c>
      <c r="XFC87" s="3"/>
    </row>
    <row r="88" spans="1:12 16383:16383" s="25" customFormat="1" ht="16.5" customHeight="1" x14ac:dyDescent="0.25">
      <c r="A88" s="26">
        <f t="shared" si="3"/>
        <v>43619</v>
      </c>
      <c r="B88" s="27">
        <v>43619</v>
      </c>
      <c r="C88" s="29" t="s">
        <v>137</v>
      </c>
      <c r="D88" s="29" t="s">
        <v>105</v>
      </c>
      <c r="E88" s="30">
        <v>0.25</v>
      </c>
      <c r="F88" s="30">
        <v>0.95833333333333337</v>
      </c>
      <c r="G88" s="31" t="s">
        <v>25</v>
      </c>
      <c r="H88" s="31" t="s">
        <v>0</v>
      </c>
      <c r="I88" s="29" t="s">
        <v>13</v>
      </c>
      <c r="J88" s="31" t="s">
        <v>0</v>
      </c>
      <c r="K88" s="8" t="s">
        <v>0</v>
      </c>
      <c r="L88" s="25" t="s">
        <v>69</v>
      </c>
      <c r="XFC88" s="3"/>
    </row>
    <row r="89" spans="1:12 16383:16383" s="25" customFormat="1" ht="16.5" customHeight="1" x14ac:dyDescent="0.25">
      <c r="A89" s="26">
        <f t="shared" si="3"/>
        <v>43620</v>
      </c>
      <c r="B89" s="27">
        <v>43620</v>
      </c>
      <c r="C89" s="29" t="s">
        <v>137</v>
      </c>
      <c r="D89" s="29" t="s">
        <v>105</v>
      </c>
      <c r="E89" s="30">
        <v>0.25</v>
      </c>
      <c r="F89" s="30">
        <v>0.95833333333333337</v>
      </c>
      <c r="G89" s="31" t="s">
        <v>25</v>
      </c>
      <c r="H89" s="31" t="s">
        <v>0</v>
      </c>
      <c r="I89" s="29" t="s">
        <v>13</v>
      </c>
      <c r="J89" s="31" t="s">
        <v>0</v>
      </c>
      <c r="K89" s="8" t="s">
        <v>0</v>
      </c>
      <c r="L89" s="25" t="s">
        <v>69</v>
      </c>
      <c r="XFC89" s="3"/>
    </row>
    <row r="90" spans="1:12 16383:16383" ht="16.5" customHeight="1" x14ac:dyDescent="0.25">
      <c r="A90" s="26">
        <f t="shared" si="3"/>
        <v>43620</v>
      </c>
      <c r="B90" s="27">
        <v>43620</v>
      </c>
      <c r="C90" s="6" t="s">
        <v>154</v>
      </c>
      <c r="D90" s="6" t="s">
        <v>156</v>
      </c>
      <c r="E90" s="21">
        <v>0.79166666666666663</v>
      </c>
      <c r="F90" s="21">
        <v>0.95833333333333337</v>
      </c>
      <c r="G90" s="7" t="s">
        <v>27</v>
      </c>
      <c r="H90" s="7">
        <v>1</v>
      </c>
      <c r="I90" s="6" t="s">
        <v>79</v>
      </c>
      <c r="J90" s="7" t="s">
        <v>0</v>
      </c>
      <c r="K90" s="8" t="s">
        <v>0</v>
      </c>
      <c r="L90" s="3" t="s">
        <v>69</v>
      </c>
    </row>
    <row r="91" spans="1:12 16383:16383" ht="16.5" customHeight="1" x14ac:dyDescent="0.25">
      <c r="A91" s="26">
        <f t="shared" si="3"/>
        <v>43621</v>
      </c>
      <c r="B91" s="27">
        <v>43621</v>
      </c>
      <c r="C91" s="6" t="s">
        <v>51</v>
      </c>
      <c r="D91" s="6" t="s">
        <v>52</v>
      </c>
      <c r="E91" s="21">
        <v>0.375</v>
      </c>
      <c r="F91" s="21">
        <v>0.625</v>
      </c>
      <c r="G91" s="7" t="s">
        <v>25</v>
      </c>
      <c r="H91" s="7" t="s">
        <v>0</v>
      </c>
      <c r="I91" s="6" t="s">
        <v>50</v>
      </c>
      <c r="J91" s="7" t="s">
        <v>0</v>
      </c>
      <c r="K91" s="8" t="s">
        <v>0</v>
      </c>
      <c r="L91" s="3" t="s">
        <v>69</v>
      </c>
    </row>
    <row r="92" spans="1:12 16383:16383" ht="16.5" customHeight="1" x14ac:dyDescent="0.25">
      <c r="A92" s="26">
        <f t="shared" si="3"/>
        <v>43621</v>
      </c>
      <c r="B92" s="27">
        <v>43621</v>
      </c>
      <c r="C92" s="6" t="s">
        <v>53</v>
      </c>
      <c r="D92" s="6" t="s">
        <v>54</v>
      </c>
      <c r="E92" s="21">
        <v>0.77083333333333304</v>
      </c>
      <c r="F92" s="21">
        <v>0.8125</v>
      </c>
      <c r="G92" s="7" t="s">
        <v>24</v>
      </c>
      <c r="H92" s="7" t="s">
        <v>0</v>
      </c>
      <c r="I92" s="6" t="s">
        <v>55</v>
      </c>
      <c r="J92" s="7" t="s">
        <v>0</v>
      </c>
      <c r="K92" s="8" t="s">
        <v>0</v>
      </c>
      <c r="L92" s="3" t="s">
        <v>69</v>
      </c>
    </row>
    <row r="93" spans="1:12 16383:16383" ht="16.5" customHeight="1" x14ac:dyDescent="0.25">
      <c r="A93" s="26">
        <f t="shared" si="3"/>
        <v>43621</v>
      </c>
      <c r="B93" s="27">
        <v>43621</v>
      </c>
      <c r="C93" s="6" t="s">
        <v>56</v>
      </c>
      <c r="D93" s="6" t="s">
        <v>57</v>
      </c>
      <c r="E93" s="21">
        <v>0.58333333333333304</v>
      </c>
      <c r="F93" s="21">
        <v>0.6875</v>
      </c>
      <c r="G93" s="7" t="s">
        <v>24</v>
      </c>
      <c r="H93" s="7" t="s">
        <v>0</v>
      </c>
      <c r="I93" s="6" t="s">
        <v>55</v>
      </c>
      <c r="J93" s="7" t="s">
        <v>0</v>
      </c>
      <c r="K93" s="8" t="s">
        <v>0</v>
      </c>
    </row>
    <row r="94" spans="1:12 16383:16383" ht="16.5" customHeight="1" x14ac:dyDescent="0.25">
      <c r="A94" s="26">
        <f t="shared" si="3"/>
        <v>43621</v>
      </c>
      <c r="B94" s="27">
        <v>43621</v>
      </c>
      <c r="C94" s="6" t="s">
        <v>94</v>
      </c>
      <c r="D94" s="6" t="s">
        <v>95</v>
      </c>
      <c r="E94" s="21">
        <v>0.79166666666666663</v>
      </c>
      <c r="F94" s="21">
        <v>0.875</v>
      </c>
      <c r="G94" s="7" t="s">
        <v>27</v>
      </c>
      <c r="H94" s="7">
        <v>1</v>
      </c>
      <c r="I94" s="6" t="s">
        <v>49</v>
      </c>
      <c r="J94" s="7" t="s">
        <v>0</v>
      </c>
      <c r="K94" s="8" t="s">
        <v>0</v>
      </c>
      <c r="L94" s="3" t="s">
        <v>69</v>
      </c>
    </row>
    <row r="95" spans="1:12 16383:16383" ht="16.5" customHeight="1" x14ac:dyDescent="0.25">
      <c r="A95" s="26">
        <f t="shared" si="3"/>
        <v>43621</v>
      </c>
      <c r="B95" s="27">
        <v>43621</v>
      </c>
      <c r="C95" s="6" t="s">
        <v>122</v>
      </c>
      <c r="D95" s="6" t="s">
        <v>121</v>
      </c>
      <c r="E95" s="30">
        <v>0.5625</v>
      </c>
      <c r="F95" s="30">
        <v>0.64583333333333304</v>
      </c>
      <c r="G95" s="7" t="s">
        <v>30</v>
      </c>
      <c r="H95" s="7" t="s">
        <v>0</v>
      </c>
      <c r="I95" s="6" t="s">
        <v>123</v>
      </c>
      <c r="J95" s="7" t="s">
        <v>0</v>
      </c>
      <c r="K95" s="8" t="s">
        <v>0</v>
      </c>
      <c r="L95" s="3" t="s">
        <v>69</v>
      </c>
    </row>
    <row r="96" spans="1:12 16383:16383" ht="16.5" customHeight="1" x14ac:dyDescent="0.25">
      <c r="A96" s="26">
        <f t="shared" si="3"/>
        <v>43621</v>
      </c>
      <c r="B96" s="27">
        <v>43621</v>
      </c>
      <c r="C96" s="29" t="s">
        <v>137</v>
      </c>
      <c r="D96" s="29" t="s">
        <v>105</v>
      </c>
      <c r="E96" s="30">
        <v>0.25</v>
      </c>
      <c r="F96" s="30">
        <v>0.95833333333333337</v>
      </c>
      <c r="G96" s="31" t="s">
        <v>25</v>
      </c>
      <c r="H96" s="31" t="s">
        <v>0</v>
      </c>
      <c r="I96" s="29" t="s">
        <v>13</v>
      </c>
      <c r="J96" s="31" t="s">
        <v>0</v>
      </c>
      <c r="K96" s="8" t="s">
        <v>0</v>
      </c>
    </row>
    <row r="97" spans="1:12 16383:16383" ht="16.5" customHeight="1" x14ac:dyDescent="0.25">
      <c r="A97" s="26">
        <f t="shared" si="3"/>
        <v>43621</v>
      </c>
      <c r="B97" s="27">
        <v>43621</v>
      </c>
      <c r="C97" s="29" t="s">
        <v>168</v>
      </c>
      <c r="D97" s="29" t="s">
        <v>169</v>
      </c>
      <c r="E97" s="30">
        <v>0.79166666666666663</v>
      </c>
      <c r="F97" s="30">
        <v>0.91666666666666663</v>
      </c>
      <c r="G97" s="31" t="s">
        <v>30</v>
      </c>
      <c r="H97" s="31" t="s">
        <v>0</v>
      </c>
      <c r="I97" s="29" t="s">
        <v>31</v>
      </c>
      <c r="J97" s="31" t="s">
        <v>6</v>
      </c>
      <c r="K97" s="8" t="s">
        <v>0</v>
      </c>
      <c r="L97" s="3" t="s">
        <v>69</v>
      </c>
    </row>
    <row r="98" spans="1:12 16383:16383" s="25" customFormat="1" ht="16.5" customHeight="1" x14ac:dyDescent="0.25">
      <c r="A98" s="26">
        <f t="shared" si="3"/>
        <v>43622</v>
      </c>
      <c r="B98" s="27">
        <v>43622</v>
      </c>
      <c r="C98" s="6" t="s">
        <v>60</v>
      </c>
      <c r="D98" s="6" t="s">
        <v>61</v>
      </c>
      <c r="E98" s="21">
        <v>0.58333333333333304</v>
      </c>
      <c r="F98" s="21">
        <v>0.6875</v>
      </c>
      <c r="G98" s="7" t="s">
        <v>30</v>
      </c>
      <c r="H98" s="7" t="s">
        <v>0</v>
      </c>
      <c r="I98" s="6" t="s">
        <v>31</v>
      </c>
      <c r="J98" s="7" t="s">
        <v>0</v>
      </c>
      <c r="K98" s="8" t="s">
        <v>0</v>
      </c>
      <c r="L98" s="25" t="s">
        <v>6</v>
      </c>
      <c r="XFC98" s="3"/>
    </row>
    <row r="99" spans="1:12 16383:16383" ht="16.5" customHeight="1" x14ac:dyDescent="0.25">
      <c r="A99" s="4">
        <v>43622</v>
      </c>
      <c r="B99" s="5">
        <v>43622</v>
      </c>
      <c r="C99" s="9" t="s">
        <v>12</v>
      </c>
      <c r="D99" s="6" t="s">
        <v>11</v>
      </c>
      <c r="E99" s="21">
        <v>0.8125</v>
      </c>
      <c r="F99" s="21">
        <v>0.9375</v>
      </c>
      <c r="G99" s="7" t="s">
        <v>30</v>
      </c>
      <c r="H99" s="7" t="s">
        <v>0</v>
      </c>
      <c r="I99" s="9" t="s">
        <v>31</v>
      </c>
      <c r="J99" s="7" t="s">
        <v>6</v>
      </c>
      <c r="K99" s="7" t="s">
        <v>0</v>
      </c>
      <c r="L99" s="3" t="s">
        <v>69</v>
      </c>
    </row>
    <row r="100" spans="1:12 16383:16383" ht="16.5" customHeight="1" x14ac:dyDescent="0.25">
      <c r="A100" s="26">
        <f>B100</f>
        <v>43622</v>
      </c>
      <c r="B100" s="27">
        <v>43622</v>
      </c>
      <c r="C100" s="29" t="s">
        <v>137</v>
      </c>
      <c r="D100" s="29" t="s">
        <v>105</v>
      </c>
      <c r="E100" s="30">
        <v>0.25</v>
      </c>
      <c r="F100" s="30">
        <v>0.95833333333333337</v>
      </c>
      <c r="G100" s="31" t="s">
        <v>25</v>
      </c>
      <c r="H100" s="31" t="s">
        <v>0</v>
      </c>
      <c r="I100" s="29" t="s">
        <v>13</v>
      </c>
      <c r="J100" s="31" t="s">
        <v>0</v>
      </c>
      <c r="K100" s="8" t="s">
        <v>0</v>
      </c>
    </row>
    <row r="101" spans="1:12 16383:16383" s="25" customFormat="1" ht="16.5" customHeight="1" x14ac:dyDescent="0.25">
      <c r="A101" s="26">
        <f>B101</f>
        <v>43623</v>
      </c>
      <c r="B101" s="27">
        <v>43623</v>
      </c>
      <c r="C101" s="29" t="s">
        <v>170</v>
      </c>
      <c r="D101" s="29" t="s">
        <v>11</v>
      </c>
      <c r="E101" s="30">
        <v>0.33333333333333331</v>
      </c>
      <c r="F101" s="30">
        <v>0.70833333333333337</v>
      </c>
      <c r="G101" s="31" t="s">
        <v>26</v>
      </c>
      <c r="H101" s="31" t="s">
        <v>0</v>
      </c>
      <c r="I101" s="29" t="s">
        <v>110</v>
      </c>
      <c r="J101" s="31" t="s">
        <v>0</v>
      </c>
      <c r="K101" s="8" t="s">
        <v>0</v>
      </c>
      <c r="L101" s="25" t="s">
        <v>69</v>
      </c>
      <c r="XFC101" s="3"/>
    </row>
    <row r="102" spans="1:12 16383:16383" ht="16.5" customHeight="1" x14ac:dyDescent="0.25">
      <c r="A102" s="4">
        <v>43623</v>
      </c>
      <c r="B102" s="5">
        <v>43623</v>
      </c>
      <c r="C102" s="9" t="s">
        <v>12</v>
      </c>
      <c r="D102" s="6" t="s">
        <v>11</v>
      </c>
      <c r="E102" s="21">
        <v>0.8125</v>
      </c>
      <c r="F102" s="21">
        <v>0.9375</v>
      </c>
      <c r="G102" s="7" t="s">
        <v>30</v>
      </c>
      <c r="H102" s="7" t="s">
        <v>0</v>
      </c>
      <c r="I102" s="9" t="s">
        <v>31</v>
      </c>
      <c r="J102" s="7" t="s">
        <v>6</v>
      </c>
      <c r="K102" s="7" t="s">
        <v>0</v>
      </c>
      <c r="L102" s="3" t="s">
        <v>6</v>
      </c>
    </row>
    <row r="103" spans="1:12 16383:16383" s="25" customFormat="1" ht="16.5" customHeight="1" x14ac:dyDescent="0.25">
      <c r="A103" s="26">
        <f t="shared" ref="A103:A111" si="4">B103</f>
        <v>43623</v>
      </c>
      <c r="B103" s="27">
        <v>43623</v>
      </c>
      <c r="C103" s="29" t="s">
        <v>10</v>
      </c>
      <c r="D103" s="29" t="s">
        <v>7</v>
      </c>
      <c r="E103" s="30">
        <v>0.8125</v>
      </c>
      <c r="F103" s="30">
        <v>0.95833333333333337</v>
      </c>
      <c r="G103" s="31" t="s">
        <v>24</v>
      </c>
      <c r="H103" s="31" t="s">
        <v>0</v>
      </c>
      <c r="I103" s="29" t="s">
        <v>8</v>
      </c>
      <c r="J103" s="31" t="s">
        <v>6</v>
      </c>
      <c r="K103" s="8" t="s">
        <v>39</v>
      </c>
      <c r="L103" s="25" t="s">
        <v>6</v>
      </c>
      <c r="XFC103" s="3"/>
    </row>
    <row r="104" spans="1:12 16383:16383" ht="16.5" customHeight="1" x14ac:dyDescent="0.25">
      <c r="A104" s="26">
        <f t="shared" si="4"/>
        <v>43623</v>
      </c>
      <c r="B104" s="27">
        <v>43623</v>
      </c>
      <c r="C104" s="29" t="s">
        <v>102</v>
      </c>
      <c r="D104" s="29" t="s">
        <v>89</v>
      </c>
      <c r="E104" s="30">
        <v>0.29166666666666669</v>
      </c>
      <c r="F104" s="21">
        <v>0.75</v>
      </c>
      <c r="G104" s="31" t="s">
        <v>30</v>
      </c>
      <c r="H104" s="31" t="s">
        <v>0</v>
      </c>
      <c r="I104" s="29" t="s">
        <v>31</v>
      </c>
      <c r="J104" s="61" t="s">
        <v>6</v>
      </c>
      <c r="K104" s="60" t="s">
        <v>101</v>
      </c>
      <c r="L104" s="3" t="s">
        <v>69</v>
      </c>
    </row>
    <row r="105" spans="1:12 16383:16383" ht="16.5" customHeight="1" x14ac:dyDescent="0.25">
      <c r="A105" s="26">
        <f t="shared" si="4"/>
        <v>43623</v>
      </c>
      <c r="B105" s="27">
        <v>43623</v>
      </c>
      <c r="C105" s="29" t="s">
        <v>137</v>
      </c>
      <c r="D105" s="29" t="s">
        <v>105</v>
      </c>
      <c r="E105" s="30">
        <v>0.25</v>
      </c>
      <c r="F105" s="30">
        <v>0.95833333333333337</v>
      </c>
      <c r="G105" s="31" t="s">
        <v>25</v>
      </c>
      <c r="H105" s="31" t="s">
        <v>0</v>
      </c>
      <c r="I105" s="29" t="s">
        <v>13</v>
      </c>
      <c r="J105" s="31" t="s">
        <v>0</v>
      </c>
      <c r="K105" s="8" t="s">
        <v>0</v>
      </c>
    </row>
    <row r="106" spans="1:12 16383:16383" ht="16.5" customHeight="1" x14ac:dyDescent="0.25">
      <c r="A106" s="26">
        <f t="shared" si="4"/>
        <v>43623</v>
      </c>
      <c r="B106" s="27">
        <v>43623</v>
      </c>
      <c r="C106" s="6" t="s">
        <v>155</v>
      </c>
      <c r="D106" s="6" t="s">
        <v>156</v>
      </c>
      <c r="E106" s="21">
        <v>0.375</v>
      </c>
      <c r="F106" s="21">
        <v>0.5</v>
      </c>
      <c r="G106" s="7" t="s">
        <v>27</v>
      </c>
      <c r="H106" s="7">
        <v>1</v>
      </c>
      <c r="I106" s="6" t="s">
        <v>79</v>
      </c>
      <c r="J106" s="7" t="s">
        <v>0</v>
      </c>
      <c r="K106" s="8" t="s">
        <v>0</v>
      </c>
    </row>
    <row r="107" spans="1:12 16383:16383" s="25" customFormat="1" ht="16.5" customHeight="1" x14ac:dyDescent="0.25">
      <c r="A107" s="26">
        <f t="shared" si="4"/>
        <v>43623</v>
      </c>
      <c r="B107" s="27">
        <v>43623</v>
      </c>
      <c r="C107" s="6" t="s">
        <v>155</v>
      </c>
      <c r="D107" s="6" t="s">
        <v>156</v>
      </c>
      <c r="E107" s="21">
        <v>0.79166666666666663</v>
      </c>
      <c r="F107" s="21">
        <v>0.95833333333333337</v>
      </c>
      <c r="G107" s="7" t="s">
        <v>27</v>
      </c>
      <c r="H107" s="7">
        <v>1</v>
      </c>
      <c r="I107" s="6" t="s">
        <v>79</v>
      </c>
      <c r="J107" s="7" t="s">
        <v>0</v>
      </c>
      <c r="K107" s="8" t="s">
        <v>0</v>
      </c>
      <c r="L107" s="25" t="s">
        <v>69</v>
      </c>
      <c r="XFC107" s="3"/>
    </row>
    <row r="108" spans="1:12 16383:16383" ht="16.5" customHeight="1" x14ac:dyDescent="0.25">
      <c r="A108" s="13">
        <f t="shared" si="4"/>
        <v>43624</v>
      </c>
      <c r="B108" s="14">
        <v>43624</v>
      </c>
      <c r="C108" s="15" t="s">
        <v>102</v>
      </c>
      <c r="D108" s="15" t="s">
        <v>89</v>
      </c>
      <c r="E108" s="22">
        <v>0.29166666666666669</v>
      </c>
      <c r="F108" s="22">
        <v>0.75</v>
      </c>
      <c r="G108" s="16" t="s">
        <v>30</v>
      </c>
      <c r="H108" s="16" t="s">
        <v>0</v>
      </c>
      <c r="I108" s="15" t="s">
        <v>31</v>
      </c>
      <c r="J108" s="62" t="s">
        <v>6</v>
      </c>
      <c r="K108" s="62" t="s">
        <v>101</v>
      </c>
      <c r="L108" s="3" t="s">
        <v>69</v>
      </c>
    </row>
    <row r="109" spans="1:12 16383:16383" ht="16.5" customHeight="1" x14ac:dyDescent="0.25">
      <c r="A109" s="13">
        <f>B109</f>
        <v>43624</v>
      </c>
      <c r="B109" s="14">
        <v>43624</v>
      </c>
      <c r="C109" s="66" t="s">
        <v>178</v>
      </c>
      <c r="D109" s="15" t="s">
        <v>179</v>
      </c>
      <c r="E109" s="22">
        <v>0.33333333333333331</v>
      </c>
      <c r="F109" s="22">
        <v>0.58333333333333337</v>
      </c>
      <c r="G109" s="16" t="s">
        <v>30</v>
      </c>
      <c r="H109" s="16" t="s">
        <v>0</v>
      </c>
      <c r="I109" s="15" t="s">
        <v>130</v>
      </c>
      <c r="J109" s="16" t="s">
        <v>0</v>
      </c>
      <c r="K109" s="16" t="s">
        <v>0</v>
      </c>
    </row>
    <row r="110" spans="1:12 16383:16383" s="25" customFormat="1" ht="16.5" customHeight="1" x14ac:dyDescent="0.25">
      <c r="A110" s="13">
        <f t="shared" si="4"/>
        <v>43624</v>
      </c>
      <c r="B110" s="14">
        <v>43624</v>
      </c>
      <c r="C110" s="15" t="s">
        <v>37</v>
      </c>
      <c r="D110" s="15" t="s">
        <v>7</v>
      </c>
      <c r="E110" s="22">
        <v>0.33333333333333331</v>
      </c>
      <c r="F110" s="22">
        <v>0.58333333333333337</v>
      </c>
      <c r="G110" s="16" t="s">
        <v>26</v>
      </c>
      <c r="H110" s="16" t="s">
        <v>0</v>
      </c>
      <c r="I110" s="15" t="s">
        <v>35</v>
      </c>
      <c r="J110" s="16" t="s">
        <v>6</v>
      </c>
      <c r="K110" s="16" t="s">
        <v>0</v>
      </c>
      <c r="L110" s="25" t="s">
        <v>69</v>
      </c>
      <c r="XFC110" s="3"/>
    </row>
    <row r="111" spans="1:12 16383:16383" ht="16.5" customHeight="1" x14ac:dyDescent="0.25">
      <c r="A111" s="13">
        <f t="shared" si="4"/>
        <v>43624</v>
      </c>
      <c r="B111" s="14">
        <v>43624</v>
      </c>
      <c r="C111" s="15" t="s">
        <v>34</v>
      </c>
      <c r="D111" s="15" t="s">
        <v>7</v>
      </c>
      <c r="E111" s="22">
        <v>0.33333333333333331</v>
      </c>
      <c r="F111" s="22">
        <v>0.58333333333333337</v>
      </c>
      <c r="G111" s="16" t="s">
        <v>26</v>
      </c>
      <c r="H111" s="16" t="s">
        <v>0</v>
      </c>
      <c r="I111" s="15" t="s">
        <v>35</v>
      </c>
      <c r="J111" s="16" t="s">
        <v>6</v>
      </c>
      <c r="K111" s="16" t="s">
        <v>36</v>
      </c>
    </row>
    <row r="112" spans="1:12 16383:16383" s="25" customFormat="1" ht="16.5" customHeight="1" x14ac:dyDescent="0.25">
      <c r="A112" s="13">
        <v>43624</v>
      </c>
      <c r="B112" s="14">
        <v>43624</v>
      </c>
      <c r="C112" s="17" t="s">
        <v>19</v>
      </c>
      <c r="D112" s="15" t="s">
        <v>7</v>
      </c>
      <c r="E112" s="22">
        <v>0.33333333333333331</v>
      </c>
      <c r="F112" s="22">
        <v>0.54166666666666663</v>
      </c>
      <c r="G112" s="16" t="s">
        <v>26</v>
      </c>
      <c r="H112" s="16" t="s">
        <v>0</v>
      </c>
      <c r="I112" s="15" t="s">
        <v>32</v>
      </c>
      <c r="J112" s="16" t="s">
        <v>6</v>
      </c>
      <c r="K112" s="16" t="s">
        <v>33</v>
      </c>
      <c r="L112" s="25" t="s">
        <v>6</v>
      </c>
      <c r="XFC112" s="3"/>
    </row>
    <row r="113" spans="1:16383" ht="16.5" customHeight="1" x14ac:dyDescent="0.25">
      <c r="A113" s="13">
        <v>43624</v>
      </c>
      <c r="B113" s="14">
        <v>43624</v>
      </c>
      <c r="C113" s="17" t="s">
        <v>20</v>
      </c>
      <c r="D113" s="15" t="s">
        <v>7</v>
      </c>
      <c r="E113" s="22">
        <v>0.33333333333333331</v>
      </c>
      <c r="F113" s="22">
        <v>0.54166666666666663</v>
      </c>
      <c r="G113" s="16" t="s">
        <v>26</v>
      </c>
      <c r="H113" s="16" t="s">
        <v>0</v>
      </c>
      <c r="I113" s="15" t="s">
        <v>9</v>
      </c>
      <c r="J113" s="16" t="s">
        <v>6</v>
      </c>
      <c r="K113" s="16" t="s">
        <v>33</v>
      </c>
    </row>
    <row r="114" spans="1:16383" ht="16.5" customHeight="1" x14ac:dyDescent="0.25">
      <c r="A114" s="13">
        <f t="shared" ref="A114:A137" si="5">B114</f>
        <v>43624</v>
      </c>
      <c r="B114" s="14">
        <v>43624</v>
      </c>
      <c r="C114" s="18" t="s">
        <v>10</v>
      </c>
      <c r="D114" s="18" t="s">
        <v>7</v>
      </c>
      <c r="E114" s="23">
        <v>0.33333333333333331</v>
      </c>
      <c r="F114" s="23">
        <v>0.58333333333333337</v>
      </c>
      <c r="G114" s="19" t="s">
        <v>24</v>
      </c>
      <c r="H114" s="19" t="s">
        <v>0</v>
      </c>
      <c r="I114" s="18" t="s">
        <v>8</v>
      </c>
      <c r="J114" s="19" t="s">
        <v>6</v>
      </c>
      <c r="K114" s="16" t="s">
        <v>40</v>
      </c>
      <c r="L114" s="3" t="s">
        <v>69</v>
      </c>
    </row>
    <row r="115" spans="1:16383" ht="16.5" customHeight="1" x14ac:dyDescent="0.25">
      <c r="A115" s="13">
        <f t="shared" si="5"/>
        <v>43624</v>
      </c>
      <c r="B115" s="14">
        <v>43624</v>
      </c>
      <c r="C115" s="15" t="s">
        <v>91</v>
      </c>
      <c r="D115" s="15" t="s">
        <v>7</v>
      </c>
      <c r="E115" s="23">
        <v>0.33333333333333331</v>
      </c>
      <c r="F115" s="23">
        <v>0.68055555555555547</v>
      </c>
      <c r="G115" s="16" t="s">
        <v>92</v>
      </c>
      <c r="H115" s="16" t="s">
        <v>0</v>
      </c>
      <c r="I115" s="15" t="s">
        <v>93</v>
      </c>
      <c r="J115" s="16" t="s">
        <v>0</v>
      </c>
      <c r="K115" s="16" t="s">
        <v>33</v>
      </c>
      <c r="L115" s="3" t="s">
        <v>69</v>
      </c>
    </row>
    <row r="116" spans="1:16383" s="25" customFormat="1" ht="16.5" customHeight="1" x14ac:dyDescent="0.25">
      <c r="A116" s="13">
        <f t="shared" si="5"/>
        <v>43624</v>
      </c>
      <c r="B116" s="14">
        <v>43624</v>
      </c>
      <c r="C116" s="15" t="s">
        <v>94</v>
      </c>
      <c r="D116" s="15" t="s">
        <v>95</v>
      </c>
      <c r="E116" s="22">
        <v>0.33333333333333331</v>
      </c>
      <c r="F116" s="22">
        <v>0.5</v>
      </c>
      <c r="G116" s="16" t="s">
        <v>27</v>
      </c>
      <c r="H116" s="16">
        <v>1</v>
      </c>
      <c r="I116" s="15" t="s">
        <v>49</v>
      </c>
      <c r="J116" s="16" t="s">
        <v>0</v>
      </c>
      <c r="K116" s="16" t="s">
        <v>0</v>
      </c>
      <c r="L116" s="25" t="s">
        <v>69</v>
      </c>
      <c r="XFC116" s="3"/>
    </row>
    <row r="117" spans="1:16383" ht="16.5" customHeight="1" x14ac:dyDescent="0.25">
      <c r="A117" s="13">
        <f t="shared" si="5"/>
        <v>43624</v>
      </c>
      <c r="B117" s="14">
        <v>43624</v>
      </c>
      <c r="C117" s="15" t="s">
        <v>138</v>
      </c>
      <c r="D117" s="15" t="s">
        <v>177</v>
      </c>
      <c r="E117" s="22">
        <v>0.33333333333333331</v>
      </c>
      <c r="F117" s="22">
        <v>0.5</v>
      </c>
      <c r="G117" s="16" t="s">
        <v>27</v>
      </c>
      <c r="H117" s="16">
        <v>2</v>
      </c>
      <c r="I117" s="15" t="s">
        <v>49</v>
      </c>
      <c r="J117" s="16" t="s">
        <v>0</v>
      </c>
      <c r="K117" s="16" t="s">
        <v>0</v>
      </c>
    </row>
    <row r="118" spans="1:16383" ht="16.5" customHeight="1" x14ac:dyDescent="0.25">
      <c r="A118" s="26">
        <f t="shared" si="5"/>
        <v>43626</v>
      </c>
      <c r="B118" s="27">
        <v>43626</v>
      </c>
      <c r="C118" s="6" t="s">
        <v>82</v>
      </c>
      <c r="D118" s="6" t="s">
        <v>83</v>
      </c>
      <c r="E118" s="21">
        <v>0.33333333333333331</v>
      </c>
      <c r="F118" s="21">
        <v>0.9375</v>
      </c>
      <c r="G118" s="7" t="s">
        <v>27</v>
      </c>
      <c r="H118" s="7">
        <v>1</v>
      </c>
      <c r="I118" s="6" t="s">
        <v>49</v>
      </c>
      <c r="J118" s="7" t="s">
        <v>0</v>
      </c>
      <c r="K118" s="8" t="s">
        <v>0</v>
      </c>
      <c r="L118" s="3" t="s">
        <v>69</v>
      </c>
    </row>
    <row r="119" spans="1:16383" ht="16.5" customHeight="1" x14ac:dyDescent="0.25">
      <c r="A119" s="26">
        <f t="shared" si="5"/>
        <v>43626</v>
      </c>
      <c r="B119" s="27">
        <v>43626</v>
      </c>
      <c r="C119" s="29" t="s">
        <v>137</v>
      </c>
      <c r="D119" s="29" t="s">
        <v>105</v>
      </c>
      <c r="E119" s="30">
        <v>0.25</v>
      </c>
      <c r="F119" s="30">
        <v>0.95833333333333337</v>
      </c>
      <c r="G119" s="31" t="s">
        <v>25</v>
      </c>
      <c r="H119" s="31" t="s">
        <v>0</v>
      </c>
      <c r="I119" s="29" t="s">
        <v>13</v>
      </c>
      <c r="J119" s="31" t="s">
        <v>0</v>
      </c>
      <c r="K119" s="8" t="s">
        <v>0</v>
      </c>
      <c r="L119" s="3" t="s">
        <v>69</v>
      </c>
    </row>
    <row r="120" spans="1:16383" ht="16.5" customHeight="1" x14ac:dyDescent="0.25">
      <c r="A120" s="26">
        <f t="shared" si="5"/>
        <v>43627</v>
      </c>
      <c r="B120" s="27">
        <v>43627</v>
      </c>
      <c r="C120" s="6" t="s">
        <v>82</v>
      </c>
      <c r="D120" s="6" t="s">
        <v>83</v>
      </c>
      <c r="E120" s="21">
        <v>0.33333333333333331</v>
      </c>
      <c r="F120" s="21">
        <v>0.9375</v>
      </c>
      <c r="G120" s="7" t="s">
        <v>27</v>
      </c>
      <c r="H120" s="7">
        <v>1</v>
      </c>
      <c r="I120" s="6" t="s">
        <v>49</v>
      </c>
      <c r="J120" s="7" t="s">
        <v>0</v>
      </c>
      <c r="K120" s="8" t="s">
        <v>0</v>
      </c>
      <c r="L120" s="3" t="s">
        <v>69</v>
      </c>
    </row>
    <row r="121" spans="1:16383" ht="16.5" customHeight="1" x14ac:dyDescent="0.25">
      <c r="A121" s="26">
        <f t="shared" si="5"/>
        <v>43627</v>
      </c>
      <c r="B121" s="27">
        <v>43627</v>
      </c>
      <c r="C121" s="29" t="s">
        <v>137</v>
      </c>
      <c r="D121" s="29" t="s">
        <v>105</v>
      </c>
      <c r="E121" s="30">
        <v>0.25</v>
      </c>
      <c r="F121" s="30">
        <v>0.95833333333333337</v>
      </c>
      <c r="G121" s="31" t="s">
        <v>25</v>
      </c>
      <c r="H121" s="31" t="s">
        <v>0</v>
      </c>
      <c r="I121" s="29" t="s">
        <v>13</v>
      </c>
      <c r="J121" s="31" t="s">
        <v>0</v>
      </c>
      <c r="K121" s="8" t="s">
        <v>0</v>
      </c>
      <c r="L121" s="3" t="s">
        <v>69</v>
      </c>
    </row>
    <row r="122" spans="1:16383" ht="16.5" customHeight="1" x14ac:dyDescent="0.25">
      <c r="A122" s="26">
        <f t="shared" si="5"/>
        <v>43628</v>
      </c>
      <c r="B122" s="27">
        <v>43628</v>
      </c>
      <c r="C122" s="6" t="s">
        <v>51</v>
      </c>
      <c r="D122" s="6" t="s">
        <v>52</v>
      </c>
      <c r="E122" s="21">
        <v>0.375</v>
      </c>
      <c r="F122" s="21">
        <v>0.625</v>
      </c>
      <c r="G122" s="7" t="s">
        <v>25</v>
      </c>
      <c r="H122" s="7" t="s">
        <v>0</v>
      </c>
      <c r="I122" s="6" t="s">
        <v>50</v>
      </c>
      <c r="J122" s="7" t="s">
        <v>0</v>
      </c>
      <c r="K122" s="8" t="s">
        <v>0</v>
      </c>
      <c r="L122" s="3" t="s">
        <v>69</v>
      </c>
    </row>
    <row r="123" spans="1:16383" s="25" customFormat="1" ht="16.5" customHeight="1" x14ac:dyDescent="0.25">
      <c r="A123" s="26">
        <f t="shared" si="5"/>
        <v>43628</v>
      </c>
      <c r="B123" s="27">
        <v>43628</v>
      </c>
      <c r="C123" s="6" t="s">
        <v>53</v>
      </c>
      <c r="D123" s="6" t="s">
        <v>54</v>
      </c>
      <c r="E123" s="21">
        <v>0.77083333333333304</v>
      </c>
      <c r="F123" s="21">
        <v>0.8125</v>
      </c>
      <c r="G123" s="7" t="s">
        <v>24</v>
      </c>
      <c r="H123" s="7" t="s">
        <v>0</v>
      </c>
      <c r="I123" s="6" t="s">
        <v>55</v>
      </c>
      <c r="J123" s="7" t="s">
        <v>0</v>
      </c>
      <c r="K123" s="8" t="s">
        <v>0</v>
      </c>
      <c r="L123" s="25" t="s">
        <v>6</v>
      </c>
      <c r="XFC123" s="3"/>
    </row>
    <row r="124" spans="1:16383" s="25" customFormat="1" ht="16.5" customHeight="1" x14ac:dyDescent="0.25">
      <c r="A124" s="26">
        <f t="shared" si="5"/>
        <v>43628</v>
      </c>
      <c r="B124" s="27">
        <v>43628</v>
      </c>
      <c r="C124" s="6" t="s">
        <v>56</v>
      </c>
      <c r="D124" s="6" t="s">
        <v>57</v>
      </c>
      <c r="E124" s="21">
        <v>0.58333333333333304</v>
      </c>
      <c r="F124" s="21">
        <v>0.6875</v>
      </c>
      <c r="G124" s="7" t="s">
        <v>24</v>
      </c>
      <c r="H124" s="7" t="s">
        <v>0</v>
      </c>
      <c r="I124" s="6" t="s">
        <v>55</v>
      </c>
      <c r="J124" s="7" t="s">
        <v>0</v>
      </c>
      <c r="K124" s="8" t="s">
        <v>0</v>
      </c>
      <c r="XFC124" s="3"/>
    </row>
    <row r="125" spans="1:16383" ht="16.5" customHeight="1" x14ac:dyDescent="0.25">
      <c r="A125" s="4">
        <f t="shared" si="5"/>
        <v>43628</v>
      </c>
      <c r="B125" s="5">
        <v>43628</v>
      </c>
      <c r="C125" s="10" t="s">
        <v>14</v>
      </c>
      <c r="D125" s="6" t="s">
        <v>15</v>
      </c>
      <c r="E125" s="21">
        <v>0.33333333333333331</v>
      </c>
      <c r="F125" s="21">
        <v>0.70833333333333337</v>
      </c>
      <c r="G125" s="31" t="s">
        <v>27</v>
      </c>
      <c r="H125" s="31">
        <v>1</v>
      </c>
      <c r="I125" s="29" t="s">
        <v>49</v>
      </c>
      <c r="J125" s="7" t="s">
        <v>0</v>
      </c>
      <c r="K125" s="7" t="s">
        <v>0</v>
      </c>
      <c r="L125" s="40" t="s">
        <v>69</v>
      </c>
      <c r="M125" s="47"/>
      <c r="N125" s="48"/>
      <c r="O125" s="49"/>
      <c r="P125" s="50"/>
      <c r="Q125" s="50"/>
      <c r="R125" s="41"/>
      <c r="S125" s="41"/>
      <c r="T125" s="49"/>
      <c r="U125" s="41"/>
      <c r="V125" s="41"/>
      <c r="X125" s="40"/>
      <c r="Y125" s="47"/>
      <c r="Z125" s="48"/>
      <c r="AA125" s="49"/>
      <c r="AB125" s="50"/>
      <c r="AC125" s="50"/>
      <c r="AD125" s="41"/>
      <c r="AE125" s="41"/>
      <c r="AF125" s="49"/>
      <c r="AG125" s="41"/>
      <c r="AH125" s="41"/>
      <c r="AJ125" s="40"/>
      <c r="AK125" s="47"/>
      <c r="AL125" s="48"/>
      <c r="AM125" s="49"/>
      <c r="AN125" s="50"/>
      <c r="AO125" s="50"/>
      <c r="AP125" s="41"/>
      <c r="AQ125" s="41"/>
      <c r="AR125" s="49"/>
      <c r="AS125" s="41"/>
      <c r="AT125" s="41"/>
      <c r="AV125" s="40"/>
      <c r="AW125" s="47"/>
      <c r="AX125" s="48"/>
      <c r="AY125" s="49"/>
      <c r="AZ125" s="50"/>
      <c r="BA125" s="50"/>
      <c r="BB125" s="41"/>
      <c r="BC125" s="41"/>
      <c r="BD125" s="49"/>
      <c r="BE125" s="41"/>
      <c r="BF125" s="41"/>
      <c r="BH125" s="40"/>
      <c r="BI125" s="47"/>
      <c r="BJ125" s="48"/>
      <c r="BK125" s="49"/>
      <c r="BL125" s="50"/>
      <c r="BM125" s="50"/>
      <c r="BN125" s="41"/>
      <c r="BO125" s="41"/>
      <c r="BP125" s="49"/>
      <c r="BQ125" s="41"/>
      <c r="BR125" s="41"/>
      <c r="BT125" s="40"/>
      <c r="BU125" s="47"/>
      <c r="BV125" s="48"/>
      <c r="BW125" s="49"/>
      <c r="BX125" s="50"/>
      <c r="BY125" s="50"/>
      <c r="BZ125" s="41"/>
      <c r="CA125" s="41"/>
      <c r="CB125" s="49"/>
      <c r="CC125" s="41"/>
      <c r="CD125" s="41"/>
      <c r="CF125" s="40"/>
      <c r="CG125" s="47"/>
      <c r="CH125" s="48"/>
      <c r="CI125" s="49"/>
      <c r="CJ125" s="50"/>
      <c r="CK125" s="50"/>
      <c r="CL125" s="41"/>
      <c r="CM125" s="41"/>
      <c r="CN125" s="49"/>
      <c r="CO125" s="41"/>
      <c r="CP125" s="41"/>
      <c r="CR125" s="40"/>
      <c r="CS125" s="47"/>
      <c r="CT125" s="48"/>
      <c r="CU125" s="49"/>
      <c r="CV125" s="50"/>
      <c r="CW125" s="50"/>
      <c r="CX125" s="41"/>
      <c r="CY125" s="41"/>
      <c r="CZ125" s="49"/>
      <c r="DA125" s="41"/>
      <c r="DB125" s="41"/>
      <c r="DD125" s="40"/>
      <c r="DE125" s="47"/>
      <c r="DF125" s="48"/>
      <c r="DG125" s="49"/>
      <c r="DH125" s="50"/>
      <c r="DI125" s="50"/>
      <c r="DJ125" s="41"/>
      <c r="DK125" s="41"/>
      <c r="DL125" s="49"/>
      <c r="DM125" s="41"/>
      <c r="DN125" s="41"/>
      <c r="DP125" s="40"/>
      <c r="DQ125" s="47"/>
      <c r="DR125" s="48"/>
      <c r="DS125" s="49"/>
      <c r="DT125" s="50"/>
      <c r="DU125" s="50"/>
      <c r="DV125" s="41"/>
      <c r="DW125" s="41"/>
      <c r="DX125" s="49"/>
      <c r="DY125" s="41"/>
      <c r="DZ125" s="41"/>
      <c r="EB125" s="40"/>
      <c r="EC125" s="47"/>
      <c r="ED125" s="48"/>
      <c r="EE125" s="49"/>
      <c r="EF125" s="50"/>
      <c r="EG125" s="50"/>
      <c r="EH125" s="41"/>
      <c r="EI125" s="41"/>
      <c r="EJ125" s="49"/>
      <c r="EK125" s="41"/>
      <c r="EL125" s="41"/>
      <c r="EN125" s="40"/>
      <c r="EO125" s="47"/>
      <c r="EP125" s="48"/>
      <c r="EQ125" s="49"/>
      <c r="ER125" s="50"/>
      <c r="ES125" s="50"/>
      <c r="ET125" s="41"/>
      <c r="EU125" s="41"/>
      <c r="EV125" s="49"/>
      <c r="EW125" s="41"/>
      <c r="EX125" s="41"/>
      <c r="EZ125" s="40"/>
      <c r="FA125" s="47"/>
      <c r="FB125" s="48"/>
      <c r="FC125" s="49"/>
      <c r="FD125" s="50"/>
      <c r="FE125" s="50"/>
      <c r="FF125" s="41"/>
      <c r="FG125" s="41"/>
      <c r="FH125" s="49"/>
      <c r="FI125" s="41"/>
      <c r="FJ125" s="41"/>
      <c r="FL125" s="40"/>
      <c r="FM125" s="47"/>
      <c r="FN125" s="48"/>
      <c r="FO125" s="49"/>
      <c r="FP125" s="50"/>
      <c r="FQ125" s="50"/>
      <c r="FR125" s="41"/>
      <c r="FS125" s="41"/>
      <c r="FT125" s="49"/>
      <c r="FU125" s="41"/>
      <c r="FV125" s="41"/>
      <c r="FX125" s="40"/>
      <c r="FY125" s="47"/>
      <c r="FZ125" s="48"/>
      <c r="GA125" s="49"/>
      <c r="GB125" s="50"/>
      <c r="GC125" s="50"/>
      <c r="GD125" s="41"/>
      <c r="GE125" s="41"/>
      <c r="GF125" s="49"/>
      <c r="GG125" s="41"/>
      <c r="GH125" s="41"/>
      <c r="GJ125" s="40"/>
      <c r="GK125" s="47"/>
      <c r="GL125" s="48"/>
      <c r="GM125" s="49"/>
      <c r="GN125" s="50"/>
      <c r="GO125" s="50"/>
      <c r="GP125" s="41"/>
      <c r="GQ125" s="41"/>
      <c r="GR125" s="49"/>
      <c r="GS125" s="41"/>
      <c r="GT125" s="41"/>
      <c r="GV125" s="40"/>
      <c r="GW125" s="47"/>
      <c r="GX125" s="48"/>
      <c r="GY125" s="49"/>
      <c r="GZ125" s="50"/>
      <c r="HA125" s="50"/>
      <c r="HB125" s="41"/>
      <c r="HC125" s="41"/>
      <c r="HD125" s="49"/>
      <c r="HE125" s="41"/>
      <c r="HF125" s="41"/>
      <c r="HH125" s="40"/>
      <c r="HI125" s="47"/>
      <c r="HJ125" s="48"/>
      <c r="HK125" s="49"/>
      <c r="HL125" s="50"/>
      <c r="HM125" s="50"/>
      <c r="HN125" s="41"/>
      <c r="HO125" s="41"/>
      <c r="HP125" s="49"/>
      <c r="HQ125" s="41"/>
      <c r="HR125" s="41"/>
      <c r="HT125" s="40"/>
      <c r="HU125" s="47"/>
      <c r="HV125" s="48"/>
      <c r="HW125" s="49"/>
      <c r="HX125" s="50"/>
      <c r="HY125" s="50"/>
      <c r="HZ125" s="41"/>
      <c r="IA125" s="41"/>
      <c r="IB125" s="49"/>
      <c r="IC125" s="41"/>
      <c r="ID125" s="41"/>
      <c r="IF125" s="40"/>
      <c r="IG125" s="47"/>
      <c r="IH125" s="48"/>
      <c r="II125" s="49"/>
      <c r="IJ125" s="50"/>
      <c r="IK125" s="50"/>
      <c r="IL125" s="41"/>
      <c r="IM125" s="41"/>
      <c r="IN125" s="49"/>
      <c r="IO125" s="41"/>
      <c r="IP125" s="41"/>
      <c r="IR125" s="40"/>
      <c r="IS125" s="47"/>
      <c r="IT125" s="48"/>
      <c r="IU125" s="49"/>
      <c r="IV125" s="50"/>
      <c r="IW125" s="50"/>
      <c r="IX125" s="41"/>
      <c r="IY125" s="41"/>
      <c r="IZ125" s="49"/>
      <c r="JA125" s="41"/>
      <c r="JB125" s="41"/>
      <c r="JD125" s="40"/>
      <c r="JE125" s="47"/>
      <c r="JF125" s="48"/>
      <c r="JG125" s="49"/>
      <c r="JH125" s="50"/>
      <c r="JI125" s="50"/>
      <c r="JJ125" s="41"/>
      <c r="JK125" s="41"/>
      <c r="JL125" s="49"/>
      <c r="JM125" s="41"/>
      <c r="JN125" s="41"/>
      <c r="JP125" s="40"/>
      <c r="JQ125" s="47"/>
      <c r="JR125" s="48"/>
      <c r="JS125" s="49"/>
      <c r="JT125" s="50"/>
      <c r="JU125" s="50"/>
      <c r="JV125" s="41"/>
      <c r="JW125" s="41"/>
      <c r="JX125" s="49"/>
      <c r="JY125" s="41"/>
      <c r="JZ125" s="41"/>
      <c r="KB125" s="40"/>
      <c r="KC125" s="47"/>
      <c r="KD125" s="48"/>
      <c r="KE125" s="49"/>
      <c r="KF125" s="50"/>
      <c r="KG125" s="50"/>
      <c r="KH125" s="41"/>
      <c r="KI125" s="41"/>
      <c r="KJ125" s="49"/>
      <c r="KK125" s="41"/>
      <c r="KL125" s="41"/>
      <c r="KN125" s="40"/>
      <c r="KO125" s="47"/>
      <c r="KP125" s="48"/>
      <c r="KQ125" s="49"/>
      <c r="KR125" s="50"/>
      <c r="KS125" s="50"/>
      <c r="KT125" s="41"/>
      <c r="KU125" s="41"/>
      <c r="KV125" s="49"/>
      <c r="KW125" s="41"/>
      <c r="KX125" s="41"/>
      <c r="KZ125" s="40"/>
      <c r="LA125" s="47"/>
      <c r="LB125" s="48"/>
      <c r="LC125" s="49"/>
      <c r="LD125" s="50"/>
      <c r="LE125" s="50"/>
      <c r="LF125" s="41"/>
      <c r="LG125" s="41"/>
      <c r="LH125" s="49"/>
      <c r="LI125" s="41"/>
      <c r="LJ125" s="41"/>
      <c r="LL125" s="40"/>
      <c r="LM125" s="47"/>
      <c r="LN125" s="48"/>
      <c r="LO125" s="49"/>
      <c r="LP125" s="50"/>
      <c r="LQ125" s="50"/>
      <c r="LR125" s="41"/>
      <c r="LS125" s="41"/>
      <c r="LT125" s="49"/>
      <c r="LU125" s="41"/>
      <c r="LV125" s="41"/>
      <c r="LX125" s="40"/>
      <c r="LY125" s="47"/>
      <c r="LZ125" s="48"/>
      <c r="MA125" s="49"/>
      <c r="MB125" s="50"/>
      <c r="MC125" s="50"/>
      <c r="MD125" s="41"/>
      <c r="ME125" s="41"/>
      <c r="MF125" s="49"/>
      <c r="MG125" s="41"/>
      <c r="MH125" s="41"/>
      <c r="MJ125" s="40"/>
      <c r="MK125" s="47"/>
      <c r="ML125" s="48"/>
      <c r="MM125" s="49"/>
      <c r="MN125" s="50"/>
      <c r="MO125" s="50"/>
      <c r="MP125" s="41"/>
      <c r="MQ125" s="41"/>
      <c r="MR125" s="49"/>
      <c r="MS125" s="41"/>
      <c r="MT125" s="41"/>
      <c r="MV125" s="40"/>
      <c r="MW125" s="47"/>
      <c r="MX125" s="48"/>
      <c r="MY125" s="49"/>
      <c r="MZ125" s="50"/>
      <c r="NA125" s="50"/>
      <c r="NB125" s="41"/>
      <c r="NC125" s="41"/>
      <c r="ND125" s="49"/>
      <c r="NE125" s="41"/>
      <c r="NF125" s="41"/>
      <c r="NH125" s="40"/>
      <c r="NI125" s="47"/>
      <c r="NJ125" s="48"/>
      <c r="NK125" s="49"/>
      <c r="NL125" s="50"/>
      <c r="NM125" s="50"/>
      <c r="NN125" s="41"/>
      <c r="NO125" s="41"/>
      <c r="NP125" s="49"/>
      <c r="NQ125" s="41"/>
      <c r="NR125" s="41"/>
      <c r="NT125" s="40"/>
      <c r="NU125" s="47"/>
      <c r="NV125" s="48"/>
      <c r="NW125" s="49"/>
      <c r="NX125" s="50"/>
      <c r="NY125" s="50"/>
      <c r="NZ125" s="41"/>
      <c r="OA125" s="41"/>
      <c r="OB125" s="49"/>
      <c r="OC125" s="41"/>
      <c r="OD125" s="41"/>
      <c r="OF125" s="40"/>
      <c r="OG125" s="47"/>
      <c r="OH125" s="48"/>
      <c r="OI125" s="49"/>
      <c r="OJ125" s="50"/>
      <c r="OK125" s="50"/>
      <c r="OL125" s="41"/>
      <c r="OM125" s="41"/>
      <c r="ON125" s="49"/>
      <c r="OO125" s="41"/>
      <c r="OP125" s="41"/>
      <c r="OR125" s="40"/>
      <c r="OS125" s="47"/>
      <c r="OT125" s="48"/>
      <c r="OU125" s="49"/>
      <c r="OV125" s="50"/>
      <c r="OW125" s="50"/>
      <c r="OX125" s="41"/>
      <c r="OY125" s="41"/>
      <c r="OZ125" s="49"/>
      <c r="PA125" s="41"/>
      <c r="PB125" s="41"/>
      <c r="PD125" s="40"/>
      <c r="PE125" s="47"/>
      <c r="PF125" s="48"/>
      <c r="PG125" s="49"/>
      <c r="PH125" s="50"/>
      <c r="PI125" s="50"/>
      <c r="PJ125" s="41"/>
      <c r="PK125" s="41"/>
      <c r="PL125" s="49"/>
      <c r="PM125" s="41"/>
      <c r="PN125" s="41"/>
      <c r="PP125" s="40"/>
      <c r="PQ125" s="47"/>
      <c r="PR125" s="48"/>
      <c r="PS125" s="49"/>
      <c r="PT125" s="50"/>
      <c r="PU125" s="50"/>
      <c r="PV125" s="41"/>
      <c r="PW125" s="41"/>
      <c r="PX125" s="49"/>
      <c r="PY125" s="41"/>
      <c r="PZ125" s="41"/>
      <c r="QB125" s="40"/>
      <c r="QC125" s="47"/>
      <c r="QD125" s="48"/>
      <c r="QE125" s="49"/>
      <c r="QF125" s="50"/>
      <c r="QG125" s="50"/>
      <c r="QH125" s="41"/>
      <c r="QI125" s="41"/>
      <c r="QJ125" s="49"/>
      <c r="QK125" s="41"/>
      <c r="QL125" s="41"/>
      <c r="QN125" s="40"/>
      <c r="QO125" s="47"/>
      <c r="QP125" s="48"/>
      <c r="QQ125" s="49"/>
      <c r="QR125" s="50"/>
      <c r="QS125" s="50"/>
      <c r="QT125" s="41"/>
      <c r="QU125" s="41"/>
      <c r="QV125" s="49"/>
      <c r="QW125" s="41"/>
      <c r="QX125" s="41"/>
      <c r="QZ125" s="40"/>
      <c r="RA125" s="47"/>
      <c r="RB125" s="48"/>
      <c r="RC125" s="49"/>
      <c r="RD125" s="50"/>
      <c r="RE125" s="50"/>
      <c r="RF125" s="41"/>
      <c r="RG125" s="41"/>
      <c r="RH125" s="49"/>
      <c r="RI125" s="41"/>
      <c r="RJ125" s="41"/>
      <c r="RL125" s="40"/>
      <c r="RM125" s="47"/>
      <c r="RN125" s="48"/>
      <c r="RO125" s="49"/>
      <c r="RP125" s="50"/>
      <c r="RQ125" s="50"/>
      <c r="RR125" s="41"/>
      <c r="RS125" s="41"/>
      <c r="RT125" s="49"/>
      <c r="RU125" s="41"/>
      <c r="RV125" s="41"/>
      <c r="RX125" s="40"/>
      <c r="RY125" s="47"/>
      <c r="RZ125" s="48"/>
      <c r="SA125" s="49"/>
      <c r="SB125" s="50"/>
      <c r="SC125" s="50"/>
      <c r="SD125" s="41"/>
      <c r="SE125" s="41"/>
      <c r="SF125" s="49"/>
      <c r="SG125" s="41"/>
      <c r="SH125" s="41"/>
      <c r="SJ125" s="40"/>
      <c r="SK125" s="47"/>
      <c r="SL125" s="48"/>
      <c r="SM125" s="49"/>
      <c r="SN125" s="50"/>
      <c r="SO125" s="50"/>
      <c r="SP125" s="41"/>
      <c r="SQ125" s="41"/>
      <c r="SR125" s="49"/>
      <c r="SS125" s="41"/>
      <c r="ST125" s="41"/>
      <c r="SV125" s="40"/>
      <c r="SW125" s="47"/>
      <c r="SX125" s="48"/>
      <c r="SY125" s="49"/>
      <c r="SZ125" s="50"/>
      <c r="TA125" s="50"/>
      <c r="TB125" s="41"/>
      <c r="TC125" s="41"/>
      <c r="TD125" s="49"/>
      <c r="TE125" s="41"/>
      <c r="TF125" s="41"/>
      <c r="TH125" s="40"/>
      <c r="TI125" s="47"/>
      <c r="TJ125" s="48"/>
      <c r="TK125" s="49"/>
      <c r="TL125" s="50"/>
      <c r="TM125" s="50"/>
      <c r="TN125" s="41"/>
      <c r="TO125" s="41"/>
      <c r="TP125" s="49"/>
      <c r="TQ125" s="41"/>
      <c r="TR125" s="41"/>
      <c r="TT125" s="40"/>
      <c r="TU125" s="47"/>
      <c r="TV125" s="48"/>
      <c r="TW125" s="49"/>
      <c r="TX125" s="50"/>
      <c r="TY125" s="50"/>
      <c r="TZ125" s="41"/>
      <c r="UA125" s="41"/>
      <c r="UB125" s="49"/>
      <c r="UC125" s="41"/>
      <c r="UD125" s="41"/>
      <c r="UF125" s="40"/>
      <c r="UG125" s="47"/>
      <c r="UH125" s="48"/>
      <c r="UI125" s="49"/>
      <c r="UJ125" s="50"/>
      <c r="UK125" s="50"/>
      <c r="UL125" s="41"/>
      <c r="UM125" s="41"/>
      <c r="UN125" s="49"/>
      <c r="UO125" s="41"/>
      <c r="UP125" s="41"/>
      <c r="UR125" s="40"/>
      <c r="US125" s="47"/>
      <c r="UT125" s="48"/>
      <c r="UU125" s="49"/>
      <c r="UV125" s="50"/>
      <c r="UW125" s="50"/>
      <c r="UX125" s="41"/>
      <c r="UY125" s="41"/>
      <c r="UZ125" s="49"/>
      <c r="VA125" s="41"/>
      <c r="VB125" s="41"/>
      <c r="VD125" s="40"/>
      <c r="VE125" s="47"/>
      <c r="VF125" s="48"/>
      <c r="VG125" s="49"/>
      <c r="VH125" s="50"/>
      <c r="VI125" s="50"/>
      <c r="VJ125" s="41"/>
      <c r="VK125" s="41"/>
      <c r="VL125" s="49"/>
      <c r="VM125" s="41"/>
      <c r="VN125" s="41"/>
      <c r="VP125" s="40"/>
      <c r="VQ125" s="47"/>
      <c r="VR125" s="48"/>
      <c r="VS125" s="49"/>
      <c r="VT125" s="50"/>
      <c r="VU125" s="50"/>
      <c r="VV125" s="41"/>
      <c r="VW125" s="41"/>
      <c r="VX125" s="49"/>
      <c r="VY125" s="41"/>
      <c r="VZ125" s="41"/>
      <c r="WB125" s="40"/>
      <c r="WC125" s="47"/>
      <c r="WD125" s="48"/>
      <c r="WE125" s="49"/>
      <c r="WF125" s="50"/>
      <c r="WG125" s="50"/>
      <c r="WH125" s="41"/>
      <c r="WI125" s="41"/>
      <c r="WJ125" s="49"/>
      <c r="WK125" s="41"/>
      <c r="WL125" s="41"/>
      <c r="WN125" s="40"/>
      <c r="WO125" s="47"/>
      <c r="WP125" s="48"/>
      <c r="WQ125" s="49"/>
      <c r="WR125" s="50"/>
      <c r="WS125" s="50"/>
      <c r="WT125" s="41"/>
      <c r="WU125" s="41"/>
      <c r="WV125" s="49"/>
      <c r="WW125" s="41"/>
      <c r="WX125" s="41"/>
      <c r="WZ125" s="40"/>
      <c r="XA125" s="47"/>
      <c r="XB125" s="48"/>
      <c r="XC125" s="49"/>
      <c r="XD125" s="50"/>
      <c r="XE125" s="50"/>
      <c r="XF125" s="41"/>
      <c r="XG125" s="41"/>
      <c r="XH125" s="49"/>
      <c r="XI125" s="41"/>
      <c r="XJ125" s="41"/>
      <c r="XL125" s="40"/>
      <c r="XM125" s="47"/>
      <c r="XN125" s="48"/>
      <c r="XO125" s="49"/>
      <c r="XP125" s="50"/>
      <c r="XQ125" s="50"/>
      <c r="XR125" s="41"/>
      <c r="XS125" s="41"/>
      <c r="XT125" s="49"/>
      <c r="XU125" s="41"/>
      <c r="XV125" s="41"/>
      <c r="XX125" s="40"/>
      <c r="XY125" s="47"/>
      <c r="XZ125" s="48"/>
      <c r="YA125" s="49"/>
      <c r="YB125" s="50"/>
      <c r="YC125" s="50"/>
      <c r="YD125" s="41"/>
      <c r="YE125" s="41"/>
      <c r="YF125" s="49"/>
      <c r="YG125" s="41"/>
      <c r="YH125" s="41"/>
      <c r="YJ125" s="40"/>
      <c r="YK125" s="47"/>
      <c r="YL125" s="48"/>
      <c r="YM125" s="49"/>
      <c r="YN125" s="50"/>
      <c r="YO125" s="50"/>
      <c r="YP125" s="41"/>
      <c r="YQ125" s="41"/>
      <c r="YR125" s="49"/>
      <c r="YS125" s="41"/>
      <c r="YT125" s="41"/>
      <c r="YV125" s="40"/>
      <c r="YW125" s="47"/>
      <c r="YX125" s="48"/>
      <c r="YY125" s="49"/>
      <c r="YZ125" s="50"/>
      <c r="ZA125" s="50"/>
      <c r="ZB125" s="41"/>
      <c r="ZC125" s="41"/>
      <c r="ZD125" s="49"/>
      <c r="ZE125" s="41"/>
      <c r="ZF125" s="41"/>
      <c r="ZH125" s="40"/>
      <c r="ZI125" s="47"/>
      <c r="ZJ125" s="48"/>
      <c r="ZK125" s="49"/>
      <c r="ZL125" s="50"/>
      <c r="ZM125" s="50"/>
      <c r="ZN125" s="41"/>
      <c r="ZO125" s="41"/>
      <c r="ZP125" s="49"/>
      <c r="ZQ125" s="41"/>
      <c r="ZR125" s="41"/>
      <c r="ZT125" s="40"/>
      <c r="ZU125" s="47"/>
      <c r="ZV125" s="48"/>
      <c r="ZW125" s="49"/>
      <c r="ZX125" s="50"/>
      <c r="ZY125" s="50"/>
      <c r="ZZ125" s="41"/>
      <c r="AAA125" s="41"/>
      <c r="AAB125" s="49"/>
      <c r="AAC125" s="41"/>
      <c r="AAD125" s="41"/>
      <c r="AAF125" s="40"/>
      <c r="AAG125" s="47"/>
      <c r="AAH125" s="48"/>
      <c r="AAI125" s="49"/>
      <c r="AAJ125" s="50"/>
      <c r="AAK125" s="50"/>
      <c r="AAL125" s="41"/>
      <c r="AAM125" s="41"/>
      <c r="AAN125" s="49"/>
      <c r="AAO125" s="41"/>
      <c r="AAP125" s="41"/>
      <c r="AAR125" s="40"/>
      <c r="AAS125" s="47"/>
      <c r="AAT125" s="48"/>
      <c r="AAU125" s="49"/>
      <c r="AAV125" s="50"/>
      <c r="AAW125" s="50"/>
      <c r="AAX125" s="41"/>
      <c r="AAY125" s="41"/>
      <c r="AAZ125" s="49"/>
      <c r="ABA125" s="41"/>
      <c r="ABB125" s="41"/>
      <c r="ABD125" s="40"/>
      <c r="ABE125" s="47"/>
      <c r="ABF125" s="48"/>
      <c r="ABG125" s="49"/>
      <c r="ABH125" s="50"/>
      <c r="ABI125" s="50"/>
      <c r="ABJ125" s="41"/>
      <c r="ABK125" s="41"/>
      <c r="ABL125" s="49"/>
      <c r="ABM125" s="41"/>
      <c r="ABN125" s="41"/>
      <c r="ABP125" s="40"/>
      <c r="ABQ125" s="47"/>
      <c r="ABR125" s="48"/>
      <c r="ABS125" s="49"/>
      <c r="ABT125" s="50"/>
      <c r="ABU125" s="50"/>
      <c r="ABV125" s="41"/>
      <c r="ABW125" s="41"/>
      <c r="ABX125" s="49"/>
      <c r="ABY125" s="41"/>
      <c r="ABZ125" s="41"/>
      <c r="ACB125" s="40"/>
      <c r="ACC125" s="47"/>
      <c r="ACD125" s="48"/>
      <c r="ACE125" s="49"/>
      <c r="ACF125" s="50"/>
      <c r="ACG125" s="50"/>
      <c r="ACH125" s="41"/>
      <c r="ACI125" s="41"/>
      <c r="ACJ125" s="49"/>
      <c r="ACK125" s="41"/>
      <c r="ACL125" s="41"/>
      <c r="ACN125" s="40"/>
      <c r="ACO125" s="47"/>
      <c r="ACP125" s="48"/>
      <c r="ACQ125" s="49"/>
      <c r="ACR125" s="50"/>
      <c r="ACS125" s="50"/>
      <c r="ACT125" s="41"/>
      <c r="ACU125" s="41"/>
      <c r="ACV125" s="49"/>
      <c r="ACW125" s="41"/>
      <c r="ACX125" s="41"/>
      <c r="ACZ125" s="40"/>
      <c r="ADA125" s="47"/>
      <c r="ADB125" s="48"/>
      <c r="ADC125" s="49"/>
      <c r="ADD125" s="50"/>
      <c r="ADE125" s="50"/>
      <c r="ADF125" s="41"/>
      <c r="ADG125" s="41"/>
      <c r="ADH125" s="49"/>
      <c r="ADI125" s="41"/>
      <c r="ADJ125" s="41"/>
      <c r="ADL125" s="40"/>
      <c r="ADM125" s="47"/>
      <c r="ADN125" s="48"/>
      <c r="ADO125" s="49"/>
      <c r="ADP125" s="50"/>
      <c r="ADQ125" s="50"/>
      <c r="ADR125" s="41"/>
      <c r="ADS125" s="41"/>
      <c r="ADT125" s="49"/>
      <c r="ADU125" s="41"/>
      <c r="ADV125" s="41"/>
      <c r="ADX125" s="40"/>
      <c r="ADY125" s="47"/>
      <c r="ADZ125" s="48"/>
      <c r="AEA125" s="49"/>
      <c r="AEB125" s="50"/>
      <c r="AEC125" s="50"/>
      <c r="AED125" s="41"/>
      <c r="AEE125" s="41"/>
      <c r="AEF125" s="49"/>
      <c r="AEG125" s="41"/>
      <c r="AEH125" s="41"/>
      <c r="AEJ125" s="40"/>
      <c r="AEK125" s="47"/>
      <c r="AEL125" s="48"/>
      <c r="AEM125" s="49"/>
      <c r="AEN125" s="50"/>
      <c r="AEO125" s="50"/>
      <c r="AEP125" s="41"/>
      <c r="AEQ125" s="41"/>
      <c r="AER125" s="49"/>
      <c r="AES125" s="41"/>
      <c r="AET125" s="41"/>
      <c r="AEV125" s="40"/>
      <c r="AEW125" s="47"/>
      <c r="AEX125" s="48"/>
      <c r="AEY125" s="49"/>
      <c r="AEZ125" s="50"/>
      <c r="AFA125" s="50"/>
      <c r="AFB125" s="41"/>
      <c r="AFC125" s="41"/>
      <c r="AFD125" s="49"/>
      <c r="AFE125" s="41"/>
      <c r="AFF125" s="41"/>
      <c r="AFH125" s="40"/>
      <c r="AFI125" s="47"/>
      <c r="AFJ125" s="48"/>
      <c r="AFK125" s="49"/>
      <c r="AFL125" s="50"/>
      <c r="AFM125" s="50"/>
      <c r="AFN125" s="41"/>
      <c r="AFO125" s="41"/>
      <c r="AFP125" s="49"/>
      <c r="AFQ125" s="41"/>
      <c r="AFR125" s="41"/>
      <c r="AFT125" s="40"/>
      <c r="AFU125" s="47"/>
      <c r="AFV125" s="48"/>
      <c r="AFW125" s="49"/>
      <c r="AFX125" s="50"/>
      <c r="AFY125" s="50"/>
      <c r="AFZ125" s="41"/>
      <c r="AGA125" s="41"/>
      <c r="AGB125" s="49"/>
      <c r="AGC125" s="41"/>
      <c r="AGD125" s="41"/>
      <c r="AGF125" s="40"/>
      <c r="AGG125" s="47"/>
      <c r="AGH125" s="48"/>
      <c r="AGI125" s="49"/>
      <c r="AGJ125" s="50"/>
      <c r="AGK125" s="50"/>
      <c r="AGL125" s="41"/>
      <c r="AGM125" s="41"/>
      <c r="AGN125" s="49"/>
      <c r="AGO125" s="41"/>
      <c r="AGP125" s="41"/>
      <c r="AGR125" s="40"/>
      <c r="AGS125" s="47"/>
      <c r="AGT125" s="48"/>
      <c r="AGU125" s="49"/>
      <c r="AGV125" s="50"/>
      <c r="AGW125" s="50"/>
      <c r="AGX125" s="41"/>
      <c r="AGY125" s="41"/>
      <c r="AGZ125" s="49"/>
      <c r="AHA125" s="41"/>
      <c r="AHB125" s="41"/>
      <c r="AHD125" s="40"/>
      <c r="AHE125" s="47"/>
      <c r="AHF125" s="48"/>
      <c r="AHG125" s="49"/>
      <c r="AHH125" s="50"/>
      <c r="AHI125" s="50"/>
      <c r="AHJ125" s="41"/>
      <c r="AHK125" s="41"/>
      <c r="AHL125" s="49"/>
      <c r="AHM125" s="41"/>
      <c r="AHN125" s="41"/>
      <c r="AHP125" s="40"/>
      <c r="AHQ125" s="47"/>
      <c r="AHR125" s="48"/>
      <c r="AHS125" s="49"/>
      <c r="AHT125" s="50"/>
      <c r="AHU125" s="50"/>
      <c r="AHV125" s="41"/>
      <c r="AHW125" s="41"/>
      <c r="AHX125" s="49"/>
      <c r="AHY125" s="41"/>
      <c r="AHZ125" s="41"/>
      <c r="AIB125" s="40"/>
      <c r="AIC125" s="47"/>
      <c r="AID125" s="48"/>
      <c r="AIE125" s="49"/>
      <c r="AIF125" s="50"/>
      <c r="AIG125" s="50"/>
      <c r="AIH125" s="41"/>
      <c r="AII125" s="41"/>
      <c r="AIJ125" s="49"/>
      <c r="AIK125" s="41"/>
      <c r="AIL125" s="41"/>
      <c r="AIN125" s="40"/>
      <c r="AIO125" s="47"/>
      <c r="AIP125" s="48"/>
      <c r="AIQ125" s="49"/>
      <c r="AIR125" s="50"/>
      <c r="AIS125" s="50"/>
      <c r="AIT125" s="41"/>
      <c r="AIU125" s="41"/>
      <c r="AIV125" s="49"/>
      <c r="AIW125" s="41"/>
      <c r="AIX125" s="41"/>
      <c r="AIZ125" s="40"/>
      <c r="AJA125" s="47"/>
      <c r="AJB125" s="48"/>
      <c r="AJC125" s="49"/>
      <c r="AJD125" s="50"/>
      <c r="AJE125" s="50"/>
      <c r="AJF125" s="41"/>
      <c r="AJG125" s="41"/>
      <c r="AJH125" s="49"/>
      <c r="AJI125" s="41"/>
      <c r="AJJ125" s="41"/>
      <c r="AJL125" s="40"/>
      <c r="AJM125" s="47"/>
      <c r="AJN125" s="48"/>
      <c r="AJO125" s="49"/>
      <c r="AJP125" s="50"/>
      <c r="AJQ125" s="50"/>
      <c r="AJR125" s="41"/>
      <c r="AJS125" s="41"/>
      <c r="AJT125" s="49"/>
      <c r="AJU125" s="41"/>
      <c r="AJV125" s="41"/>
      <c r="AJX125" s="40"/>
      <c r="AJY125" s="47"/>
      <c r="AJZ125" s="48"/>
      <c r="AKA125" s="49"/>
      <c r="AKB125" s="50"/>
      <c r="AKC125" s="50"/>
      <c r="AKD125" s="41"/>
      <c r="AKE125" s="41"/>
      <c r="AKF125" s="49"/>
      <c r="AKG125" s="41"/>
      <c r="AKH125" s="41"/>
      <c r="AKJ125" s="40"/>
      <c r="AKK125" s="47"/>
      <c r="AKL125" s="48"/>
      <c r="AKM125" s="49"/>
      <c r="AKN125" s="50"/>
      <c r="AKO125" s="50"/>
      <c r="AKP125" s="41"/>
      <c r="AKQ125" s="41"/>
      <c r="AKR125" s="49"/>
      <c r="AKS125" s="41"/>
      <c r="AKT125" s="41"/>
      <c r="AKV125" s="40"/>
      <c r="AKW125" s="47"/>
      <c r="AKX125" s="48"/>
      <c r="AKY125" s="49"/>
      <c r="AKZ125" s="50"/>
      <c r="ALA125" s="50"/>
      <c r="ALB125" s="41"/>
      <c r="ALC125" s="41"/>
      <c r="ALD125" s="49"/>
      <c r="ALE125" s="41"/>
      <c r="ALF125" s="41"/>
      <c r="ALH125" s="40"/>
      <c r="ALI125" s="47"/>
      <c r="ALJ125" s="48"/>
      <c r="ALK125" s="49"/>
      <c r="ALL125" s="50"/>
      <c r="ALM125" s="50"/>
      <c r="ALN125" s="41"/>
      <c r="ALO125" s="41"/>
      <c r="ALP125" s="49"/>
      <c r="ALQ125" s="41"/>
      <c r="ALR125" s="41"/>
      <c r="ALT125" s="40"/>
      <c r="ALU125" s="47"/>
      <c r="ALV125" s="48"/>
      <c r="ALW125" s="49"/>
      <c r="ALX125" s="50"/>
      <c r="ALY125" s="50"/>
      <c r="ALZ125" s="41"/>
      <c r="AMA125" s="41"/>
      <c r="AMB125" s="49"/>
      <c r="AMC125" s="41"/>
      <c r="AMD125" s="41"/>
      <c r="AMF125" s="40"/>
      <c r="AMG125" s="47"/>
      <c r="AMH125" s="48"/>
      <c r="AMI125" s="49"/>
      <c r="AMJ125" s="50"/>
      <c r="AMK125" s="50"/>
      <c r="AML125" s="41"/>
      <c r="AMM125" s="41"/>
      <c r="AMN125" s="49"/>
      <c r="AMO125" s="41"/>
      <c r="AMP125" s="41"/>
      <c r="AMR125" s="40"/>
      <c r="AMS125" s="47"/>
      <c r="AMT125" s="48"/>
      <c r="AMU125" s="49"/>
      <c r="AMV125" s="50"/>
      <c r="AMW125" s="50"/>
      <c r="AMX125" s="41"/>
      <c r="AMY125" s="41"/>
      <c r="AMZ125" s="49"/>
      <c r="ANA125" s="41"/>
      <c r="ANB125" s="41"/>
      <c r="AND125" s="40"/>
      <c r="ANE125" s="47"/>
      <c r="ANF125" s="48"/>
      <c r="ANG125" s="49"/>
      <c r="ANH125" s="50"/>
      <c r="ANI125" s="50"/>
      <c r="ANJ125" s="41"/>
      <c r="ANK125" s="41"/>
      <c r="ANL125" s="49"/>
      <c r="ANM125" s="41"/>
      <c r="ANN125" s="41"/>
      <c r="ANP125" s="40"/>
      <c r="ANQ125" s="47"/>
      <c r="ANR125" s="48"/>
      <c r="ANS125" s="49"/>
      <c r="ANT125" s="50"/>
      <c r="ANU125" s="50"/>
      <c r="ANV125" s="41"/>
      <c r="ANW125" s="41"/>
      <c r="ANX125" s="49"/>
      <c r="ANY125" s="41"/>
      <c r="ANZ125" s="41"/>
      <c r="AOB125" s="40"/>
      <c r="AOC125" s="47"/>
      <c r="AOD125" s="48"/>
      <c r="AOE125" s="49"/>
      <c r="AOF125" s="50"/>
      <c r="AOG125" s="50"/>
      <c r="AOH125" s="41"/>
      <c r="AOI125" s="41"/>
      <c r="AOJ125" s="49"/>
      <c r="AOK125" s="41"/>
      <c r="AOL125" s="41"/>
      <c r="AON125" s="40"/>
      <c r="AOO125" s="47"/>
      <c r="AOP125" s="48"/>
      <c r="AOQ125" s="49"/>
      <c r="AOR125" s="50"/>
      <c r="AOS125" s="50"/>
      <c r="AOT125" s="41"/>
      <c r="AOU125" s="41"/>
      <c r="AOV125" s="49"/>
      <c r="AOW125" s="41"/>
      <c r="AOX125" s="41"/>
      <c r="AOZ125" s="40"/>
      <c r="APA125" s="47"/>
      <c r="APB125" s="48"/>
      <c r="APC125" s="49"/>
      <c r="APD125" s="50"/>
      <c r="APE125" s="50"/>
      <c r="APF125" s="41"/>
      <c r="APG125" s="41"/>
      <c r="APH125" s="49"/>
      <c r="API125" s="41"/>
      <c r="APJ125" s="41"/>
      <c r="APL125" s="40"/>
      <c r="APM125" s="47"/>
      <c r="APN125" s="48"/>
      <c r="APO125" s="49"/>
      <c r="APP125" s="50"/>
      <c r="APQ125" s="50"/>
      <c r="APR125" s="41"/>
      <c r="APS125" s="41"/>
      <c r="APT125" s="49"/>
      <c r="APU125" s="41"/>
      <c r="APV125" s="41"/>
      <c r="APX125" s="40"/>
      <c r="APY125" s="47"/>
      <c r="APZ125" s="48"/>
      <c r="AQA125" s="49"/>
      <c r="AQB125" s="50"/>
      <c r="AQC125" s="50"/>
      <c r="AQD125" s="41"/>
      <c r="AQE125" s="41"/>
      <c r="AQF125" s="49"/>
      <c r="AQG125" s="41"/>
      <c r="AQH125" s="41"/>
      <c r="AQJ125" s="40"/>
      <c r="AQK125" s="47"/>
      <c r="AQL125" s="48"/>
      <c r="AQM125" s="49"/>
      <c r="AQN125" s="50"/>
      <c r="AQO125" s="50"/>
      <c r="AQP125" s="41"/>
      <c r="AQQ125" s="41"/>
      <c r="AQR125" s="49"/>
      <c r="AQS125" s="41"/>
      <c r="AQT125" s="41"/>
      <c r="AQV125" s="40"/>
      <c r="AQW125" s="47"/>
      <c r="AQX125" s="48"/>
      <c r="AQY125" s="49"/>
      <c r="AQZ125" s="50"/>
      <c r="ARA125" s="50"/>
      <c r="ARB125" s="41"/>
      <c r="ARC125" s="41"/>
      <c r="ARD125" s="49"/>
      <c r="ARE125" s="41"/>
      <c r="ARF125" s="41"/>
      <c r="ARH125" s="40"/>
      <c r="ARI125" s="47"/>
      <c r="ARJ125" s="48"/>
      <c r="ARK125" s="49"/>
      <c r="ARL125" s="50"/>
      <c r="ARM125" s="50"/>
      <c r="ARN125" s="41"/>
      <c r="ARO125" s="41"/>
      <c r="ARP125" s="49"/>
      <c r="ARQ125" s="41"/>
      <c r="ARR125" s="41"/>
      <c r="ART125" s="40"/>
      <c r="ARU125" s="47"/>
      <c r="ARV125" s="48"/>
      <c r="ARW125" s="49"/>
      <c r="ARX125" s="50"/>
      <c r="ARY125" s="50"/>
      <c r="ARZ125" s="41"/>
      <c r="ASA125" s="41"/>
      <c r="ASB125" s="49"/>
      <c r="ASC125" s="41"/>
      <c r="ASD125" s="41"/>
      <c r="ASF125" s="40"/>
      <c r="ASG125" s="47"/>
      <c r="ASH125" s="48"/>
      <c r="ASI125" s="49"/>
      <c r="ASJ125" s="50"/>
      <c r="ASK125" s="50"/>
      <c r="ASL125" s="41"/>
      <c r="ASM125" s="41"/>
      <c r="ASN125" s="49"/>
      <c r="ASO125" s="41"/>
      <c r="ASP125" s="41"/>
      <c r="ASR125" s="40"/>
      <c r="ASS125" s="47"/>
      <c r="AST125" s="48"/>
      <c r="ASU125" s="49"/>
      <c r="ASV125" s="50"/>
      <c r="ASW125" s="50"/>
      <c r="ASX125" s="41"/>
      <c r="ASY125" s="41"/>
      <c r="ASZ125" s="49"/>
      <c r="ATA125" s="41"/>
      <c r="ATB125" s="41"/>
      <c r="ATD125" s="40"/>
      <c r="ATE125" s="47"/>
      <c r="ATF125" s="48"/>
      <c r="ATG125" s="49"/>
      <c r="ATH125" s="50"/>
      <c r="ATI125" s="50"/>
      <c r="ATJ125" s="41"/>
      <c r="ATK125" s="41"/>
      <c r="ATL125" s="49"/>
      <c r="ATM125" s="41"/>
      <c r="ATN125" s="41"/>
      <c r="ATP125" s="40"/>
      <c r="ATQ125" s="47"/>
      <c r="ATR125" s="48"/>
      <c r="ATS125" s="49"/>
      <c r="ATT125" s="50"/>
      <c r="ATU125" s="50"/>
      <c r="ATV125" s="41"/>
      <c r="ATW125" s="41"/>
      <c r="ATX125" s="49"/>
      <c r="ATY125" s="41"/>
      <c r="ATZ125" s="41"/>
      <c r="AUB125" s="40"/>
      <c r="AUC125" s="47"/>
      <c r="AUD125" s="48"/>
      <c r="AUE125" s="49"/>
      <c r="AUF125" s="50"/>
      <c r="AUG125" s="50"/>
      <c r="AUH125" s="41"/>
      <c r="AUI125" s="41"/>
      <c r="AUJ125" s="49"/>
      <c r="AUK125" s="41"/>
      <c r="AUL125" s="41"/>
      <c r="AUN125" s="40"/>
      <c r="AUO125" s="47"/>
      <c r="AUP125" s="48"/>
      <c r="AUQ125" s="49"/>
      <c r="AUR125" s="50"/>
      <c r="AUS125" s="50"/>
      <c r="AUT125" s="41"/>
      <c r="AUU125" s="41"/>
      <c r="AUV125" s="49"/>
      <c r="AUW125" s="41"/>
      <c r="AUX125" s="41"/>
      <c r="AUZ125" s="40"/>
      <c r="AVA125" s="47"/>
      <c r="AVB125" s="48"/>
      <c r="AVC125" s="49"/>
      <c r="AVD125" s="50"/>
      <c r="AVE125" s="50"/>
      <c r="AVF125" s="41"/>
      <c r="AVG125" s="41"/>
      <c r="AVH125" s="49"/>
      <c r="AVI125" s="41"/>
      <c r="AVJ125" s="41"/>
      <c r="AVL125" s="40"/>
      <c r="AVM125" s="47"/>
      <c r="AVN125" s="48"/>
      <c r="AVO125" s="49"/>
      <c r="AVP125" s="50"/>
      <c r="AVQ125" s="50"/>
      <c r="AVR125" s="41"/>
      <c r="AVS125" s="41"/>
      <c r="AVT125" s="49"/>
      <c r="AVU125" s="41"/>
      <c r="AVV125" s="41"/>
      <c r="AVX125" s="40"/>
      <c r="AVY125" s="47"/>
      <c r="AVZ125" s="48"/>
      <c r="AWA125" s="49"/>
      <c r="AWB125" s="50"/>
      <c r="AWC125" s="50"/>
      <c r="AWD125" s="41"/>
      <c r="AWE125" s="41"/>
      <c r="AWF125" s="49"/>
      <c r="AWG125" s="41"/>
      <c r="AWH125" s="41"/>
      <c r="AWJ125" s="40"/>
      <c r="AWK125" s="47"/>
      <c r="AWL125" s="48"/>
      <c r="AWM125" s="49"/>
      <c r="AWN125" s="50"/>
      <c r="AWO125" s="50"/>
      <c r="AWP125" s="41"/>
      <c r="AWQ125" s="41"/>
      <c r="AWR125" s="49"/>
      <c r="AWS125" s="41"/>
      <c r="AWT125" s="41"/>
      <c r="AWV125" s="40"/>
      <c r="AWW125" s="47"/>
      <c r="AWX125" s="48"/>
      <c r="AWY125" s="49"/>
      <c r="AWZ125" s="50"/>
      <c r="AXA125" s="50"/>
      <c r="AXB125" s="41"/>
      <c r="AXC125" s="41"/>
      <c r="AXD125" s="49"/>
      <c r="AXE125" s="41"/>
      <c r="AXF125" s="41"/>
      <c r="AXH125" s="40"/>
      <c r="AXI125" s="47"/>
      <c r="AXJ125" s="48"/>
      <c r="AXK125" s="49"/>
      <c r="AXL125" s="50"/>
      <c r="AXM125" s="50"/>
      <c r="AXN125" s="41"/>
      <c r="AXO125" s="41"/>
      <c r="AXP125" s="49"/>
      <c r="AXQ125" s="41"/>
      <c r="AXR125" s="41"/>
      <c r="AXT125" s="40"/>
      <c r="AXU125" s="47"/>
      <c r="AXV125" s="48"/>
      <c r="AXW125" s="49"/>
      <c r="AXX125" s="50"/>
      <c r="AXY125" s="50"/>
      <c r="AXZ125" s="41"/>
      <c r="AYA125" s="41"/>
      <c r="AYB125" s="49"/>
      <c r="AYC125" s="41"/>
      <c r="AYD125" s="41"/>
      <c r="AYF125" s="40"/>
      <c r="AYG125" s="47"/>
      <c r="AYH125" s="48"/>
      <c r="AYI125" s="49"/>
      <c r="AYJ125" s="50"/>
      <c r="AYK125" s="50"/>
      <c r="AYL125" s="41"/>
      <c r="AYM125" s="41"/>
      <c r="AYN125" s="49"/>
      <c r="AYO125" s="41"/>
      <c r="AYP125" s="41"/>
      <c r="AYR125" s="40"/>
      <c r="AYS125" s="47"/>
      <c r="AYT125" s="48"/>
      <c r="AYU125" s="49"/>
      <c r="AYV125" s="50"/>
      <c r="AYW125" s="50"/>
      <c r="AYX125" s="41"/>
      <c r="AYY125" s="41"/>
      <c r="AYZ125" s="49"/>
      <c r="AZA125" s="41"/>
      <c r="AZB125" s="41"/>
      <c r="AZD125" s="40"/>
      <c r="AZE125" s="47"/>
      <c r="AZF125" s="48"/>
      <c r="AZG125" s="49"/>
      <c r="AZH125" s="50"/>
      <c r="AZI125" s="50"/>
      <c r="AZJ125" s="41"/>
      <c r="AZK125" s="41"/>
      <c r="AZL125" s="49"/>
      <c r="AZM125" s="41"/>
      <c r="AZN125" s="41"/>
      <c r="AZP125" s="40"/>
      <c r="AZQ125" s="47"/>
      <c r="AZR125" s="48"/>
      <c r="AZS125" s="49"/>
      <c r="AZT125" s="50"/>
      <c r="AZU125" s="50"/>
      <c r="AZV125" s="41"/>
      <c r="AZW125" s="41"/>
      <c r="AZX125" s="49"/>
      <c r="AZY125" s="41"/>
      <c r="AZZ125" s="41"/>
      <c r="BAB125" s="40"/>
      <c r="BAC125" s="47"/>
      <c r="BAD125" s="48"/>
      <c r="BAE125" s="49"/>
      <c r="BAF125" s="50"/>
      <c r="BAG125" s="50"/>
      <c r="BAH125" s="41"/>
      <c r="BAI125" s="41"/>
      <c r="BAJ125" s="49"/>
      <c r="BAK125" s="41"/>
      <c r="BAL125" s="41"/>
      <c r="BAN125" s="40"/>
      <c r="BAO125" s="47"/>
      <c r="BAP125" s="48"/>
      <c r="BAQ125" s="49"/>
      <c r="BAR125" s="50"/>
      <c r="BAS125" s="50"/>
      <c r="BAT125" s="41"/>
      <c r="BAU125" s="41"/>
      <c r="BAV125" s="49"/>
      <c r="BAW125" s="41"/>
      <c r="BAX125" s="41"/>
      <c r="BAZ125" s="40"/>
      <c r="BBA125" s="47"/>
      <c r="BBB125" s="48"/>
      <c r="BBC125" s="49"/>
      <c r="BBD125" s="50"/>
      <c r="BBE125" s="50"/>
      <c r="BBF125" s="41"/>
      <c r="BBG125" s="41"/>
      <c r="BBH125" s="49"/>
      <c r="BBI125" s="41"/>
      <c r="BBJ125" s="41"/>
      <c r="BBL125" s="40"/>
      <c r="BBM125" s="47"/>
      <c r="BBN125" s="48"/>
      <c r="BBO125" s="49"/>
      <c r="BBP125" s="50"/>
      <c r="BBQ125" s="50"/>
      <c r="BBR125" s="41"/>
      <c r="BBS125" s="41"/>
      <c r="BBT125" s="49"/>
      <c r="BBU125" s="41"/>
      <c r="BBV125" s="41"/>
      <c r="BBX125" s="40"/>
      <c r="BBY125" s="47"/>
      <c r="BBZ125" s="48"/>
      <c r="BCA125" s="49"/>
      <c r="BCB125" s="50"/>
      <c r="BCC125" s="50"/>
      <c r="BCD125" s="41"/>
      <c r="BCE125" s="41"/>
      <c r="BCF125" s="49"/>
      <c r="BCG125" s="41"/>
      <c r="BCH125" s="41"/>
      <c r="BCJ125" s="40"/>
      <c r="BCK125" s="47"/>
      <c r="BCL125" s="48"/>
      <c r="BCM125" s="49"/>
      <c r="BCN125" s="50"/>
      <c r="BCO125" s="50"/>
      <c r="BCP125" s="41"/>
      <c r="BCQ125" s="41"/>
      <c r="BCR125" s="49"/>
      <c r="BCS125" s="41"/>
      <c r="BCT125" s="41"/>
      <c r="BCV125" s="40"/>
      <c r="BCW125" s="47"/>
      <c r="BCX125" s="48"/>
      <c r="BCY125" s="49"/>
      <c r="BCZ125" s="50"/>
      <c r="BDA125" s="50"/>
      <c r="BDB125" s="41"/>
      <c r="BDC125" s="41"/>
      <c r="BDD125" s="49"/>
      <c r="BDE125" s="41"/>
      <c r="BDF125" s="41"/>
      <c r="BDH125" s="40"/>
      <c r="BDI125" s="47"/>
      <c r="BDJ125" s="48"/>
      <c r="BDK125" s="49"/>
      <c r="BDL125" s="50"/>
      <c r="BDM125" s="50"/>
      <c r="BDN125" s="41"/>
      <c r="BDO125" s="41"/>
      <c r="BDP125" s="49"/>
      <c r="BDQ125" s="41"/>
      <c r="BDR125" s="41"/>
      <c r="BDT125" s="40"/>
      <c r="BDU125" s="47"/>
      <c r="BDV125" s="48"/>
      <c r="BDW125" s="49"/>
      <c r="BDX125" s="50"/>
      <c r="BDY125" s="50"/>
      <c r="BDZ125" s="41"/>
      <c r="BEA125" s="41"/>
      <c r="BEB125" s="49"/>
      <c r="BEC125" s="41"/>
      <c r="BED125" s="41"/>
      <c r="BEF125" s="40"/>
      <c r="BEG125" s="47"/>
      <c r="BEH125" s="48"/>
      <c r="BEI125" s="49"/>
      <c r="BEJ125" s="50"/>
      <c r="BEK125" s="50"/>
      <c r="BEL125" s="41"/>
      <c r="BEM125" s="41"/>
      <c r="BEN125" s="49"/>
      <c r="BEO125" s="41"/>
      <c r="BEP125" s="41"/>
      <c r="BER125" s="40"/>
      <c r="BES125" s="47"/>
      <c r="BET125" s="48"/>
      <c r="BEU125" s="49"/>
      <c r="BEV125" s="50"/>
      <c r="BEW125" s="50"/>
      <c r="BEX125" s="41"/>
      <c r="BEY125" s="41"/>
      <c r="BEZ125" s="49"/>
      <c r="BFA125" s="41"/>
      <c r="BFB125" s="41"/>
      <c r="BFD125" s="40"/>
      <c r="BFE125" s="47"/>
      <c r="BFF125" s="48"/>
      <c r="BFG125" s="49"/>
      <c r="BFH125" s="50"/>
      <c r="BFI125" s="50"/>
      <c r="BFJ125" s="41"/>
      <c r="BFK125" s="41"/>
      <c r="BFL125" s="49"/>
      <c r="BFM125" s="41"/>
      <c r="BFN125" s="41"/>
      <c r="BFP125" s="40"/>
      <c r="BFQ125" s="47"/>
      <c r="BFR125" s="48"/>
      <c r="BFS125" s="49"/>
      <c r="BFT125" s="50"/>
      <c r="BFU125" s="50"/>
      <c r="BFV125" s="41"/>
      <c r="BFW125" s="41"/>
      <c r="BFX125" s="49"/>
      <c r="BFY125" s="41"/>
      <c r="BFZ125" s="41"/>
      <c r="BGB125" s="40"/>
      <c r="BGC125" s="47"/>
      <c r="BGD125" s="48"/>
      <c r="BGE125" s="49"/>
      <c r="BGF125" s="50"/>
      <c r="BGG125" s="50"/>
      <c r="BGH125" s="41"/>
      <c r="BGI125" s="41"/>
      <c r="BGJ125" s="49"/>
      <c r="BGK125" s="41"/>
      <c r="BGL125" s="41"/>
      <c r="BGN125" s="40"/>
      <c r="BGO125" s="47"/>
      <c r="BGP125" s="48"/>
      <c r="BGQ125" s="49"/>
      <c r="BGR125" s="50"/>
      <c r="BGS125" s="50"/>
      <c r="BGT125" s="41"/>
      <c r="BGU125" s="41"/>
      <c r="BGV125" s="49"/>
      <c r="BGW125" s="41"/>
      <c r="BGX125" s="41"/>
      <c r="BGZ125" s="40"/>
      <c r="BHA125" s="47"/>
      <c r="BHB125" s="48"/>
      <c r="BHC125" s="49"/>
      <c r="BHD125" s="50"/>
      <c r="BHE125" s="50"/>
      <c r="BHF125" s="41"/>
      <c r="BHG125" s="41"/>
      <c r="BHH125" s="49"/>
      <c r="BHI125" s="41"/>
      <c r="BHJ125" s="41"/>
      <c r="BHL125" s="40"/>
      <c r="BHM125" s="47"/>
      <c r="BHN125" s="48"/>
      <c r="BHO125" s="49"/>
      <c r="BHP125" s="50"/>
      <c r="BHQ125" s="50"/>
      <c r="BHR125" s="41"/>
      <c r="BHS125" s="41"/>
      <c r="BHT125" s="49"/>
      <c r="BHU125" s="41"/>
      <c r="BHV125" s="41"/>
      <c r="BHX125" s="40"/>
      <c r="BHY125" s="47"/>
      <c r="BHZ125" s="48"/>
      <c r="BIA125" s="49"/>
      <c r="BIB125" s="50"/>
      <c r="BIC125" s="50"/>
      <c r="BID125" s="41"/>
      <c r="BIE125" s="41"/>
      <c r="BIF125" s="49"/>
      <c r="BIG125" s="41"/>
      <c r="BIH125" s="41"/>
      <c r="BIJ125" s="40"/>
      <c r="BIK125" s="47"/>
      <c r="BIL125" s="48"/>
      <c r="BIM125" s="49"/>
      <c r="BIN125" s="50"/>
      <c r="BIO125" s="50"/>
      <c r="BIP125" s="41"/>
      <c r="BIQ125" s="41"/>
      <c r="BIR125" s="49"/>
      <c r="BIS125" s="41"/>
      <c r="BIT125" s="41"/>
      <c r="BIV125" s="40"/>
      <c r="BIW125" s="47"/>
      <c r="BIX125" s="48"/>
      <c r="BIY125" s="49"/>
      <c r="BIZ125" s="50"/>
      <c r="BJA125" s="50"/>
      <c r="BJB125" s="41"/>
      <c r="BJC125" s="41"/>
      <c r="BJD125" s="49"/>
      <c r="BJE125" s="41"/>
      <c r="BJF125" s="41"/>
      <c r="BJH125" s="40"/>
      <c r="BJI125" s="47"/>
      <c r="BJJ125" s="48"/>
      <c r="BJK125" s="49"/>
      <c r="BJL125" s="50"/>
      <c r="BJM125" s="50"/>
      <c r="BJN125" s="41"/>
      <c r="BJO125" s="41"/>
      <c r="BJP125" s="49"/>
      <c r="BJQ125" s="41"/>
      <c r="BJR125" s="41"/>
      <c r="BJT125" s="40"/>
      <c r="BJU125" s="47"/>
      <c r="BJV125" s="48"/>
      <c r="BJW125" s="49"/>
      <c r="BJX125" s="50"/>
      <c r="BJY125" s="50"/>
      <c r="BJZ125" s="41"/>
      <c r="BKA125" s="41"/>
      <c r="BKB125" s="49"/>
      <c r="BKC125" s="41"/>
      <c r="BKD125" s="41"/>
      <c r="BKF125" s="40"/>
      <c r="BKG125" s="47"/>
      <c r="BKH125" s="48"/>
      <c r="BKI125" s="49"/>
      <c r="BKJ125" s="50"/>
      <c r="BKK125" s="50"/>
      <c r="BKL125" s="41"/>
      <c r="BKM125" s="41"/>
      <c r="BKN125" s="49"/>
      <c r="BKO125" s="41"/>
      <c r="BKP125" s="41"/>
      <c r="BKR125" s="40"/>
      <c r="BKS125" s="47"/>
      <c r="BKT125" s="48"/>
      <c r="BKU125" s="49"/>
      <c r="BKV125" s="50"/>
      <c r="BKW125" s="50"/>
      <c r="BKX125" s="41"/>
      <c r="BKY125" s="41"/>
      <c r="BKZ125" s="49"/>
      <c r="BLA125" s="41"/>
      <c r="BLB125" s="41"/>
      <c r="BLD125" s="40"/>
      <c r="BLE125" s="47"/>
      <c r="BLF125" s="48"/>
      <c r="BLG125" s="49"/>
      <c r="BLH125" s="50"/>
      <c r="BLI125" s="50"/>
      <c r="BLJ125" s="41"/>
      <c r="BLK125" s="41"/>
      <c r="BLL125" s="49"/>
      <c r="BLM125" s="41"/>
      <c r="BLN125" s="41"/>
      <c r="BLP125" s="40"/>
      <c r="BLQ125" s="47"/>
      <c r="BLR125" s="48"/>
      <c r="BLS125" s="49"/>
      <c r="BLT125" s="50"/>
      <c r="BLU125" s="50"/>
      <c r="BLV125" s="41"/>
      <c r="BLW125" s="41"/>
      <c r="BLX125" s="49"/>
      <c r="BLY125" s="41"/>
      <c r="BLZ125" s="41"/>
      <c r="BMB125" s="40"/>
      <c r="BMC125" s="47"/>
      <c r="BMD125" s="48"/>
      <c r="BME125" s="49"/>
      <c r="BMF125" s="50"/>
      <c r="BMG125" s="50"/>
      <c r="BMH125" s="41"/>
      <c r="BMI125" s="41"/>
      <c r="BMJ125" s="49"/>
      <c r="BMK125" s="41"/>
      <c r="BML125" s="41"/>
      <c r="BMN125" s="40"/>
      <c r="BMO125" s="47"/>
      <c r="BMP125" s="48"/>
      <c r="BMQ125" s="49"/>
      <c r="BMR125" s="50"/>
      <c r="BMS125" s="50"/>
      <c r="BMT125" s="41"/>
      <c r="BMU125" s="41"/>
      <c r="BMV125" s="49"/>
      <c r="BMW125" s="41"/>
      <c r="BMX125" s="41"/>
      <c r="BMZ125" s="40"/>
      <c r="BNA125" s="47"/>
      <c r="BNB125" s="48"/>
      <c r="BNC125" s="49"/>
      <c r="BND125" s="50"/>
      <c r="BNE125" s="50"/>
      <c r="BNF125" s="41"/>
      <c r="BNG125" s="41"/>
      <c r="BNH125" s="49"/>
      <c r="BNI125" s="41"/>
      <c r="BNJ125" s="41"/>
      <c r="BNL125" s="40"/>
      <c r="BNM125" s="47"/>
      <c r="BNN125" s="48"/>
      <c r="BNO125" s="49"/>
      <c r="BNP125" s="50"/>
      <c r="BNQ125" s="50"/>
      <c r="BNR125" s="41"/>
      <c r="BNS125" s="41"/>
      <c r="BNT125" s="49"/>
      <c r="BNU125" s="41"/>
      <c r="BNV125" s="41"/>
      <c r="BNX125" s="40"/>
      <c r="BNY125" s="47"/>
      <c r="BNZ125" s="48"/>
      <c r="BOA125" s="49"/>
      <c r="BOB125" s="50"/>
      <c r="BOC125" s="50"/>
      <c r="BOD125" s="41"/>
      <c r="BOE125" s="41"/>
      <c r="BOF125" s="49"/>
      <c r="BOG125" s="41"/>
      <c r="BOH125" s="41"/>
      <c r="BOJ125" s="40"/>
      <c r="BOK125" s="47"/>
      <c r="BOL125" s="48"/>
      <c r="BOM125" s="49"/>
      <c r="BON125" s="50"/>
      <c r="BOO125" s="50"/>
      <c r="BOP125" s="41"/>
      <c r="BOQ125" s="41"/>
      <c r="BOR125" s="49"/>
      <c r="BOS125" s="41"/>
      <c r="BOT125" s="41"/>
      <c r="BOV125" s="40"/>
      <c r="BOW125" s="47"/>
      <c r="BOX125" s="48"/>
      <c r="BOY125" s="49"/>
      <c r="BOZ125" s="50"/>
      <c r="BPA125" s="50"/>
      <c r="BPB125" s="41"/>
      <c r="BPC125" s="41"/>
      <c r="BPD125" s="49"/>
      <c r="BPE125" s="41"/>
      <c r="BPF125" s="41"/>
      <c r="BPH125" s="40"/>
      <c r="BPI125" s="47"/>
      <c r="BPJ125" s="48"/>
      <c r="BPK125" s="49"/>
      <c r="BPL125" s="50"/>
      <c r="BPM125" s="50"/>
      <c r="BPN125" s="41"/>
      <c r="BPO125" s="41"/>
      <c r="BPP125" s="49"/>
      <c r="BPQ125" s="41"/>
      <c r="BPR125" s="41"/>
      <c r="BPT125" s="40"/>
      <c r="BPU125" s="47"/>
      <c r="BPV125" s="48"/>
      <c r="BPW125" s="49"/>
      <c r="BPX125" s="50"/>
      <c r="BPY125" s="50"/>
      <c r="BPZ125" s="41"/>
      <c r="BQA125" s="41"/>
      <c r="BQB125" s="49"/>
      <c r="BQC125" s="41"/>
      <c r="BQD125" s="41"/>
      <c r="BQF125" s="40"/>
      <c r="BQG125" s="47"/>
      <c r="BQH125" s="48"/>
      <c r="BQI125" s="49"/>
      <c r="BQJ125" s="50"/>
      <c r="BQK125" s="50"/>
      <c r="BQL125" s="41"/>
      <c r="BQM125" s="41"/>
      <c r="BQN125" s="49"/>
      <c r="BQO125" s="41"/>
      <c r="BQP125" s="41"/>
      <c r="BQR125" s="40"/>
      <c r="BQS125" s="47"/>
      <c r="BQT125" s="48"/>
      <c r="BQU125" s="49"/>
      <c r="BQV125" s="50"/>
      <c r="BQW125" s="50"/>
      <c r="BQX125" s="41"/>
      <c r="BQY125" s="41"/>
      <c r="BQZ125" s="49"/>
      <c r="BRA125" s="41"/>
      <c r="BRB125" s="41"/>
      <c r="BRD125" s="40"/>
      <c r="BRE125" s="47"/>
      <c r="BRF125" s="48"/>
      <c r="BRG125" s="49"/>
      <c r="BRH125" s="50"/>
      <c r="BRI125" s="50"/>
      <c r="BRJ125" s="41"/>
      <c r="BRK125" s="41"/>
      <c r="BRL125" s="49"/>
      <c r="BRM125" s="41"/>
      <c r="BRN125" s="41"/>
      <c r="BRP125" s="40"/>
      <c r="BRQ125" s="47"/>
      <c r="BRR125" s="48"/>
      <c r="BRS125" s="49"/>
      <c r="BRT125" s="50"/>
      <c r="BRU125" s="50"/>
      <c r="BRV125" s="41"/>
      <c r="BRW125" s="41"/>
      <c r="BRX125" s="49"/>
      <c r="BRY125" s="41"/>
      <c r="BRZ125" s="41"/>
      <c r="BSB125" s="40"/>
      <c r="BSC125" s="47"/>
      <c r="BSD125" s="48"/>
      <c r="BSE125" s="49"/>
      <c r="BSF125" s="50"/>
      <c r="BSG125" s="50"/>
      <c r="BSH125" s="41"/>
      <c r="BSI125" s="41"/>
      <c r="BSJ125" s="49"/>
      <c r="BSK125" s="41"/>
      <c r="BSL125" s="41"/>
      <c r="BSN125" s="40"/>
      <c r="BSO125" s="47"/>
      <c r="BSP125" s="48"/>
      <c r="BSQ125" s="49"/>
      <c r="BSR125" s="50"/>
      <c r="BSS125" s="50"/>
      <c r="BST125" s="41"/>
      <c r="BSU125" s="41"/>
      <c r="BSV125" s="49"/>
      <c r="BSW125" s="41"/>
      <c r="BSX125" s="41"/>
      <c r="BSZ125" s="40"/>
      <c r="BTA125" s="47"/>
      <c r="BTB125" s="48"/>
      <c r="BTC125" s="49"/>
      <c r="BTD125" s="50"/>
      <c r="BTE125" s="50"/>
      <c r="BTF125" s="41"/>
      <c r="BTG125" s="41"/>
      <c r="BTH125" s="49"/>
      <c r="BTI125" s="41"/>
      <c r="BTJ125" s="41"/>
      <c r="BTL125" s="40"/>
      <c r="BTM125" s="47"/>
      <c r="BTN125" s="48"/>
      <c r="BTO125" s="49"/>
      <c r="BTP125" s="50"/>
      <c r="BTQ125" s="50"/>
      <c r="BTR125" s="41"/>
      <c r="BTS125" s="41"/>
      <c r="BTT125" s="49"/>
      <c r="BTU125" s="41"/>
      <c r="BTV125" s="41"/>
      <c r="BTX125" s="40"/>
      <c r="BTY125" s="47"/>
      <c r="BTZ125" s="48"/>
      <c r="BUA125" s="49"/>
      <c r="BUB125" s="50"/>
      <c r="BUC125" s="50"/>
      <c r="BUD125" s="41"/>
      <c r="BUE125" s="41"/>
      <c r="BUF125" s="49"/>
      <c r="BUG125" s="41"/>
      <c r="BUH125" s="41"/>
      <c r="BUJ125" s="40"/>
      <c r="BUK125" s="47"/>
      <c r="BUL125" s="48"/>
      <c r="BUM125" s="49"/>
      <c r="BUN125" s="50"/>
      <c r="BUO125" s="50"/>
      <c r="BUP125" s="41"/>
      <c r="BUQ125" s="41"/>
      <c r="BUR125" s="49"/>
      <c r="BUS125" s="41"/>
      <c r="BUT125" s="41"/>
      <c r="BUV125" s="40"/>
      <c r="BUW125" s="47"/>
      <c r="BUX125" s="48"/>
      <c r="BUY125" s="49"/>
      <c r="BUZ125" s="50"/>
      <c r="BVA125" s="50"/>
      <c r="BVB125" s="41"/>
      <c r="BVC125" s="41"/>
      <c r="BVD125" s="49"/>
      <c r="BVE125" s="41"/>
      <c r="BVF125" s="41"/>
      <c r="BVH125" s="40"/>
      <c r="BVI125" s="47"/>
      <c r="BVJ125" s="48"/>
      <c r="BVK125" s="49"/>
      <c r="BVL125" s="50"/>
      <c r="BVM125" s="50"/>
      <c r="BVN125" s="41"/>
      <c r="BVO125" s="41"/>
      <c r="BVP125" s="49"/>
      <c r="BVQ125" s="41"/>
      <c r="BVR125" s="41"/>
      <c r="BVT125" s="40"/>
      <c r="BVU125" s="47"/>
      <c r="BVV125" s="48"/>
      <c r="BVW125" s="49"/>
      <c r="BVX125" s="50"/>
      <c r="BVY125" s="50"/>
      <c r="BVZ125" s="41"/>
      <c r="BWA125" s="41"/>
      <c r="BWB125" s="49"/>
      <c r="BWC125" s="41"/>
      <c r="BWD125" s="41"/>
      <c r="BWF125" s="40"/>
      <c r="BWG125" s="47"/>
      <c r="BWH125" s="48"/>
      <c r="BWI125" s="49"/>
      <c r="BWJ125" s="50"/>
      <c r="BWK125" s="50"/>
      <c r="BWL125" s="41"/>
      <c r="BWM125" s="41"/>
      <c r="BWN125" s="49"/>
      <c r="BWO125" s="41"/>
      <c r="BWP125" s="41"/>
      <c r="BWR125" s="40"/>
      <c r="BWS125" s="47"/>
      <c r="BWT125" s="48"/>
      <c r="BWU125" s="49"/>
      <c r="BWV125" s="50"/>
      <c r="BWW125" s="50"/>
      <c r="BWX125" s="41"/>
      <c r="BWY125" s="41"/>
      <c r="BWZ125" s="49"/>
      <c r="BXA125" s="41"/>
      <c r="BXB125" s="41"/>
      <c r="BXD125" s="40"/>
      <c r="BXE125" s="47"/>
      <c r="BXF125" s="48"/>
      <c r="BXG125" s="49"/>
      <c r="BXH125" s="50"/>
      <c r="BXI125" s="50"/>
      <c r="BXJ125" s="41"/>
      <c r="BXK125" s="41"/>
      <c r="BXL125" s="49"/>
      <c r="BXM125" s="41"/>
      <c r="BXN125" s="41"/>
      <c r="BXP125" s="40"/>
      <c r="BXQ125" s="47"/>
      <c r="BXR125" s="48"/>
      <c r="BXS125" s="49"/>
      <c r="BXT125" s="50"/>
      <c r="BXU125" s="50"/>
      <c r="BXV125" s="41"/>
      <c r="BXW125" s="41"/>
      <c r="BXX125" s="49"/>
      <c r="BXY125" s="41"/>
      <c r="BXZ125" s="41"/>
      <c r="BYB125" s="40"/>
      <c r="BYC125" s="47"/>
      <c r="BYD125" s="48"/>
      <c r="BYE125" s="49"/>
      <c r="BYF125" s="50"/>
      <c r="BYG125" s="50"/>
      <c r="BYH125" s="41"/>
      <c r="BYI125" s="41"/>
      <c r="BYJ125" s="49"/>
      <c r="BYK125" s="41"/>
      <c r="BYL125" s="41"/>
      <c r="BYN125" s="40"/>
      <c r="BYO125" s="47"/>
      <c r="BYP125" s="48"/>
      <c r="BYQ125" s="49"/>
      <c r="BYR125" s="50"/>
      <c r="BYS125" s="50"/>
      <c r="BYT125" s="41"/>
      <c r="BYU125" s="41"/>
      <c r="BYV125" s="49"/>
      <c r="BYW125" s="41"/>
      <c r="BYX125" s="41"/>
      <c r="BYZ125" s="40"/>
      <c r="BZA125" s="47"/>
      <c r="BZB125" s="48"/>
      <c r="BZC125" s="49"/>
      <c r="BZD125" s="50"/>
      <c r="BZE125" s="50"/>
      <c r="BZF125" s="41"/>
      <c r="BZG125" s="41"/>
      <c r="BZH125" s="49"/>
      <c r="BZI125" s="41"/>
      <c r="BZJ125" s="41"/>
      <c r="BZL125" s="40"/>
      <c r="BZM125" s="47"/>
      <c r="BZN125" s="48"/>
      <c r="BZO125" s="49"/>
      <c r="BZP125" s="50"/>
      <c r="BZQ125" s="50"/>
      <c r="BZR125" s="41"/>
      <c r="BZS125" s="41"/>
      <c r="BZT125" s="49"/>
      <c r="BZU125" s="41"/>
      <c r="BZV125" s="41"/>
      <c r="BZX125" s="40"/>
      <c r="BZY125" s="47"/>
      <c r="BZZ125" s="48"/>
      <c r="CAA125" s="49"/>
      <c r="CAB125" s="50"/>
      <c r="CAC125" s="50"/>
      <c r="CAD125" s="41"/>
      <c r="CAE125" s="41"/>
      <c r="CAF125" s="49"/>
      <c r="CAG125" s="41"/>
      <c r="CAH125" s="41"/>
      <c r="CAJ125" s="40"/>
      <c r="CAK125" s="47"/>
      <c r="CAL125" s="48"/>
      <c r="CAM125" s="49"/>
      <c r="CAN125" s="50"/>
      <c r="CAO125" s="50"/>
      <c r="CAP125" s="41"/>
      <c r="CAQ125" s="41"/>
      <c r="CAR125" s="49"/>
      <c r="CAS125" s="41"/>
      <c r="CAT125" s="41"/>
      <c r="CAV125" s="40"/>
      <c r="CAW125" s="47"/>
      <c r="CAX125" s="48"/>
      <c r="CAY125" s="49"/>
      <c r="CAZ125" s="50"/>
      <c r="CBA125" s="50"/>
      <c r="CBB125" s="41"/>
      <c r="CBC125" s="41"/>
      <c r="CBD125" s="49"/>
      <c r="CBE125" s="41"/>
      <c r="CBF125" s="41"/>
      <c r="CBH125" s="40"/>
      <c r="CBI125" s="47"/>
      <c r="CBJ125" s="48"/>
      <c r="CBK125" s="49"/>
      <c r="CBL125" s="50"/>
      <c r="CBM125" s="50"/>
      <c r="CBN125" s="41"/>
      <c r="CBO125" s="41"/>
      <c r="CBP125" s="49"/>
      <c r="CBQ125" s="41"/>
      <c r="CBR125" s="41"/>
      <c r="CBT125" s="40"/>
      <c r="CBU125" s="47"/>
      <c r="CBV125" s="48"/>
      <c r="CBW125" s="49"/>
      <c r="CBX125" s="50"/>
      <c r="CBY125" s="50"/>
      <c r="CBZ125" s="41"/>
      <c r="CCA125" s="41"/>
      <c r="CCB125" s="49"/>
      <c r="CCC125" s="41"/>
      <c r="CCD125" s="41"/>
      <c r="CCF125" s="40"/>
      <c r="CCG125" s="47"/>
      <c r="CCH125" s="48"/>
      <c r="CCI125" s="49"/>
      <c r="CCJ125" s="50"/>
      <c r="CCK125" s="50"/>
      <c r="CCL125" s="41"/>
      <c r="CCM125" s="41"/>
      <c r="CCN125" s="49"/>
      <c r="CCO125" s="41"/>
      <c r="CCP125" s="41"/>
      <c r="CCR125" s="40"/>
      <c r="CCS125" s="47"/>
      <c r="CCT125" s="48"/>
      <c r="CCU125" s="49"/>
      <c r="CCV125" s="50"/>
      <c r="CCW125" s="50"/>
      <c r="CCX125" s="41"/>
      <c r="CCY125" s="41"/>
      <c r="CCZ125" s="49"/>
      <c r="CDA125" s="41"/>
      <c r="CDB125" s="41"/>
      <c r="CDD125" s="40"/>
      <c r="CDE125" s="47"/>
      <c r="CDF125" s="48"/>
      <c r="CDG125" s="49"/>
      <c r="CDH125" s="50"/>
      <c r="CDI125" s="50"/>
      <c r="CDJ125" s="41"/>
      <c r="CDK125" s="41"/>
      <c r="CDL125" s="49"/>
      <c r="CDM125" s="41"/>
      <c r="CDN125" s="41"/>
      <c r="CDP125" s="40"/>
      <c r="CDQ125" s="47"/>
      <c r="CDR125" s="48"/>
      <c r="CDS125" s="49"/>
      <c r="CDT125" s="50"/>
      <c r="CDU125" s="50"/>
      <c r="CDV125" s="41"/>
      <c r="CDW125" s="41"/>
      <c r="CDX125" s="49"/>
      <c r="CDY125" s="41"/>
      <c r="CDZ125" s="41"/>
      <c r="CEB125" s="40"/>
      <c r="CEC125" s="47"/>
      <c r="CED125" s="48"/>
      <c r="CEE125" s="49"/>
      <c r="CEF125" s="50"/>
      <c r="CEG125" s="50"/>
      <c r="CEH125" s="41"/>
      <c r="CEI125" s="41"/>
      <c r="CEJ125" s="49"/>
      <c r="CEK125" s="41"/>
      <c r="CEL125" s="41"/>
      <c r="CEN125" s="40"/>
      <c r="CEO125" s="47"/>
      <c r="CEP125" s="48"/>
      <c r="CEQ125" s="49"/>
      <c r="CER125" s="50"/>
      <c r="CES125" s="50"/>
      <c r="CET125" s="41"/>
      <c r="CEU125" s="41"/>
      <c r="CEV125" s="49"/>
      <c r="CEW125" s="41"/>
      <c r="CEX125" s="41"/>
      <c r="CEZ125" s="40"/>
      <c r="CFA125" s="47"/>
      <c r="CFB125" s="48"/>
      <c r="CFC125" s="49"/>
      <c r="CFD125" s="50"/>
      <c r="CFE125" s="50"/>
      <c r="CFF125" s="41"/>
      <c r="CFG125" s="41"/>
      <c r="CFH125" s="49"/>
      <c r="CFI125" s="41"/>
      <c r="CFJ125" s="41"/>
      <c r="CFL125" s="40"/>
      <c r="CFM125" s="47"/>
      <c r="CFN125" s="48"/>
      <c r="CFO125" s="49"/>
      <c r="CFP125" s="50"/>
      <c r="CFQ125" s="50"/>
      <c r="CFR125" s="41"/>
      <c r="CFS125" s="41"/>
      <c r="CFT125" s="49"/>
      <c r="CFU125" s="41"/>
      <c r="CFV125" s="41"/>
      <c r="CFX125" s="40"/>
      <c r="CFY125" s="47"/>
      <c r="CFZ125" s="48"/>
      <c r="CGA125" s="49"/>
      <c r="CGB125" s="50"/>
      <c r="CGC125" s="50"/>
      <c r="CGD125" s="41"/>
      <c r="CGE125" s="41"/>
      <c r="CGF125" s="49"/>
      <c r="CGG125" s="41"/>
      <c r="CGH125" s="41"/>
      <c r="CGJ125" s="40"/>
      <c r="CGK125" s="47"/>
      <c r="CGL125" s="48"/>
      <c r="CGM125" s="49"/>
      <c r="CGN125" s="50"/>
      <c r="CGO125" s="50"/>
      <c r="CGP125" s="41"/>
      <c r="CGQ125" s="41"/>
      <c r="CGR125" s="49"/>
      <c r="CGS125" s="41"/>
      <c r="CGT125" s="41"/>
      <c r="CGV125" s="40"/>
      <c r="CGW125" s="47"/>
      <c r="CGX125" s="48"/>
      <c r="CGY125" s="49"/>
      <c r="CGZ125" s="50"/>
      <c r="CHA125" s="50"/>
      <c r="CHB125" s="41"/>
      <c r="CHC125" s="41"/>
      <c r="CHD125" s="49"/>
      <c r="CHE125" s="41"/>
      <c r="CHF125" s="41"/>
      <c r="CHH125" s="40"/>
      <c r="CHI125" s="47"/>
      <c r="CHJ125" s="48"/>
      <c r="CHK125" s="49"/>
      <c r="CHL125" s="50"/>
      <c r="CHM125" s="50"/>
      <c r="CHN125" s="41"/>
      <c r="CHO125" s="41"/>
      <c r="CHP125" s="49"/>
      <c r="CHQ125" s="41"/>
      <c r="CHR125" s="41"/>
      <c r="CHT125" s="40"/>
      <c r="CHU125" s="47"/>
      <c r="CHV125" s="48"/>
      <c r="CHW125" s="49"/>
      <c r="CHX125" s="50"/>
      <c r="CHY125" s="50"/>
      <c r="CHZ125" s="41"/>
      <c r="CIA125" s="41"/>
      <c r="CIB125" s="49"/>
      <c r="CIC125" s="41"/>
      <c r="CID125" s="41"/>
      <c r="CIF125" s="40"/>
      <c r="CIG125" s="47"/>
      <c r="CIH125" s="48"/>
      <c r="CII125" s="49"/>
      <c r="CIJ125" s="50"/>
      <c r="CIK125" s="50"/>
      <c r="CIL125" s="41"/>
      <c r="CIM125" s="41"/>
      <c r="CIN125" s="49"/>
      <c r="CIO125" s="41"/>
      <c r="CIP125" s="41"/>
      <c r="CIR125" s="40"/>
      <c r="CIS125" s="47"/>
      <c r="CIT125" s="48"/>
      <c r="CIU125" s="49"/>
      <c r="CIV125" s="50"/>
      <c r="CIW125" s="50"/>
      <c r="CIX125" s="41"/>
      <c r="CIY125" s="41"/>
      <c r="CIZ125" s="49"/>
      <c r="CJA125" s="41"/>
      <c r="CJB125" s="41"/>
      <c r="CJD125" s="40"/>
      <c r="CJE125" s="47"/>
      <c r="CJF125" s="48"/>
      <c r="CJG125" s="49"/>
      <c r="CJH125" s="50"/>
      <c r="CJI125" s="50"/>
      <c r="CJJ125" s="41"/>
      <c r="CJK125" s="41"/>
      <c r="CJL125" s="49"/>
      <c r="CJM125" s="41"/>
      <c r="CJN125" s="41"/>
      <c r="CJP125" s="40"/>
      <c r="CJQ125" s="47"/>
      <c r="CJR125" s="48"/>
      <c r="CJS125" s="49"/>
      <c r="CJT125" s="50"/>
      <c r="CJU125" s="50"/>
      <c r="CJV125" s="41"/>
      <c r="CJW125" s="41"/>
      <c r="CJX125" s="49"/>
      <c r="CJY125" s="41"/>
      <c r="CJZ125" s="41"/>
      <c r="CKB125" s="40"/>
      <c r="CKC125" s="47"/>
      <c r="CKD125" s="48"/>
      <c r="CKE125" s="49"/>
      <c r="CKF125" s="50"/>
      <c r="CKG125" s="50"/>
      <c r="CKH125" s="41"/>
      <c r="CKI125" s="41"/>
      <c r="CKJ125" s="49"/>
      <c r="CKK125" s="41"/>
      <c r="CKL125" s="41"/>
      <c r="CKN125" s="40"/>
      <c r="CKO125" s="47"/>
      <c r="CKP125" s="48"/>
      <c r="CKQ125" s="49"/>
      <c r="CKR125" s="50"/>
      <c r="CKS125" s="50"/>
      <c r="CKT125" s="41"/>
      <c r="CKU125" s="41"/>
      <c r="CKV125" s="49"/>
      <c r="CKW125" s="41"/>
      <c r="CKX125" s="41"/>
      <c r="CKZ125" s="40"/>
      <c r="CLA125" s="47"/>
      <c r="CLB125" s="48"/>
      <c r="CLC125" s="49"/>
      <c r="CLD125" s="50"/>
      <c r="CLE125" s="50"/>
      <c r="CLF125" s="41"/>
      <c r="CLG125" s="41"/>
      <c r="CLH125" s="49"/>
      <c r="CLI125" s="41"/>
      <c r="CLJ125" s="41"/>
      <c r="CLL125" s="40"/>
      <c r="CLM125" s="47"/>
      <c r="CLN125" s="48"/>
      <c r="CLO125" s="49"/>
      <c r="CLP125" s="50"/>
      <c r="CLQ125" s="50"/>
      <c r="CLR125" s="41"/>
      <c r="CLS125" s="41"/>
      <c r="CLT125" s="49"/>
      <c r="CLU125" s="41"/>
      <c r="CLV125" s="41"/>
      <c r="CLX125" s="40"/>
      <c r="CLY125" s="47"/>
      <c r="CLZ125" s="48"/>
      <c r="CMA125" s="49"/>
      <c r="CMB125" s="50"/>
      <c r="CMC125" s="50"/>
      <c r="CMD125" s="41"/>
      <c r="CME125" s="41"/>
      <c r="CMF125" s="49"/>
      <c r="CMG125" s="41"/>
      <c r="CMH125" s="41"/>
      <c r="CMJ125" s="40"/>
      <c r="CMK125" s="47"/>
      <c r="CML125" s="48"/>
      <c r="CMM125" s="49"/>
      <c r="CMN125" s="50"/>
      <c r="CMO125" s="50"/>
      <c r="CMP125" s="41"/>
      <c r="CMQ125" s="41"/>
      <c r="CMR125" s="49"/>
      <c r="CMS125" s="41"/>
      <c r="CMT125" s="41"/>
      <c r="CMV125" s="40"/>
      <c r="CMW125" s="47"/>
      <c r="CMX125" s="48"/>
      <c r="CMY125" s="49"/>
      <c r="CMZ125" s="50"/>
      <c r="CNA125" s="50"/>
      <c r="CNB125" s="41"/>
      <c r="CNC125" s="41"/>
      <c r="CND125" s="49"/>
      <c r="CNE125" s="41"/>
      <c r="CNF125" s="41"/>
      <c r="CNH125" s="40"/>
      <c r="CNI125" s="47"/>
      <c r="CNJ125" s="48"/>
      <c r="CNK125" s="49"/>
      <c r="CNL125" s="50"/>
      <c r="CNM125" s="50"/>
      <c r="CNN125" s="41"/>
      <c r="CNO125" s="41"/>
      <c r="CNP125" s="49"/>
      <c r="CNQ125" s="41"/>
      <c r="CNR125" s="41"/>
      <c r="CNT125" s="40"/>
      <c r="CNU125" s="47"/>
      <c r="CNV125" s="48"/>
      <c r="CNW125" s="49"/>
      <c r="CNX125" s="50"/>
      <c r="CNY125" s="50"/>
      <c r="CNZ125" s="41"/>
      <c r="COA125" s="41"/>
      <c r="COB125" s="49"/>
      <c r="COC125" s="41"/>
      <c r="COD125" s="41"/>
      <c r="COF125" s="40"/>
      <c r="COG125" s="47"/>
      <c r="COH125" s="48"/>
      <c r="COI125" s="49"/>
      <c r="COJ125" s="50"/>
      <c r="COK125" s="50"/>
      <c r="COL125" s="41"/>
      <c r="COM125" s="41"/>
      <c r="CON125" s="49"/>
      <c r="COO125" s="41"/>
      <c r="COP125" s="41"/>
      <c r="COR125" s="40"/>
      <c r="COS125" s="47"/>
      <c r="COT125" s="48"/>
      <c r="COU125" s="49"/>
      <c r="COV125" s="50"/>
      <c r="COW125" s="50"/>
      <c r="COX125" s="41"/>
      <c r="COY125" s="41"/>
      <c r="COZ125" s="49"/>
      <c r="CPA125" s="41"/>
      <c r="CPB125" s="41"/>
      <c r="CPD125" s="40"/>
      <c r="CPE125" s="47"/>
      <c r="CPF125" s="48"/>
      <c r="CPG125" s="49"/>
      <c r="CPH125" s="50"/>
      <c r="CPI125" s="50"/>
      <c r="CPJ125" s="41"/>
      <c r="CPK125" s="41"/>
      <c r="CPL125" s="49"/>
      <c r="CPM125" s="41"/>
      <c r="CPN125" s="41"/>
      <c r="CPP125" s="40"/>
      <c r="CPQ125" s="47"/>
      <c r="CPR125" s="48"/>
      <c r="CPS125" s="49"/>
      <c r="CPT125" s="50"/>
      <c r="CPU125" s="50"/>
      <c r="CPV125" s="41"/>
      <c r="CPW125" s="41"/>
      <c r="CPX125" s="49"/>
      <c r="CPY125" s="41"/>
      <c r="CPZ125" s="41"/>
      <c r="CQB125" s="40"/>
      <c r="CQC125" s="47"/>
      <c r="CQD125" s="48"/>
      <c r="CQE125" s="49"/>
      <c r="CQF125" s="50"/>
      <c r="CQG125" s="50"/>
      <c r="CQH125" s="41"/>
      <c r="CQI125" s="41"/>
      <c r="CQJ125" s="49"/>
      <c r="CQK125" s="41"/>
      <c r="CQL125" s="41"/>
      <c r="CQN125" s="40"/>
      <c r="CQO125" s="47"/>
      <c r="CQP125" s="48"/>
      <c r="CQQ125" s="49"/>
      <c r="CQR125" s="50"/>
      <c r="CQS125" s="50"/>
      <c r="CQT125" s="41"/>
      <c r="CQU125" s="41"/>
      <c r="CQV125" s="49"/>
      <c r="CQW125" s="41"/>
      <c r="CQX125" s="41"/>
      <c r="CQZ125" s="40"/>
      <c r="CRA125" s="47"/>
      <c r="CRB125" s="48"/>
      <c r="CRC125" s="49"/>
      <c r="CRD125" s="50"/>
      <c r="CRE125" s="50"/>
      <c r="CRF125" s="41"/>
      <c r="CRG125" s="41"/>
      <c r="CRH125" s="49"/>
      <c r="CRI125" s="41"/>
      <c r="CRJ125" s="41"/>
      <c r="CRL125" s="40"/>
      <c r="CRM125" s="47"/>
      <c r="CRN125" s="48"/>
      <c r="CRO125" s="49"/>
      <c r="CRP125" s="50"/>
      <c r="CRQ125" s="50"/>
      <c r="CRR125" s="41"/>
      <c r="CRS125" s="41"/>
      <c r="CRT125" s="49"/>
      <c r="CRU125" s="41"/>
      <c r="CRV125" s="41"/>
      <c r="CRX125" s="40"/>
      <c r="CRY125" s="47"/>
      <c r="CRZ125" s="48"/>
      <c r="CSA125" s="49"/>
      <c r="CSB125" s="50"/>
      <c r="CSC125" s="50"/>
      <c r="CSD125" s="41"/>
      <c r="CSE125" s="41"/>
      <c r="CSF125" s="49"/>
      <c r="CSG125" s="41"/>
      <c r="CSH125" s="41"/>
      <c r="CSJ125" s="40"/>
      <c r="CSK125" s="47"/>
      <c r="CSL125" s="48"/>
      <c r="CSM125" s="49"/>
      <c r="CSN125" s="50"/>
      <c r="CSO125" s="50"/>
      <c r="CSP125" s="41"/>
      <c r="CSQ125" s="41"/>
      <c r="CSR125" s="49"/>
      <c r="CSS125" s="41"/>
      <c r="CST125" s="41"/>
      <c r="CSV125" s="40"/>
      <c r="CSW125" s="47"/>
      <c r="CSX125" s="48"/>
      <c r="CSY125" s="49"/>
      <c r="CSZ125" s="50"/>
      <c r="CTA125" s="50"/>
      <c r="CTB125" s="41"/>
      <c r="CTC125" s="41"/>
      <c r="CTD125" s="49"/>
      <c r="CTE125" s="41"/>
      <c r="CTF125" s="41"/>
      <c r="CTH125" s="40"/>
      <c r="CTI125" s="47"/>
      <c r="CTJ125" s="48"/>
      <c r="CTK125" s="49"/>
      <c r="CTL125" s="50"/>
      <c r="CTM125" s="50"/>
      <c r="CTN125" s="41"/>
      <c r="CTO125" s="41"/>
      <c r="CTP125" s="49"/>
      <c r="CTQ125" s="41"/>
      <c r="CTR125" s="41"/>
      <c r="CTT125" s="40"/>
      <c r="CTU125" s="47"/>
      <c r="CTV125" s="48"/>
      <c r="CTW125" s="49"/>
      <c r="CTX125" s="50"/>
      <c r="CTY125" s="50"/>
      <c r="CTZ125" s="41"/>
      <c r="CUA125" s="41"/>
      <c r="CUB125" s="49"/>
      <c r="CUC125" s="41"/>
      <c r="CUD125" s="41"/>
      <c r="CUF125" s="40"/>
      <c r="CUG125" s="47"/>
      <c r="CUH125" s="48"/>
      <c r="CUI125" s="49"/>
      <c r="CUJ125" s="50"/>
      <c r="CUK125" s="50"/>
      <c r="CUL125" s="41"/>
      <c r="CUM125" s="41"/>
      <c r="CUN125" s="49"/>
      <c r="CUO125" s="41"/>
      <c r="CUP125" s="41"/>
      <c r="CUR125" s="40"/>
      <c r="CUS125" s="47"/>
      <c r="CUT125" s="48"/>
      <c r="CUU125" s="49"/>
      <c r="CUV125" s="50"/>
      <c r="CUW125" s="50"/>
      <c r="CUX125" s="41"/>
      <c r="CUY125" s="41"/>
      <c r="CUZ125" s="49"/>
      <c r="CVA125" s="41"/>
      <c r="CVB125" s="41"/>
      <c r="CVD125" s="40"/>
      <c r="CVE125" s="47"/>
      <c r="CVF125" s="48"/>
      <c r="CVG125" s="49"/>
      <c r="CVH125" s="50"/>
      <c r="CVI125" s="50"/>
      <c r="CVJ125" s="41"/>
      <c r="CVK125" s="41"/>
      <c r="CVL125" s="49"/>
      <c r="CVM125" s="41"/>
      <c r="CVN125" s="41"/>
      <c r="CVP125" s="40"/>
      <c r="CVQ125" s="47"/>
      <c r="CVR125" s="48"/>
      <c r="CVS125" s="49"/>
      <c r="CVT125" s="50"/>
      <c r="CVU125" s="50"/>
      <c r="CVV125" s="41"/>
      <c r="CVW125" s="41"/>
      <c r="CVX125" s="49"/>
      <c r="CVY125" s="41"/>
      <c r="CVZ125" s="41"/>
      <c r="CWB125" s="40"/>
      <c r="CWC125" s="47"/>
      <c r="CWD125" s="48"/>
      <c r="CWE125" s="49"/>
      <c r="CWF125" s="50"/>
      <c r="CWG125" s="50"/>
      <c r="CWH125" s="41"/>
      <c r="CWI125" s="41"/>
      <c r="CWJ125" s="49"/>
      <c r="CWK125" s="41"/>
      <c r="CWL125" s="41"/>
      <c r="CWN125" s="40"/>
      <c r="CWO125" s="47"/>
      <c r="CWP125" s="48"/>
      <c r="CWQ125" s="49"/>
      <c r="CWR125" s="50"/>
      <c r="CWS125" s="50"/>
      <c r="CWT125" s="41"/>
      <c r="CWU125" s="41"/>
      <c r="CWV125" s="49"/>
      <c r="CWW125" s="41"/>
      <c r="CWX125" s="41"/>
      <c r="CWZ125" s="40"/>
      <c r="CXA125" s="47"/>
      <c r="CXB125" s="48"/>
      <c r="CXC125" s="49"/>
      <c r="CXD125" s="50"/>
      <c r="CXE125" s="50"/>
      <c r="CXF125" s="41"/>
      <c r="CXG125" s="41"/>
      <c r="CXH125" s="49"/>
      <c r="CXI125" s="41"/>
      <c r="CXJ125" s="41"/>
      <c r="CXL125" s="40"/>
      <c r="CXM125" s="47"/>
      <c r="CXN125" s="48"/>
      <c r="CXO125" s="49"/>
      <c r="CXP125" s="50"/>
      <c r="CXQ125" s="50"/>
      <c r="CXR125" s="41"/>
      <c r="CXS125" s="41"/>
      <c r="CXT125" s="49"/>
      <c r="CXU125" s="41"/>
      <c r="CXV125" s="41"/>
      <c r="CXX125" s="40"/>
      <c r="CXY125" s="47"/>
      <c r="CXZ125" s="48"/>
      <c r="CYA125" s="49"/>
      <c r="CYB125" s="50"/>
      <c r="CYC125" s="50"/>
      <c r="CYD125" s="41"/>
      <c r="CYE125" s="41"/>
      <c r="CYF125" s="49"/>
      <c r="CYG125" s="41"/>
      <c r="CYH125" s="41"/>
      <c r="CYJ125" s="40"/>
      <c r="CYK125" s="47"/>
      <c r="CYL125" s="48"/>
      <c r="CYM125" s="49"/>
      <c r="CYN125" s="50"/>
      <c r="CYO125" s="50"/>
      <c r="CYP125" s="41"/>
      <c r="CYQ125" s="41"/>
      <c r="CYR125" s="49"/>
      <c r="CYS125" s="41"/>
      <c r="CYT125" s="41"/>
      <c r="CYV125" s="40"/>
      <c r="CYW125" s="47"/>
      <c r="CYX125" s="48"/>
      <c r="CYY125" s="49"/>
      <c r="CYZ125" s="50"/>
      <c r="CZA125" s="50"/>
      <c r="CZB125" s="41"/>
      <c r="CZC125" s="41"/>
      <c r="CZD125" s="49"/>
      <c r="CZE125" s="41"/>
      <c r="CZF125" s="41"/>
      <c r="CZH125" s="40"/>
      <c r="CZI125" s="47"/>
      <c r="CZJ125" s="48"/>
      <c r="CZK125" s="49"/>
      <c r="CZL125" s="50"/>
      <c r="CZM125" s="50"/>
      <c r="CZN125" s="41"/>
      <c r="CZO125" s="41"/>
      <c r="CZP125" s="49"/>
      <c r="CZQ125" s="41"/>
      <c r="CZR125" s="41"/>
      <c r="CZT125" s="40"/>
      <c r="CZU125" s="47"/>
      <c r="CZV125" s="48"/>
      <c r="CZW125" s="49"/>
      <c r="CZX125" s="50"/>
      <c r="CZY125" s="50"/>
      <c r="CZZ125" s="41"/>
      <c r="DAA125" s="41"/>
      <c r="DAB125" s="49"/>
      <c r="DAC125" s="41"/>
      <c r="DAD125" s="41"/>
      <c r="DAF125" s="40"/>
      <c r="DAG125" s="47"/>
      <c r="DAH125" s="48"/>
      <c r="DAI125" s="49"/>
      <c r="DAJ125" s="50"/>
      <c r="DAK125" s="50"/>
      <c r="DAL125" s="41"/>
      <c r="DAM125" s="41"/>
      <c r="DAN125" s="49"/>
      <c r="DAO125" s="41"/>
      <c r="DAP125" s="41"/>
      <c r="DAR125" s="40"/>
      <c r="DAS125" s="47"/>
      <c r="DAT125" s="48"/>
      <c r="DAU125" s="49"/>
      <c r="DAV125" s="50"/>
      <c r="DAW125" s="50"/>
      <c r="DAX125" s="41"/>
      <c r="DAY125" s="41"/>
      <c r="DAZ125" s="49"/>
      <c r="DBA125" s="41"/>
      <c r="DBB125" s="41"/>
      <c r="DBD125" s="40"/>
      <c r="DBE125" s="47"/>
      <c r="DBF125" s="48"/>
      <c r="DBG125" s="49"/>
      <c r="DBH125" s="50"/>
      <c r="DBI125" s="50"/>
      <c r="DBJ125" s="41"/>
      <c r="DBK125" s="41"/>
      <c r="DBL125" s="49"/>
      <c r="DBM125" s="41"/>
      <c r="DBN125" s="41"/>
      <c r="DBP125" s="40"/>
      <c r="DBQ125" s="47"/>
      <c r="DBR125" s="48"/>
      <c r="DBS125" s="49"/>
      <c r="DBT125" s="50"/>
      <c r="DBU125" s="50"/>
      <c r="DBV125" s="41"/>
      <c r="DBW125" s="41"/>
      <c r="DBX125" s="49"/>
      <c r="DBY125" s="41"/>
      <c r="DBZ125" s="41"/>
      <c r="DCB125" s="40"/>
      <c r="DCC125" s="47"/>
      <c r="DCD125" s="48"/>
      <c r="DCE125" s="49"/>
      <c r="DCF125" s="50"/>
      <c r="DCG125" s="50"/>
      <c r="DCH125" s="41"/>
      <c r="DCI125" s="41"/>
      <c r="DCJ125" s="49"/>
      <c r="DCK125" s="41"/>
      <c r="DCL125" s="41"/>
      <c r="DCN125" s="40"/>
      <c r="DCO125" s="47"/>
      <c r="DCP125" s="48"/>
      <c r="DCQ125" s="49"/>
      <c r="DCR125" s="50"/>
      <c r="DCS125" s="50"/>
      <c r="DCT125" s="41"/>
      <c r="DCU125" s="41"/>
      <c r="DCV125" s="49"/>
      <c r="DCW125" s="41"/>
      <c r="DCX125" s="41"/>
      <c r="DCZ125" s="40"/>
      <c r="DDA125" s="47"/>
      <c r="DDB125" s="48"/>
      <c r="DDC125" s="49"/>
      <c r="DDD125" s="50"/>
      <c r="DDE125" s="50"/>
      <c r="DDF125" s="41"/>
      <c r="DDG125" s="41"/>
      <c r="DDH125" s="49"/>
      <c r="DDI125" s="41"/>
      <c r="DDJ125" s="41"/>
      <c r="DDL125" s="40"/>
      <c r="DDM125" s="47"/>
      <c r="DDN125" s="48"/>
      <c r="DDO125" s="49"/>
      <c r="DDP125" s="50"/>
      <c r="DDQ125" s="50"/>
      <c r="DDR125" s="41"/>
      <c r="DDS125" s="41"/>
      <c r="DDT125" s="49"/>
      <c r="DDU125" s="41"/>
      <c r="DDV125" s="41"/>
      <c r="DDX125" s="40"/>
      <c r="DDY125" s="47"/>
      <c r="DDZ125" s="48"/>
      <c r="DEA125" s="49"/>
      <c r="DEB125" s="50"/>
      <c r="DEC125" s="50"/>
      <c r="DED125" s="41"/>
      <c r="DEE125" s="41"/>
      <c r="DEF125" s="49"/>
      <c r="DEG125" s="41"/>
      <c r="DEH125" s="41"/>
      <c r="DEJ125" s="40"/>
      <c r="DEK125" s="47"/>
      <c r="DEL125" s="48"/>
      <c r="DEM125" s="49"/>
      <c r="DEN125" s="50"/>
      <c r="DEO125" s="50"/>
      <c r="DEP125" s="41"/>
      <c r="DEQ125" s="41"/>
      <c r="DER125" s="49"/>
      <c r="DES125" s="41"/>
      <c r="DET125" s="41"/>
      <c r="DEV125" s="40"/>
      <c r="DEW125" s="47"/>
      <c r="DEX125" s="48"/>
      <c r="DEY125" s="49"/>
      <c r="DEZ125" s="50"/>
      <c r="DFA125" s="50"/>
      <c r="DFB125" s="41"/>
      <c r="DFC125" s="41"/>
      <c r="DFD125" s="49"/>
      <c r="DFE125" s="41"/>
      <c r="DFF125" s="41"/>
      <c r="DFH125" s="40"/>
      <c r="DFI125" s="47"/>
      <c r="DFJ125" s="48"/>
      <c r="DFK125" s="49"/>
      <c r="DFL125" s="50"/>
      <c r="DFM125" s="50"/>
      <c r="DFN125" s="41"/>
      <c r="DFO125" s="41"/>
      <c r="DFP125" s="49"/>
      <c r="DFQ125" s="41"/>
      <c r="DFR125" s="41"/>
      <c r="DFT125" s="40"/>
      <c r="DFU125" s="47"/>
      <c r="DFV125" s="48"/>
      <c r="DFW125" s="49"/>
      <c r="DFX125" s="50"/>
      <c r="DFY125" s="50"/>
      <c r="DFZ125" s="41"/>
      <c r="DGA125" s="41"/>
      <c r="DGB125" s="49"/>
      <c r="DGC125" s="41"/>
      <c r="DGD125" s="41"/>
      <c r="DGF125" s="40"/>
      <c r="DGG125" s="47"/>
      <c r="DGH125" s="48"/>
      <c r="DGI125" s="49"/>
      <c r="DGJ125" s="50"/>
      <c r="DGK125" s="50"/>
      <c r="DGL125" s="41"/>
      <c r="DGM125" s="41"/>
      <c r="DGN125" s="49"/>
      <c r="DGO125" s="41"/>
      <c r="DGP125" s="41"/>
      <c r="DGR125" s="40"/>
      <c r="DGS125" s="47"/>
      <c r="DGT125" s="48"/>
      <c r="DGU125" s="49"/>
      <c r="DGV125" s="50"/>
      <c r="DGW125" s="50"/>
      <c r="DGX125" s="41"/>
      <c r="DGY125" s="41"/>
      <c r="DGZ125" s="49"/>
      <c r="DHA125" s="41"/>
      <c r="DHB125" s="41"/>
      <c r="DHD125" s="40"/>
      <c r="DHE125" s="47"/>
      <c r="DHF125" s="48"/>
      <c r="DHG125" s="49"/>
      <c r="DHH125" s="50"/>
      <c r="DHI125" s="50"/>
      <c r="DHJ125" s="41"/>
      <c r="DHK125" s="41"/>
      <c r="DHL125" s="49"/>
      <c r="DHM125" s="41"/>
      <c r="DHN125" s="41"/>
      <c r="DHP125" s="40"/>
      <c r="DHQ125" s="47"/>
      <c r="DHR125" s="48"/>
      <c r="DHS125" s="49"/>
      <c r="DHT125" s="50"/>
      <c r="DHU125" s="50"/>
      <c r="DHV125" s="41"/>
      <c r="DHW125" s="41"/>
      <c r="DHX125" s="49"/>
      <c r="DHY125" s="41"/>
      <c r="DHZ125" s="41"/>
      <c r="DIB125" s="40"/>
      <c r="DIC125" s="47"/>
      <c r="DID125" s="48"/>
      <c r="DIE125" s="49"/>
      <c r="DIF125" s="50"/>
      <c r="DIG125" s="50"/>
      <c r="DIH125" s="41"/>
      <c r="DII125" s="41"/>
      <c r="DIJ125" s="49"/>
      <c r="DIK125" s="41"/>
      <c r="DIL125" s="41"/>
      <c r="DIN125" s="40"/>
      <c r="DIO125" s="47"/>
      <c r="DIP125" s="48"/>
      <c r="DIQ125" s="49"/>
      <c r="DIR125" s="50"/>
      <c r="DIS125" s="50"/>
      <c r="DIT125" s="41"/>
      <c r="DIU125" s="41"/>
      <c r="DIV125" s="49"/>
      <c r="DIW125" s="41"/>
      <c r="DIX125" s="41"/>
      <c r="DIZ125" s="40"/>
      <c r="DJA125" s="47"/>
      <c r="DJB125" s="48"/>
      <c r="DJC125" s="49"/>
      <c r="DJD125" s="50"/>
      <c r="DJE125" s="50"/>
      <c r="DJF125" s="41"/>
      <c r="DJG125" s="41"/>
      <c r="DJH125" s="49"/>
      <c r="DJI125" s="41"/>
      <c r="DJJ125" s="41"/>
      <c r="DJL125" s="40"/>
      <c r="DJM125" s="47"/>
      <c r="DJN125" s="48"/>
      <c r="DJO125" s="49"/>
      <c r="DJP125" s="50"/>
      <c r="DJQ125" s="50"/>
      <c r="DJR125" s="41"/>
      <c r="DJS125" s="41"/>
      <c r="DJT125" s="49"/>
      <c r="DJU125" s="41"/>
      <c r="DJV125" s="41"/>
      <c r="DJX125" s="40"/>
      <c r="DJY125" s="47"/>
      <c r="DJZ125" s="48"/>
      <c r="DKA125" s="49"/>
      <c r="DKB125" s="50"/>
      <c r="DKC125" s="50"/>
      <c r="DKD125" s="41"/>
      <c r="DKE125" s="41"/>
      <c r="DKF125" s="49"/>
      <c r="DKG125" s="41"/>
      <c r="DKH125" s="41"/>
      <c r="DKJ125" s="40"/>
      <c r="DKK125" s="47"/>
      <c r="DKL125" s="48"/>
      <c r="DKM125" s="49"/>
      <c r="DKN125" s="50"/>
      <c r="DKO125" s="50"/>
      <c r="DKP125" s="41"/>
      <c r="DKQ125" s="41"/>
      <c r="DKR125" s="49"/>
      <c r="DKS125" s="41"/>
      <c r="DKT125" s="41"/>
      <c r="DKV125" s="40"/>
      <c r="DKW125" s="47"/>
      <c r="DKX125" s="48"/>
      <c r="DKY125" s="49"/>
      <c r="DKZ125" s="50"/>
      <c r="DLA125" s="50"/>
      <c r="DLB125" s="41"/>
      <c r="DLC125" s="41"/>
      <c r="DLD125" s="49"/>
      <c r="DLE125" s="41"/>
      <c r="DLF125" s="41"/>
      <c r="DLH125" s="40"/>
      <c r="DLI125" s="47"/>
      <c r="DLJ125" s="48"/>
      <c r="DLK125" s="49"/>
      <c r="DLL125" s="50"/>
      <c r="DLM125" s="50"/>
      <c r="DLN125" s="41"/>
      <c r="DLO125" s="41"/>
      <c r="DLP125" s="49"/>
      <c r="DLQ125" s="41"/>
      <c r="DLR125" s="41"/>
      <c r="DLT125" s="40"/>
      <c r="DLU125" s="47"/>
      <c r="DLV125" s="48"/>
      <c r="DLW125" s="49"/>
      <c r="DLX125" s="50"/>
      <c r="DLY125" s="50"/>
      <c r="DLZ125" s="41"/>
      <c r="DMA125" s="41"/>
      <c r="DMB125" s="49"/>
      <c r="DMC125" s="41"/>
      <c r="DMD125" s="41"/>
      <c r="DMF125" s="40"/>
      <c r="DMG125" s="47"/>
      <c r="DMH125" s="48"/>
      <c r="DMI125" s="49"/>
      <c r="DMJ125" s="50"/>
      <c r="DMK125" s="50"/>
      <c r="DML125" s="41"/>
      <c r="DMM125" s="41"/>
      <c r="DMN125" s="49"/>
      <c r="DMO125" s="41"/>
      <c r="DMP125" s="41"/>
      <c r="DMR125" s="40"/>
      <c r="DMS125" s="47"/>
      <c r="DMT125" s="48"/>
      <c r="DMU125" s="49"/>
      <c r="DMV125" s="50"/>
      <c r="DMW125" s="50"/>
      <c r="DMX125" s="41"/>
      <c r="DMY125" s="41"/>
      <c r="DMZ125" s="49"/>
      <c r="DNA125" s="41"/>
      <c r="DNB125" s="41"/>
      <c r="DND125" s="40"/>
      <c r="DNE125" s="47"/>
      <c r="DNF125" s="48"/>
      <c r="DNG125" s="49"/>
      <c r="DNH125" s="50"/>
      <c r="DNI125" s="50"/>
      <c r="DNJ125" s="41"/>
      <c r="DNK125" s="41"/>
      <c r="DNL125" s="49"/>
      <c r="DNM125" s="41"/>
      <c r="DNN125" s="41"/>
      <c r="DNP125" s="40"/>
      <c r="DNQ125" s="47"/>
      <c r="DNR125" s="48"/>
      <c r="DNS125" s="49"/>
      <c r="DNT125" s="50"/>
      <c r="DNU125" s="50"/>
      <c r="DNV125" s="41"/>
      <c r="DNW125" s="41"/>
      <c r="DNX125" s="49"/>
      <c r="DNY125" s="41"/>
      <c r="DNZ125" s="41"/>
      <c r="DOB125" s="40"/>
      <c r="DOC125" s="47"/>
      <c r="DOD125" s="48"/>
      <c r="DOE125" s="49"/>
      <c r="DOF125" s="50"/>
      <c r="DOG125" s="50"/>
      <c r="DOH125" s="41"/>
      <c r="DOI125" s="41"/>
      <c r="DOJ125" s="49"/>
      <c r="DOK125" s="41"/>
      <c r="DOL125" s="41"/>
      <c r="DON125" s="40"/>
      <c r="DOO125" s="47"/>
      <c r="DOP125" s="48"/>
      <c r="DOQ125" s="49"/>
      <c r="DOR125" s="50"/>
      <c r="DOS125" s="50"/>
      <c r="DOT125" s="41"/>
      <c r="DOU125" s="41"/>
      <c r="DOV125" s="49"/>
      <c r="DOW125" s="41"/>
      <c r="DOX125" s="41"/>
      <c r="DOZ125" s="40"/>
      <c r="DPA125" s="47"/>
      <c r="DPB125" s="48"/>
      <c r="DPC125" s="49"/>
      <c r="DPD125" s="50"/>
      <c r="DPE125" s="50"/>
      <c r="DPF125" s="41"/>
      <c r="DPG125" s="41"/>
      <c r="DPH125" s="49"/>
      <c r="DPI125" s="41"/>
      <c r="DPJ125" s="41"/>
      <c r="DPL125" s="40"/>
      <c r="DPM125" s="47"/>
      <c r="DPN125" s="48"/>
      <c r="DPO125" s="49"/>
      <c r="DPP125" s="50"/>
      <c r="DPQ125" s="50"/>
      <c r="DPR125" s="41"/>
      <c r="DPS125" s="41"/>
      <c r="DPT125" s="49"/>
      <c r="DPU125" s="41"/>
      <c r="DPV125" s="41"/>
      <c r="DPX125" s="40"/>
      <c r="DPY125" s="47"/>
      <c r="DPZ125" s="48"/>
      <c r="DQA125" s="49"/>
      <c r="DQB125" s="50"/>
      <c r="DQC125" s="50"/>
      <c r="DQD125" s="41"/>
      <c r="DQE125" s="41"/>
      <c r="DQF125" s="49"/>
      <c r="DQG125" s="41"/>
      <c r="DQH125" s="41"/>
      <c r="DQJ125" s="40"/>
      <c r="DQK125" s="47"/>
      <c r="DQL125" s="48"/>
      <c r="DQM125" s="49"/>
      <c r="DQN125" s="50"/>
      <c r="DQO125" s="50"/>
      <c r="DQP125" s="41"/>
      <c r="DQQ125" s="41"/>
      <c r="DQR125" s="49"/>
      <c r="DQS125" s="41"/>
      <c r="DQT125" s="41"/>
      <c r="DQV125" s="40"/>
      <c r="DQW125" s="47"/>
      <c r="DQX125" s="48"/>
      <c r="DQY125" s="49"/>
      <c r="DQZ125" s="50"/>
      <c r="DRA125" s="50"/>
      <c r="DRB125" s="41"/>
      <c r="DRC125" s="41"/>
      <c r="DRD125" s="49"/>
      <c r="DRE125" s="41"/>
      <c r="DRF125" s="41"/>
      <c r="DRH125" s="40"/>
      <c r="DRI125" s="47"/>
      <c r="DRJ125" s="48"/>
      <c r="DRK125" s="49"/>
      <c r="DRL125" s="50"/>
      <c r="DRM125" s="50"/>
      <c r="DRN125" s="41"/>
      <c r="DRO125" s="41"/>
      <c r="DRP125" s="49"/>
      <c r="DRQ125" s="41"/>
      <c r="DRR125" s="41"/>
      <c r="DRT125" s="40"/>
      <c r="DRU125" s="47"/>
      <c r="DRV125" s="48"/>
      <c r="DRW125" s="49"/>
      <c r="DRX125" s="50"/>
      <c r="DRY125" s="50"/>
      <c r="DRZ125" s="41"/>
      <c r="DSA125" s="41"/>
      <c r="DSB125" s="49"/>
      <c r="DSC125" s="41"/>
      <c r="DSD125" s="41"/>
      <c r="DSF125" s="40"/>
      <c r="DSG125" s="47"/>
      <c r="DSH125" s="48"/>
      <c r="DSI125" s="49"/>
      <c r="DSJ125" s="50"/>
      <c r="DSK125" s="50"/>
      <c r="DSL125" s="41"/>
      <c r="DSM125" s="41"/>
      <c r="DSN125" s="49"/>
      <c r="DSO125" s="41"/>
      <c r="DSP125" s="41"/>
      <c r="DSR125" s="40"/>
      <c r="DSS125" s="47"/>
      <c r="DST125" s="48"/>
      <c r="DSU125" s="49"/>
      <c r="DSV125" s="50"/>
      <c r="DSW125" s="50"/>
      <c r="DSX125" s="41"/>
      <c r="DSY125" s="41"/>
      <c r="DSZ125" s="49"/>
      <c r="DTA125" s="41"/>
      <c r="DTB125" s="41"/>
      <c r="DTD125" s="40"/>
      <c r="DTE125" s="47"/>
      <c r="DTF125" s="48"/>
      <c r="DTG125" s="49"/>
      <c r="DTH125" s="50"/>
      <c r="DTI125" s="50"/>
      <c r="DTJ125" s="41"/>
      <c r="DTK125" s="41"/>
      <c r="DTL125" s="49"/>
      <c r="DTM125" s="41"/>
      <c r="DTN125" s="41"/>
      <c r="DTP125" s="40"/>
      <c r="DTQ125" s="47"/>
      <c r="DTR125" s="48"/>
      <c r="DTS125" s="49"/>
      <c r="DTT125" s="50"/>
      <c r="DTU125" s="50"/>
      <c r="DTV125" s="41"/>
      <c r="DTW125" s="41"/>
      <c r="DTX125" s="49"/>
      <c r="DTY125" s="41"/>
      <c r="DTZ125" s="41"/>
      <c r="DUB125" s="40"/>
      <c r="DUC125" s="47"/>
      <c r="DUD125" s="48"/>
      <c r="DUE125" s="49"/>
      <c r="DUF125" s="50"/>
      <c r="DUG125" s="50"/>
      <c r="DUH125" s="41"/>
      <c r="DUI125" s="41"/>
      <c r="DUJ125" s="49"/>
      <c r="DUK125" s="41"/>
      <c r="DUL125" s="41"/>
      <c r="DUN125" s="40"/>
      <c r="DUO125" s="47"/>
      <c r="DUP125" s="48"/>
      <c r="DUQ125" s="49"/>
      <c r="DUR125" s="50"/>
      <c r="DUS125" s="50"/>
      <c r="DUT125" s="41"/>
      <c r="DUU125" s="41"/>
      <c r="DUV125" s="49"/>
      <c r="DUW125" s="41"/>
      <c r="DUX125" s="41"/>
      <c r="DUZ125" s="40"/>
      <c r="DVA125" s="47"/>
      <c r="DVB125" s="48"/>
      <c r="DVC125" s="49"/>
      <c r="DVD125" s="50"/>
      <c r="DVE125" s="50"/>
      <c r="DVF125" s="41"/>
      <c r="DVG125" s="41"/>
      <c r="DVH125" s="49"/>
      <c r="DVI125" s="41"/>
      <c r="DVJ125" s="41"/>
      <c r="DVL125" s="40"/>
      <c r="DVM125" s="47"/>
      <c r="DVN125" s="48"/>
      <c r="DVO125" s="49"/>
      <c r="DVP125" s="50"/>
      <c r="DVQ125" s="50"/>
      <c r="DVR125" s="41"/>
      <c r="DVS125" s="41"/>
      <c r="DVT125" s="49"/>
      <c r="DVU125" s="41"/>
      <c r="DVV125" s="41"/>
      <c r="DVX125" s="40"/>
      <c r="DVY125" s="47"/>
      <c r="DVZ125" s="48"/>
      <c r="DWA125" s="49"/>
      <c r="DWB125" s="50"/>
      <c r="DWC125" s="50"/>
      <c r="DWD125" s="41"/>
      <c r="DWE125" s="41"/>
      <c r="DWF125" s="49"/>
      <c r="DWG125" s="41"/>
      <c r="DWH125" s="41"/>
      <c r="DWJ125" s="40"/>
      <c r="DWK125" s="47"/>
      <c r="DWL125" s="48"/>
      <c r="DWM125" s="49"/>
      <c r="DWN125" s="50"/>
      <c r="DWO125" s="50"/>
      <c r="DWP125" s="41"/>
      <c r="DWQ125" s="41"/>
      <c r="DWR125" s="49"/>
      <c r="DWS125" s="41"/>
      <c r="DWT125" s="41"/>
      <c r="DWV125" s="40"/>
      <c r="DWW125" s="47"/>
      <c r="DWX125" s="48"/>
      <c r="DWY125" s="49"/>
      <c r="DWZ125" s="50"/>
      <c r="DXA125" s="50"/>
      <c r="DXB125" s="41"/>
      <c r="DXC125" s="41"/>
      <c r="DXD125" s="49"/>
      <c r="DXE125" s="41"/>
      <c r="DXF125" s="41"/>
      <c r="DXH125" s="40"/>
      <c r="DXI125" s="47"/>
      <c r="DXJ125" s="48"/>
      <c r="DXK125" s="49"/>
      <c r="DXL125" s="50"/>
      <c r="DXM125" s="50"/>
      <c r="DXN125" s="41"/>
      <c r="DXO125" s="41"/>
      <c r="DXP125" s="49"/>
      <c r="DXQ125" s="41"/>
      <c r="DXR125" s="41"/>
      <c r="DXT125" s="40"/>
      <c r="DXU125" s="47"/>
      <c r="DXV125" s="48"/>
      <c r="DXW125" s="49"/>
      <c r="DXX125" s="50"/>
      <c r="DXY125" s="50"/>
      <c r="DXZ125" s="41"/>
      <c r="DYA125" s="41"/>
      <c r="DYB125" s="49"/>
      <c r="DYC125" s="41"/>
      <c r="DYD125" s="41"/>
      <c r="DYF125" s="40"/>
      <c r="DYG125" s="47"/>
      <c r="DYH125" s="48"/>
      <c r="DYI125" s="49"/>
      <c r="DYJ125" s="50"/>
      <c r="DYK125" s="50"/>
      <c r="DYL125" s="41"/>
      <c r="DYM125" s="41"/>
      <c r="DYN125" s="49"/>
      <c r="DYO125" s="41"/>
      <c r="DYP125" s="41"/>
      <c r="DYR125" s="40"/>
      <c r="DYS125" s="47"/>
      <c r="DYT125" s="48"/>
      <c r="DYU125" s="49"/>
      <c r="DYV125" s="50"/>
      <c r="DYW125" s="50"/>
      <c r="DYX125" s="41"/>
      <c r="DYY125" s="41"/>
      <c r="DYZ125" s="49"/>
      <c r="DZA125" s="41"/>
      <c r="DZB125" s="41"/>
      <c r="DZD125" s="40"/>
      <c r="DZE125" s="47"/>
      <c r="DZF125" s="48"/>
      <c r="DZG125" s="49"/>
      <c r="DZH125" s="50"/>
      <c r="DZI125" s="50"/>
      <c r="DZJ125" s="41"/>
      <c r="DZK125" s="41"/>
      <c r="DZL125" s="49"/>
      <c r="DZM125" s="41"/>
      <c r="DZN125" s="41"/>
      <c r="DZP125" s="40"/>
      <c r="DZQ125" s="47"/>
      <c r="DZR125" s="48"/>
      <c r="DZS125" s="49"/>
      <c r="DZT125" s="50"/>
      <c r="DZU125" s="50"/>
      <c r="DZV125" s="41"/>
      <c r="DZW125" s="41"/>
      <c r="DZX125" s="49"/>
      <c r="DZY125" s="41"/>
      <c r="DZZ125" s="41"/>
      <c r="EAB125" s="40"/>
      <c r="EAC125" s="47"/>
      <c r="EAD125" s="48"/>
      <c r="EAE125" s="49"/>
      <c r="EAF125" s="50"/>
      <c r="EAG125" s="50"/>
      <c r="EAH125" s="41"/>
      <c r="EAI125" s="41"/>
      <c r="EAJ125" s="49"/>
      <c r="EAK125" s="41"/>
      <c r="EAL125" s="41"/>
      <c r="EAN125" s="40"/>
      <c r="EAO125" s="47"/>
      <c r="EAP125" s="48"/>
      <c r="EAQ125" s="49"/>
      <c r="EAR125" s="50"/>
      <c r="EAS125" s="50"/>
      <c r="EAT125" s="41"/>
      <c r="EAU125" s="41"/>
      <c r="EAV125" s="49"/>
      <c r="EAW125" s="41"/>
      <c r="EAX125" s="41"/>
      <c r="EAZ125" s="40"/>
      <c r="EBA125" s="47"/>
      <c r="EBB125" s="48"/>
      <c r="EBC125" s="49"/>
      <c r="EBD125" s="50"/>
      <c r="EBE125" s="50"/>
      <c r="EBF125" s="41"/>
      <c r="EBG125" s="41"/>
      <c r="EBH125" s="49"/>
      <c r="EBI125" s="41"/>
      <c r="EBJ125" s="41"/>
      <c r="EBL125" s="40"/>
      <c r="EBM125" s="47"/>
      <c r="EBN125" s="48"/>
      <c r="EBO125" s="49"/>
      <c r="EBP125" s="50"/>
      <c r="EBQ125" s="50"/>
      <c r="EBR125" s="41"/>
      <c r="EBS125" s="41"/>
      <c r="EBT125" s="49"/>
      <c r="EBU125" s="41"/>
      <c r="EBV125" s="41"/>
      <c r="EBX125" s="40"/>
      <c r="EBY125" s="47"/>
      <c r="EBZ125" s="48"/>
      <c r="ECA125" s="49"/>
      <c r="ECB125" s="50"/>
      <c r="ECC125" s="50"/>
      <c r="ECD125" s="41"/>
      <c r="ECE125" s="41"/>
      <c r="ECF125" s="49"/>
      <c r="ECG125" s="41"/>
      <c r="ECH125" s="41"/>
      <c r="ECJ125" s="40"/>
      <c r="ECK125" s="47"/>
      <c r="ECL125" s="48"/>
      <c r="ECM125" s="49"/>
      <c r="ECN125" s="50"/>
      <c r="ECO125" s="50"/>
      <c r="ECP125" s="41"/>
      <c r="ECQ125" s="41"/>
      <c r="ECR125" s="49"/>
      <c r="ECS125" s="41"/>
      <c r="ECT125" s="41"/>
      <c r="ECV125" s="40"/>
      <c r="ECW125" s="47"/>
      <c r="ECX125" s="48"/>
      <c r="ECY125" s="49"/>
      <c r="ECZ125" s="50"/>
      <c r="EDA125" s="50"/>
      <c r="EDB125" s="41"/>
      <c r="EDC125" s="41"/>
      <c r="EDD125" s="49"/>
      <c r="EDE125" s="41"/>
      <c r="EDF125" s="41"/>
      <c r="EDH125" s="40"/>
      <c r="EDI125" s="47"/>
      <c r="EDJ125" s="48"/>
      <c r="EDK125" s="49"/>
      <c r="EDL125" s="50"/>
      <c r="EDM125" s="50"/>
      <c r="EDN125" s="41"/>
      <c r="EDO125" s="41"/>
      <c r="EDP125" s="49"/>
      <c r="EDQ125" s="41"/>
      <c r="EDR125" s="41"/>
      <c r="EDT125" s="40"/>
      <c r="EDU125" s="47"/>
      <c r="EDV125" s="48"/>
      <c r="EDW125" s="49"/>
      <c r="EDX125" s="50"/>
      <c r="EDY125" s="50"/>
      <c r="EDZ125" s="41"/>
      <c r="EEA125" s="41"/>
      <c r="EEB125" s="49"/>
      <c r="EEC125" s="41"/>
      <c r="EED125" s="41"/>
      <c r="EEF125" s="40"/>
      <c r="EEG125" s="47"/>
      <c r="EEH125" s="48"/>
      <c r="EEI125" s="49"/>
      <c r="EEJ125" s="50"/>
      <c r="EEK125" s="50"/>
      <c r="EEL125" s="41"/>
      <c r="EEM125" s="41"/>
      <c r="EEN125" s="49"/>
      <c r="EEO125" s="41"/>
      <c r="EEP125" s="41"/>
      <c r="EER125" s="40"/>
      <c r="EES125" s="47"/>
      <c r="EET125" s="48"/>
      <c r="EEU125" s="49"/>
      <c r="EEV125" s="50"/>
      <c r="EEW125" s="50"/>
      <c r="EEX125" s="41"/>
      <c r="EEY125" s="41"/>
      <c r="EEZ125" s="49"/>
      <c r="EFA125" s="41"/>
      <c r="EFB125" s="41"/>
      <c r="EFD125" s="40"/>
      <c r="EFE125" s="47"/>
      <c r="EFF125" s="48"/>
      <c r="EFG125" s="49"/>
      <c r="EFH125" s="50"/>
      <c r="EFI125" s="50"/>
      <c r="EFJ125" s="41"/>
      <c r="EFK125" s="41"/>
      <c r="EFL125" s="49"/>
      <c r="EFM125" s="41"/>
      <c r="EFN125" s="41"/>
      <c r="EFP125" s="40"/>
      <c r="EFQ125" s="47"/>
      <c r="EFR125" s="48"/>
      <c r="EFS125" s="49"/>
      <c r="EFT125" s="50"/>
      <c r="EFU125" s="50"/>
      <c r="EFV125" s="41"/>
      <c r="EFW125" s="41"/>
      <c r="EFX125" s="49"/>
      <c r="EFY125" s="41"/>
      <c r="EFZ125" s="41"/>
      <c r="EGB125" s="40"/>
      <c r="EGC125" s="47"/>
      <c r="EGD125" s="48"/>
      <c r="EGE125" s="49"/>
      <c r="EGF125" s="50"/>
      <c r="EGG125" s="50"/>
      <c r="EGH125" s="41"/>
      <c r="EGI125" s="41"/>
      <c r="EGJ125" s="49"/>
      <c r="EGK125" s="41"/>
      <c r="EGL125" s="41"/>
      <c r="EGN125" s="40"/>
      <c r="EGO125" s="47"/>
      <c r="EGP125" s="48"/>
      <c r="EGQ125" s="49"/>
      <c r="EGR125" s="50"/>
      <c r="EGS125" s="50"/>
      <c r="EGT125" s="41"/>
      <c r="EGU125" s="41"/>
      <c r="EGV125" s="49"/>
      <c r="EGW125" s="41"/>
      <c r="EGX125" s="41"/>
      <c r="EGZ125" s="40"/>
      <c r="EHA125" s="47"/>
      <c r="EHB125" s="48"/>
      <c r="EHC125" s="49"/>
      <c r="EHD125" s="50"/>
      <c r="EHE125" s="50"/>
      <c r="EHF125" s="41"/>
      <c r="EHG125" s="41"/>
      <c r="EHH125" s="49"/>
      <c r="EHI125" s="41"/>
      <c r="EHJ125" s="41"/>
      <c r="EHL125" s="40"/>
      <c r="EHM125" s="47"/>
      <c r="EHN125" s="48"/>
      <c r="EHO125" s="49"/>
      <c r="EHP125" s="50"/>
      <c r="EHQ125" s="50"/>
      <c r="EHR125" s="41"/>
      <c r="EHS125" s="41"/>
      <c r="EHT125" s="49"/>
      <c r="EHU125" s="41"/>
      <c r="EHV125" s="41"/>
      <c r="EHX125" s="40"/>
      <c r="EHY125" s="47"/>
      <c r="EHZ125" s="48"/>
      <c r="EIA125" s="49"/>
      <c r="EIB125" s="50"/>
      <c r="EIC125" s="50"/>
      <c r="EID125" s="41"/>
      <c r="EIE125" s="41"/>
      <c r="EIF125" s="49"/>
      <c r="EIG125" s="41"/>
      <c r="EIH125" s="41"/>
      <c r="EIJ125" s="40"/>
      <c r="EIK125" s="47"/>
      <c r="EIL125" s="48"/>
      <c r="EIM125" s="49"/>
      <c r="EIN125" s="50"/>
      <c r="EIO125" s="50"/>
      <c r="EIP125" s="41"/>
      <c r="EIQ125" s="41"/>
      <c r="EIR125" s="49"/>
      <c r="EIS125" s="41"/>
      <c r="EIT125" s="41"/>
      <c r="EIV125" s="40"/>
      <c r="EIW125" s="47"/>
      <c r="EIX125" s="48"/>
      <c r="EIY125" s="49"/>
      <c r="EIZ125" s="50"/>
      <c r="EJA125" s="50"/>
      <c r="EJB125" s="41"/>
      <c r="EJC125" s="41"/>
      <c r="EJD125" s="49"/>
      <c r="EJE125" s="41"/>
      <c r="EJF125" s="41"/>
      <c r="EJH125" s="40"/>
      <c r="EJI125" s="47"/>
      <c r="EJJ125" s="48"/>
      <c r="EJK125" s="49"/>
      <c r="EJL125" s="50"/>
      <c r="EJM125" s="50"/>
      <c r="EJN125" s="41"/>
      <c r="EJO125" s="41"/>
      <c r="EJP125" s="49"/>
      <c r="EJQ125" s="41"/>
      <c r="EJR125" s="41"/>
      <c r="EJT125" s="40"/>
      <c r="EJU125" s="47"/>
      <c r="EJV125" s="48"/>
      <c r="EJW125" s="49"/>
      <c r="EJX125" s="50"/>
      <c r="EJY125" s="50"/>
      <c r="EJZ125" s="41"/>
      <c r="EKA125" s="41"/>
      <c r="EKB125" s="49"/>
      <c r="EKC125" s="41"/>
      <c r="EKD125" s="41"/>
      <c r="EKF125" s="40"/>
      <c r="EKG125" s="47"/>
      <c r="EKH125" s="48"/>
      <c r="EKI125" s="49"/>
      <c r="EKJ125" s="50"/>
      <c r="EKK125" s="50"/>
      <c r="EKL125" s="41"/>
      <c r="EKM125" s="41"/>
      <c r="EKN125" s="49"/>
      <c r="EKO125" s="41"/>
      <c r="EKP125" s="41"/>
      <c r="EKR125" s="40"/>
      <c r="EKS125" s="47"/>
      <c r="EKT125" s="48"/>
      <c r="EKU125" s="49"/>
      <c r="EKV125" s="50"/>
      <c r="EKW125" s="50"/>
      <c r="EKX125" s="41"/>
      <c r="EKY125" s="41"/>
      <c r="EKZ125" s="49"/>
      <c r="ELA125" s="41"/>
      <c r="ELB125" s="41"/>
      <c r="ELD125" s="40"/>
      <c r="ELE125" s="47"/>
      <c r="ELF125" s="48"/>
      <c r="ELG125" s="49"/>
      <c r="ELH125" s="50"/>
      <c r="ELI125" s="50"/>
      <c r="ELJ125" s="41"/>
      <c r="ELK125" s="41"/>
      <c r="ELL125" s="49"/>
      <c r="ELM125" s="41"/>
      <c r="ELN125" s="41"/>
      <c r="ELP125" s="40"/>
      <c r="ELQ125" s="47"/>
      <c r="ELR125" s="48"/>
      <c r="ELS125" s="49"/>
      <c r="ELT125" s="50"/>
      <c r="ELU125" s="50"/>
      <c r="ELV125" s="41"/>
      <c r="ELW125" s="41"/>
      <c r="ELX125" s="49"/>
      <c r="ELY125" s="41"/>
      <c r="ELZ125" s="41"/>
      <c r="EMB125" s="40"/>
      <c r="EMC125" s="47"/>
      <c r="EMD125" s="48"/>
      <c r="EME125" s="49"/>
      <c r="EMF125" s="50"/>
      <c r="EMG125" s="50"/>
      <c r="EMH125" s="41"/>
      <c r="EMI125" s="41"/>
      <c r="EMJ125" s="49"/>
      <c r="EMK125" s="41"/>
      <c r="EML125" s="41"/>
      <c r="EMN125" s="40"/>
      <c r="EMO125" s="47"/>
      <c r="EMP125" s="48"/>
      <c r="EMQ125" s="49"/>
      <c r="EMR125" s="50"/>
      <c r="EMS125" s="50"/>
      <c r="EMT125" s="41"/>
      <c r="EMU125" s="41"/>
      <c r="EMV125" s="49"/>
      <c r="EMW125" s="41"/>
      <c r="EMX125" s="41"/>
      <c r="EMZ125" s="40"/>
      <c r="ENA125" s="47"/>
      <c r="ENB125" s="48"/>
      <c r="ENC125" s="49"/>
      <c r="END125" s="50"/>
      <c r="ENE125" s="50"/>
      <c r="ENF125" s="41"/>
      <c r="ENG125" s="41"/>
      <c r="ENH125" s="49"/>
      <c r="ENI125" s="41"/>
      <c r="ENJ125" s="41"/>
      <c r="ENL125" s="40"/>
      <c r="ENM125" s="47"/>
      <c r="ENN125" s="48"/>
      <c r="ENO125" s="49"/>
      <c r="ENP125" s="50"/>
      <c r="ENQ125" s="50"/>
      <c r="ENR125" s="41"/>
      <c r="ENS125" s="41"/>
      <c r="ENT125" s="49"/>
      <c r="ENU125" s="41"/>
      <c r="ENV125" s="41"/>
      <c r="ENX125" s="40"/>
      <c r="ENY125" s="47"/>
      <c r="ENZ125" s="48"/>
      <c r="EOA125" s="49"/>
      <c r="EOB125" s="50"/>
      <c r="EOC125" s="50"/>
      <c r="EOD125" s="41"/>
      <c r="EOE125" s="41"/>
      <c r="EOF125" s="49"/>
      <c r="EOG125" s="41"/>
      <c r="EOH125" s="41"/>
      <c r="EOJ125" s="40"/>
      <c r="EOK125" s="47"/>
      <c r="EOL125" s="48"/>
      <c r="EOM125" s="49"/>
      <c r="EON125" s="50"/>
      <c r="EOO125" s="50"/>
      <c r="EOP125" s="41"/>
      <c r="EOQ125" s="41"/>
      <c r="EOR125" s="49"/>
      <c r="EOS125" s="41"/>
      <c r="EOT125" s="41"/>
      <c r="EOV125" s="40"/>
      <c r="EOW125" s="47"/>
      <c r="EOX125" s="48"/>
      <c r="EOY125" s="49"/>
      <c r="EOZ125" s="50"/>
      <c r="EPA125" s="50"/>
      <c r="EPB125" s="41"/>
      <c r="EPC125" s="41"/>
      <c r="EPD125" s="49"/>
      <c r="EPE125" s="41"/>
      <c r="EPF125" s="41"/>
      <c r="EPH125" s="40"/>
      <c r="EPI125" s="47"/>
      <c r="EPJ125" s="48"/>
      <c r="EPK125" s="49"/>
      <c r="EPL125" s="50"/>
      <c r="EPM125" s="50"/>
      <c r="EPN125" s="41"/>
      <c r="EPO125" s="41"/>
      <c r="EPP125" s="49"/>
      <c r="EPQ125" s="41"/>
      <c r="EPR125" s="41"/>
      <c r="EPT125" s="40"/>
      <c r="EPU125" s="47"/>
      <c r="EPV125" s="48"/>
      <c r="EPW125" s="49"/>
      <c r="EPX125" s="50"/>
      <c r="EPY125" s="50"/>
      <c r="EPZ125" s="41"/>
      <c r="EQA125" s="41"/>
      <c r="EQB125" s="49"/>
      <c r="EQC125" s="41"/>
      <c r="EQD125" s="41"/>
      <c r="EQF125" s="40"/>
      <c r="EQG125" s="47"/>
      <c r="EQH125" s="48"/>
      <c r="EQI125" s="49"/>
      <c r="EQJ125" s="50"/>
      <c r="EQK125" s="50"/>
      <c r="EQL125" s="41"/>
      <c r="EQM125" s="41"/>
      <c r="EQN125" s="49"/>
      <c r="EQO125" s="41"/>
      <c r="EQP125" s="41"/>
      <c r="EQR125" s="40"/>
      <c r="EQS125" s="47"/>
      <c r="EQT125" s="48"/>
      <c r="EQU125" s="49"/>
      <c r="EQV125" s="50"/>
      <c r="EQW125" s="50"/>
      <c r="EQX125" s="41"/>
      <c r="EQY125" s="41"/>
      <c r="EQZ125" s="49"/>
      <c r="ERA125" s="41"/>
      <c r="ERB125" s="41"/>
      <c r="ERD125" s="40"/>
      <c r="ERE125" s="47"/>
      <c r="ERF125" s="48"/>
      <c r="ERG125" s="49"/>
      <c r="ERH125" s="50"/>
      <c r="ERI125" s="50"/>
      <c r="ERJ125" s="41"/>
      <c r="ERK125" s="41"/>
      <c r="ERL125" s="49"/>
      <c r="ERM125" s="41"/>
      <c r="ERN125" s="41"/>
      <c r="ERP125" s="40"/>
      <c r="ERQ125" s="47"/>
      <c r="ERR125" s="48"/>
      <c r="ERS125" s="49"/>
      <c r="ERT125" s="50"/>
      <c r="ERU125" s="50"/>
      <c r="ERV125" s="41"/>
      <c r="ERW125" s="41"/>
      <c r="ERX125" s="49"/>
      <c r="ERY125" s="41"/>
      <c r="ERZ125" s="41"/>
      <c r="ESB125" s="40"/>
      <c r="ESC125" s="47"/>
      <c r="ESD125" s="48"/>
      <c r="ESE125" s="49"/>
      <c r="ESF125" s="50"/>
      <c r="ESG125" s="50"/>
      <c r="ESH125" s="41"/>
      <c r="ESI125" s="41"/>
      <c r="ESJ125" s="49"/>
      <c r="ESK125" s="41"/>
      <c r="ESL125" s="41"/>
      <c r="ESN125" s="40"/>
      <c r="ESO125" s="47"/>
      <c r="ESP125" s="48"/>
      <c r="ESQ125" s="49"/>
      <c r="ESR125" s="50"/>
      <c r="ESS125" s="50"/>
      <c r="EST125" s="41"/>
      <c r="ESU125" s="41"/>
      <c r="ESV125" s="49"/>
      <c r="ESW125" s="41"/>
      <c r="ESX125" s="41"/>
      <c r="ESZ125" s="40"/>
      <c r="ETA125" s="47"/>
      <c r="ETB125" s="48"/>
      <c r="ETC125" s="49"/>
      <c r="ETD125" s="50"/>
      <c r="ETE125" s="50"/>
      <c r="ETF125" s="41"/>
      <c r="ETG125" s="41"/>
      <c r="ETH125" s="49"/>
      <c r="ETI125" s="41"/>
      <c r="ETJ125" s="41"/>
      <c r="ETL125" s="40"/>
      <c r="ETM125" s="47"/>
      <c r="ETN125" s="48"/>
      <c r="ETO125" s="49"/>
      <c r="ETP125" s="50"/>
      <c r="ETQ125" s="50"/>
      <c r="ETR125" s="41"/>
      <c r="ETS125" s="41"/>
      <c r="ETT125" s="49"/>
      <c r="ETU125" s="41"/>
      <c r="ETV125" s="41"/>
      <c r="ETX125" s="40"/>
      <c r="ETY125" s="47"/>
      <c r="ETZ125" s="48"/>
      <c r="EUA125" s="49"/>
      <c r="EUB125" s="50"/>
      <c r="EUC125" s="50"/>
      <c r="EUD125" s="41"/>
      <c r="EUE125" s="41"/>
      <c r="EUF125" s="49"/>
      <c r="EUG125" s="41"/>
      <c r="EUH125" s="41"/>
      <c r="EUJ125" s="40"/>
      <c r="EUK125" s="47"/>
      <c r="EUL125" s="48"/>
      <c r="EUM125" s="49"/>
      <c r="EUN125" s="50"/>
      <c r="EUO125" s="50"/>
      <c r="EUP125" s="41"/>
      <c r="EUQ125" s="41"/>
      <c r="EUR125" s="49"/>
      <c r="EUS125" s="41"/>
      <c r="EUT125" s="41"/>
      <c r="EUV125" s="40"/>
      <c r="EUW125" s="47"/>
      <c r="EUX125" s="48"/>
      <c r="EUY125" s="49"/>
      <c r="EUZ125" s="50"/>
      <c r="EVA125" s="50"/>
      <c r="EVB125" s="41"/>
      <c r="EVC125" s="41"/>
      <c r="EVD125" s="49"/>
      <c r="EVE125" s="41"/>
      <c r="EVF125" s="41"/>
      <c r="EVH125" s="40"/>
      <c r="EVI125" s="47"/>
      <c r="EVJ125" s="48"/>
      <c r="EVK125" s="49"/>
      <c r="EVL125" s="50"/>
      <c r="EVM125" s="50"/>
      <c r="EVN125" s="41"/>
      <c r="EVO125" s="41"/>
      <c r="EVP125" s="49"/>
      <c r="EVQ125" s="41"/>
      <c r="EVR125" s="41"/>
      <c r="EVT125" s="40"/>
      <c r="EVU125" s="47"/>
      <c r="EVV125" s="48"/>
      <c r="EVW125" s="49"/>
      <c r="EVX125" s="50"/>
      <c r="EVY125" s="50"/>
      <c r="EVZ125" s="41"/>
      <c r="EWA125" s="41"/>
      <c r="EWB125" s="49"/>
      <c r="EWC125" s="41"/>
      <c r="EWD125" s="41"/>
      <c r="EWF125" s="40"/>
      <c r="EWG125" s="47"/>
      <c r="EWH125" s="48"/>
      <c r="EWI125" s="49"/>
      <c r="EWJ125" s="50"/>
      <c r="EWK125" s="50"/>
      <c r="EWL125" s="41"/>
      <c r="EWM125" s="41"/>
      <c r="EWN125" s="49"/>
      <c r="EWO125" s="41"/>
      <c r="EWP125" s="41"/>
      <c r="EWR125" s="40"/>
      <c r="EWS125" s="47"/>
      <c r="EWT125" s="48"/>
      <c r="EWU125" s="49"/>
      <c r="EWV125" s="50"/>
      <c r="EWW125" s="50"/>
      <c r="EWX125" s="41"/>
      <c r="EWY125" s="41"/>
      <c r="EWZ125" s="49"/>
      <c r="EXA125" s="41"/>
      <c r="EXB125" s="41"/>
      <c r="EXD125" s="40"/>
      <c r="EXE125" s="47"/>
      <c r="EXF125" s="48"/>
      <c r="EXG125" s="49"/>
      <c r="EXH125" s="50"/>
      <c r="EXI125" s="50"/>
      <c r="EXJ125" s="41"/>
      <c r="EXK125" s="41"/>
      <c r="EXL125" s="49"/>
      <c r="EXM125" s="41"/>
      <c r="EXN125" s="41"/>
      <c r="EXP125" s="40"/>
      <c r="EXQ125" s="47"/>
      <c r="EXR125" s="48"/>
      <c r="EXS125" s="49"/>
      <c r="EXT125" s="50"/>
      <c r="EXU125" s="50"/>
      <c r="EXV125" s="41"/>
      <c r="EXW125" s="41"/>
      <c r="EXX125" s="49"/>
      <c r="EXY125" s="41"/>
      <c r="EXZ125" s="41"/>
      <c r="EYB125" s="40"/>
      <c r="EYC125" s="47"/>
      <c r="EYD125" s="48"/>
      <c r="EYE125" s="49"/>
      <c r="EYF125" s="50"/>
      <c r="EYG125" s="50"/>
      <c r="EYH125" s="41"/>
      <c r="EYI125" s="41"/>
      <c r="EYJ125" s="49"/>
      <c r="EYK125" s="41"/>
      <c r="EYL125" s="41"/>
      <c r="EYN125" s="40"/>
      <c r="EYO125" s="47"/>
      <c r="EYP125" s="48"/>
      <c r="EYQ125" s="49"/>
      <c r="EYR125" s="50"/>
      <c r="EYS125" s="50"/>
      <c r="EYT125" s="41"/>
      <c r="EYU125" s="41"/>
      <c r="EYV125" s="49"/>
      <c r="EYW125" s="41"/>
      <c r="EYX125" s="41"/>
      <c r="EYZ125" s="40"/>
      <c r="EZA125" s="47"/>
      <c r="EZB125" s="48"/>
      <c r="EZC125" s="49"/>
      <c r="EZD125" s="50"/>
      <c r="EZE125" s="50"/>
      <c r="EZF125" s="41"/>
      <c r="EZG125" s="41"/>
      <c r="EZH125" s="49"/>
      <c r="EZI125" s="41"/>
      <c r="EZJ125" s="41"/>
      <c r="EZL125" s="40"/>
      <c r="EZM125" s="47"/>
      <c r="EZN125" s="48"/>
      <c r="EZO125" s="49"/>
      <c r="EZP125" s="50"/>
      <c r="EZQ125" s="50"/>
      <c r="EZR125" s="41"/>
      <c r="EZS125" s="41"/>
      <c r="EZT125" s="49"/>
      <c r="EZU125" s="41"/>
      <c r="EZV125" s="41"/>
      <c r="EZX125" s="40"/>
      <c r="EZY125" s="47"/>
      <c r="EZZ125" s="48"/>
      <c r="FAA125" s="49"/>
      <c r="FAB125" s="50"/>
      <c r="FAC125" s="50"/>
      <c r="FAD125" s="41"/>
      <c r="FAE125" s="41"/>
      <c r="FAF125" s="49"/>
      <c r="FAG125" s="41"/>
      <c r="FAH125" s="41"/>
      <c r="FAJ125" s="40"/>
      <c r="FAK125" s="47"/>
      <c r="FAL125" s="48"/>
      <c r="FAM125" s="49"/>
      <c r="FAN125" s="50"/>
      <c r="FAO125" s="50"/>
      <c r="FAP125" s="41"/>
      <c r="FAQ125" s="41"/>
      <c r="FAR125" s="49"/>
      <c r="FAS125" s="41"/>
      <c r="FAT125" s="41"/>
      <c r="FAV125" s="40"/>
      <c r="FAW125" s="47"/>
      <c r="FAX125" s="48"/>
      <c r="FAY125" s="49"/>
      <c r="FAZ125" s="50"/>
      <c r="FBA125" s="50"/>
      <c r="FBB125" s="41"/>
      <c r="FBC125" s="41"/>
      <c r="FBD125" s="49"/>
      <c r="FBE125" s="41"/>
      <c r="FBF125" s="41"/>
      <c r="FBH125" s="40"/>
      <c r="FBI125" s="47"/>
      <c r="FBJ125" s="48"/>
      <c r="FBK125" s="49"/>
      <c r="FBL125" s="50"/>
      <c r="FBM125" s="50"/>
      <c r="FBN125" s="41"/>
      <c r="FBO125" s="41"/>
      <c r="FBP125" s="49"/>
      <c r="FBQ125" s="41"/>
      <c r="FBR125" s="41"/>
      <c r="FBT125" s="40"/>
      <c r="FBU125" s="47"/>
      <c r="FBV125" s="48"/>
      <c r="FBW125" s="49"/>
      <c r="FBX125" s="50"/>
      <c r="FBY125" s="50"/>
      <c r="FBZ125" s="41"/>
      <c r="FCA125" s="41"/>
      <c r="FCB125" s="49"/>
      <c r="FCC125" s="41"/>
      <c r="FCD125" s="41"/>
      <c r="FCF125" s="40"/>
      <c r="FCG125" s="47"/>
      <c r="FCH125" s="48"/>
      <c r="FCI125" s="49"/>
      <c r="FCJ125" s="50"/>
      <c r="FCK125" s="50"/>
      <c r="FCL125" s="41"/>
      <c r="FCM125" s="41"/>
      <c r="FCN125" s="49"/>
      <c r="FCO125" s="41"/>
      <c r="FCP125" s="41"/>
      <c r="FCR125" s="40"/>
      <c r="FCS125" s="47"/>
      <c r="FCT125" s="48"/>
      <c r="FCU125" s="49"/>
      <c r="FCV125" s="50"/>
      <c r="FCW125" s="50"/>
      <c r="FCX125" s="41"/>
      <c r="FCY125" s="41"/>
      <c r="FCZ125" s="49"/>
      <c r="FDA125" s="41"/>
      <c r="FDB125" s="41"/>
      <c r="FDD125" s="40"/>
      <c r="FDE125" s="47"/>
      <c r="FDF125" s="48"/>
      <c r="FDG125" s="49"/>
      <c r="FDH125" s="50"/>
      <c r="FDI125" s="50"/>
      <c r="FDJ125" s="41"/>
      <c r="FDK125" s="41"/>
      <c r="FDL125" s="49"/>
      <c r="FDM125" s="41"/>
      <c r="FDN125" s="41"/>
      <c r="FDP125" s="40"/>
      <c r="FDQ125" s="47"/>
      <c r="FDR125" s="48"/>
      <c r="FDS125" s="49"/>
      <c r="FDT125" s="50"/>
      <c r="FDU125" s="50"/>
      <c r="FDV125" s="41"/>
      <c r="FDW125" s="41"/>
      <c r="FDX125" s="49"/>
      <c r="FDY125" s="41"/>
      <c r="FDZ125" s="41"/>
      <c r="FEB125" s="40"/>
      <c r="FEC125" s="47"/>
      <c r="FED125" s="48"/>
      <c r="FEE125" s="49"/>
      <c r="FEF125" s="50"/>
      <c r="FEG125" s="50"/>
      <c r="FEH125" s="41"/>
      <c r="FEI125" s="41"/>
      <c r="FEJ125" s="49"/>
      <c r="FEK125" s="41"/>
      <c r="FEL125" s="41"/>
      <c r="FEN125" s="40"/>
      <c r="FEO125" s="47"/>
      <c r="FEP125" s="48"/>
      <c r="FEQ125" s="49"/>
      <c r="FER125" s="50"/>
      <c r="FES125" s="50"/>
      <c r="FET125" s="41"/>
      <c r="FEU125" s="41"/>
      <c r="FEV125" s="49"/>
      <c r="FEW125" s="41"/>
      <c r="FEX125" s="41"/>
      <c r="FEZ125" s="40"/>
      <c r="FFA125" s="47"/>
      <c r="FFB125" s="48"/>
      <c r="FFC125" s="49"/>
      <c r="FFD125" s="50"/>
      <c r="FFE125" s="50"/>
      <c r="FFF125" s="41"/>
      <c r="FFG125" s="41"/>
      <c r="FFH125" s="49"/>
      <c r="FFI125" s="41"/>
      <c r="FFJ125" s="41"/>
      <c r="FFL125" s="40"/>
      <c r="FFM125" s="47"/>
      <c r="FFN125" s="48"/>
      <c r="FFO125" s="49"/>
      <c r="FFP125" s="50"/>
      <c r="FFQ125" s="50"/>
      <c r="FFR125" s="41"/>
      <c r="FFS125" s="41"/>
      <c r="FFT125" s="49"/>
      <c r="FFU125" s="41"/>
      <c r="FFV125" s="41"/>
      <c r="FFX125" s="40"/>
      <c r="FFY125" s="47"/>
      <c r="FFZ125" s="48"/>
      <c r="FGA125" s="49"/>
      <c r="FGB125" s="50"/>
      <c r="FGC125" s="50"/>
      <c r="FGD125" s="41"/>
      <c r="FGE125" s="41"/>
      <c r="FGF125" s="49"/>
      <c r="FGG125" s="41"/>
      <c r="FGH125" s="41"/>
      <c r="FGJ125" s="40"/>
      <c r="FGK125" s="47"/>
      <c r="FGL125" s="48"/>
      <c r="FGM125" s="49"/>
      <c r="FGN125" s="50"/>
      <c r="FGO125" s="50"/>
      <c r="FGP125" s="41"/>
      <c r="FGQ125" s="41"/>
      <c r="FGR125" s="49"/>
      <c r="FGS125" s="41"/>
      <c r="FGT125" s="41"/>
      <c r="FGV125" s="40"/>
      <c r="FGW125" s="47"/>
      <c r="FGX125" s="48"/>
      <c r="FGY125" s="49"/>
      <c r="FGZ125" s="50"/>
      <c r="FHA125" s="50"/>
      <c r="FHB125" s="41"/>
      <c r="FHC125" s="41"/>
      <c r="FHD125" s="49"/>
      <c r="FHE125" s="41"/>
      <c r="FHF125" s="41"/>
      <c r="FHH125" s="40"/>
      <c r="FHI125" s="47"/>
      <c r="FHJ125" s="48"/>
      <c r="FHK125" s="49"/>
      <c r="FHL125" s="50"/>
      <c r="FHM125" s="50"/>
      <c r="FHN125" s="41"/>
      <c r="FHO125" s="41"/>
      <c r="FHP125" s="49"/>
      <c r="FHQ125" s="41"/>
      <c r="FHR125" s="41"/>
      <c r="FHT125" s="40"/>
      <c r="FHU125" s="47"/>
      <c r="FHV125" s="48"/>
      <c r="FHW125" s="49"/>
      <c r="FHX125" s="50"/>
      <c r="FHY125" s="50"/>
      <c r="FHZ125" s="41"/>
      <c r="FIA125" s="41"/>
      <c r="FIB125" s="49"/>
      <c r="FIC125" s="41"/>
      <c r="FID125" s="41"/>
      <c r="FIF125" s="40"/>
      <c r="FIG125" s="47"/>
      <c r="FIH125" s="48"/>
      <c r="FII125" s="49"/>
      <c r="FIJ125" s="50"/>
      <c r="FIK125" s="50"/>
      <c r="FIL125" s="41"/>
      <c r="FIM125" s="41"/>
      <c r="FIN125" s="49"/>
      <c r="FIO125" s="41"/>
      <c r="FIP125" s="41"/>
      <c r="FIR125" s="40"/>
      <c r="FIS125" s="47"/>
      <c r="FIT125" s="48"/>
      <c r="FIU125" s="49"/>
      <c r="FIV125" s="50"/>
      <c r="FIW125" s="50"/>
      <c r="FIX125" s="41"/>
      <c r="FIY125" s="41"/>
      <c r="FIZ125" s="49"/>
      <c r="FJA125" s="41"/>
      <c r="FJB125" s="41"/>
      <c r="FJD125" s="40"/>
      <c r="FJE125" s="47"/>
      <c r="FJF125" s="48"/>
      <c r="FJG125" s="49"/>
      <c r="FJH125" s="50"/>
      <c r="FJI125" s="50"/>
      <c r="FJJ125" s="41"/>
      <c r="FJK125" s="41"/>
      <c r="FJL125" s="49"/>
      <c r="FJM125" s="41"/>
      <c r="FJN125" s="41"/>
      <c r="FJP125" s="40"/>
      <c r="FJQ125" s="47"/>
      <c r="FJR125" s="48"/>
      <c r="FJS125" s="49"/>
      <c r="FJT125" s="50"/>
      <c r="FJU125" s="50"/>
      <c r="FJV125" s="41"/>
      <c r="FJW125" s="41"/>
      <c r="FJX125" s="49"/>
      <c r="FJY125" s="41"/>
      <c r="FJZ125" s="41"/>
      <c r="FKB125" s="40"/>
      <c r="FKC125" s="47"/>
      <c r="FKD125" s="48"/>
      <c r="FKE125" s="49"/>
      <c r="FKF125" s="50"/>
      <c r="FKG125" s="50"/>
      <c r="FKH125" s="41"/>
      <c r="FKI125" s="41"/>
      <c r="FKJ125" s="49"/>
      <c r="FKK125" s="41"/>
      <c r="FKL125" s="41"/>
      <c r="FKN125" s="40"/>
      <c r="FKO125" s="47"/>
      <c r="FKP125" s="48"/>
      <c r="FKQ125" s="49"/>
      <c r="FKR125" s="50"/>
      <c r="FKS125" s="50"/>
      <c r="FKT125" s="41"/>
      <c r="FKU125" s="41"/>
      <c r="FKV125" s="49"/>
      <c r="FKW125" s="41"/>
      <c r="FKX125" s="41"/>
      <c r="FKZ125" s="40"/>
      <c r="FLA125" s="47"/>
      <c r="FLB125" s="48"/>
      <c r="FLC125" s="49"/>
      <c r="FLD125" s="50"/>
      <c r="FLE125" s="50"/>
      <c r="FLF125" s="41"/>
      <c r="FLG125" s="41"/>
      <c r="FLH125" s="49"/>
      <c r="FLI125" s="41"/>
      <c r="FLJ125" s="41"/>
      <c r="FLL125" s="40"/>
      <c r="FLM125" s="47"/>
      <c r="FLN125" s="48"/>
      <c r="FLO125" s="49"/>
      <c r="FLP125" s="50"/>
      <c r="FLQ125" s="50"/>
      <c r="FLR125" s="41"/>
      <c r="FLS125" s="41"/>
      <c r="FLT125" s="49"/>
      <c r="FLU125" s="41"/>
      <c r="FLV125" s="41"/>
      <c r="FLX125" s="40"/>
      <c r="FLY125" s="47"/>
      <c r="FLZ125" s="48"/>
      <c r="FMA125" s="49"/>
      <c r="FMB125" s="50"/>
      <c r="FMC125" s="50"/>
      <c r="FMD125" s="41"/>
      <c r="FME125" s="41"/>
      <c r="FMF125" s="49"/>
      <c r="FMG125" s="41"/>
      <c r="FMH125" s="41"/>
      <c r="FMJ125" s="40"/>
      <c r="FMK125" s="47"/>
      <c r="FML125" s="48"/>
      <c r="FMM125" s="49"/>
      <c r="FMN125" s="50"/>
      <c r="FMO125" s="50"/>
      <c r="FMP125" s="41"/>
      <c r="FMQ125" s="41"/>
      <c r="FMR125" s="49"/>
      <c r="FMS125" s="41"/>
      <c r="FMT125" s="41"/>
      <c r="FMV125" s="40"/>
      <c r="FMW125" s="47"/>
      <c r="FMX125" s="48"/>
      <c r="FMY125" s="49"/>
      <c r="FMZ125" s="50"/>
      <c r="FNA125" s="50"/>
      <c r="FNB125" s="41"/>
      <c r="FNC125" s="41"/>
      <c r="FND125" s="49"/>
      <c r="FNE125" s="41"/>
      <c r="FNF125" s="41"/>
      <c r="FNH125" s="40"/>
      <c r="FNI125" s="47"/>
      <c r="FNJ125" s="48"/>
      <c r="FNK125" s="49"/>
      <c r="FNL125" s="50"/>
      <c r="FNM125" s="50"/>
      <c r="FNN125" s="41"/>
      <c r="FNO125" s="41"/>
      <c r="FNP125" s="49"/>
      <c r="FNQ125" s="41"/>
      <c r="FNR125" s="41"/>
      <c r="FNT125" s="40"/>
      <c r="FNU125" s="47"/>
      <c r="FNV125" s="48"/>
      <c r="FNW125" s="49"/>
      <c r="FNX125" s="50"/>
      <c r="FNY125" s="50"/>
      <c r="FNZ125" s="41"/>
      <c r="FOA125" s="41"/>
      <c r="FOB125" s="49"/>
      <c r="FOC125" s="41"/>
      <c r="FOD125" s="41"/>
      <c r="FOF125" s="40"/>
      <c r="FOG125" s="47"/>
      <c r="FOH125" s="48"/>
      <c r="FOI125" s="49"/>
      <c r="FOJ125" s="50"/>
      <c r="FOK125" s="50"/>
      <c r="FOL125" s="41"/>
      <c r="FOM125" s="41"/>
      <c r="FON125" s="49"/>
      <c r="FOO125" s="41"/>
      <c r="FOP125" s="41"/>
      <c r="FOR125" s="40"/>
      <c r="FOS125" s="47"/>
      <c r="FOT125" s="48"/>
      <c r="FOU125" s="49"/>
      <c r="FOV125" s="50"/>
      <c r="FOW125" s="50"/>
      <c r="FOX125" s="41"/>
      <c r="FOY125" s="41"/>
      <c r="FOZ125" s="49"/>
      <c r="FPA125" s="41"/>
      <c r="FPB125" s="41"/>
      <c r="FPD125" s="40"/>
      <c r="FPE125" s="47"/>
      <c r="FPF125" s="48"/>
      <c r="FPG125" s="49"/>
      <c r="FPH125" s="50"/>
      <c r="FPI125" s="50"/>
      <c r="FPJ125" s="41"/>
      <c r="FPK125" s="41"/>
      <c r="FPL125" s="49"/>
      <c r="FPM125" s="41"/>
      <c r="FPN125" s="41"/>
      <c r="FPP125" s="40"/>
      <c r="FPQ125" s="47"/>
      <c r="FPR125" s="48"/>
      <c r="FPS125" s="49"/>
      <c r="FPT125" s="50"/>
      <c r="FPU125" s="50"/>
      <c r="FPV125" s="41"/>
      <c r="FPW125" s="41"/>
      <c r="FPX125" s="49"/>
      <c r="FPY125" s="41"/>
      <c r="FPZ125" s="41"/>
      <c r="FQB125" s="40"/>
      <c r="FQC125" s="47"/>
      <c r="FQD125" s="48"/>
      <c r="FQE125" s="49"/>
      <c r="FQF125" s="50"/>
      <c r="FQG125" s="50"/>
      <c r="FQH125" s="41"/>
      <c r="FQI125" s="41"/>
      <c r="FQJ125" s="49"/>
      <c r="FQK125" s="41"/>
      <c r="FQL125" s="41"/>
      <c r="FQN125" s="40"/>
      <c r="FQO125" s="47"/>
      <c r="FQP125" s="48"/>
      <c r="FQQ125" s="49"/>
      <c r="FQR125" s="50"/>
      <c r="FQS125" s="50"/>
      <c r="FQT125" s="41"/>
      <c r="FQU125" s="41"/>
      <c r="FQV125" s="49"/>
      <c r="FQW125" s="41"/>
      <c r="FQX125" s="41"/>
      <c r="FQZ125" s="40"/>
      <c r="FRA125" s="47"/>
      <c r="FRB125" s="48"/>
      <c r="FRC125" s="49"/>
      <c r="FRD125" s="50"/>
      <c r="FRE125" s="50"/>
      <c r="FRF125" s="41"/>
      <c r="FRG125" s="41"/>
      <c r="FRH125" s="49"/>
      <c r="FRI125" s="41"/>
      <c r="FRJ125" s="41"/>
      <c r="FRL125" s="40"/>
      <c r="FRM125" s="47"/>
      <c r="FRN125" s="48"/>
      <c r="FRO125" s="49"/>
      <c r="FRP125" s="50"/>
      <c r="FRQ125" s="50"/>
      <c r="FRR125" s="41"/>
      <c r="FRS125" s="41"/>
      <c r="FRT125" s="49"/>
      <c r="FRU125" s="41"/>
      <c r="FRV125" s="41"/>
      <c r="FRX125" s="40"/>
      <c r="FRY125" s="47"/>
      <c r="FRZ125" s="48"/>
      <c r="FSA125" s="49"/>
      <c r="FSB125" s="50"/>
      <c r="FSC125" s="50"/>
      <c r="FSD125" s="41"/>
      <c r="FSE125" s="41"/>
      <c r="FSF125" s="49"/>
      <c r="FSG125" s="41"/>
      <c r="FSH125" s="41"/>
      <c r="FSJ125" s="40"/>
      <c r="FSK125" s="47"/>
      <c r="FSL125" s="48"/>
      <c r="FSM125" s="49"/>
      <c r="FSN125" s="50"/>
      <c r="FSO125" s="50"/>
      <c r="FSP125" s="41"/>
      <c r="FSQ125" s="41"/>
      <c r="FSR125" s="49"/>
      <c r="FSS125" s="41"/>
      <c r="FST125" s="41"/>
      <c r="FSV125" s="40"/>
      <c r="FSW125" s="47"/>
      <c r="FSX125" s="48"/>
      <c r="FSY125" s="49"/>
      <c r="FSZ125" s="50"/>
      <c r="FTA125" s="50"/>
      <c r="FTB125" s="41"/>
      <c r="FTC125" s="41"/>
      <c r="FTD125" s="49"/>
      <c r="FTE125" s="41"/>
      <c r="FTF125" s="41"/>
      <c r="FTH125" s="40"/>
      <c r="FTI125" s="47"/>
      <c r="FTJ125" s="48"/>
      <c r="FTK125" s="49"/>
      <c r="FTL125" s="50"/>
      <c r="FTM125" s="50"/>
      <c r="FTN125" s="41"/>
      <c r="FTO125" s="41"/>
      <c r="FTP125" s="49"/>
      <c r="FTQ125" s="41"/>
      <c r="FTR125" s="41"/>
      <c r="FTT125" s="40"/>
      <c r="FTU125" s="47"/>
      <c r="FTV125" s="48"/>
      <c r="FTW125" s="49"/>
      <c r="FTX125" s="50"/>
      <c r="FTY125" s="50"/>
      <c r="FTZ125" s="41"/>
      <c r="FUA125" s="41"/>
      <c r="FUB125" s="49"/>
      <c r="FUC125" s="41"/>
      <c r="FUD125" s="41"/>
      <c r="FUF125" s="40"/>
      <c r="FUG125" s="47"/>
      <c r="FUH125" s="48"/>
      <c r="FUI125" s="49"/>
      <c r="FUJ125" s="50"/>
      <c r="FUK125" s="50"/>
      <c r="FUL125" s="41"/>
      <c r="FUM125" s="41"/>
      <c r="FUN125" s="49"/>
      <c r="FUO125" s="41"/>
      <c r="FUP125" s="41"/>
      <c r="FUR125" s="40"/>
      <c r="FUS125" s="47"/>
      <c r="FUT125" s="48"/>
      <c r="FUU125" s="49"/>
      <c r="FUV125" s="50"/>
      <c r="FUW125" s="50"/>
      <c r="FUX125" s="41"/>
      <c r="FUY125" s="41"/>
      <c r="FUZ125" s="49"/>
      <c r="FVA125" s="41"/>
      <c r="FVB125" s="41"/>
      <c r="FVD125" s="40"/>
      <c r="FVE125" s="47"/>
      <c r="FVF125" s="48"/>
      <c r="FVG125" s="49"/>
      <c r="FVH125" s="50"/>
      <c r="FVI125" s="50"/>
      <c r="FVJ125" s="41"/>
      <c r="FVK125" s="41"/>
      <c r="FVL125" s="49"/>
      <c r="FVM125" s="41"/>
      <c r="FVN125" s="41"/>
      <c r="FVP125" s="40"/>
      <c r="FVQ125" s="47"/>
      <c r="FVR125" s="48"/>
      <c r="FVS125" s="49"/>
      <c r="FVT125" s="50"/>
      <c r="FVU125" s="50"/>
      <c r="FVV125" s="41"/>
      <c r="FVW125" s="41"/>
      <c r="FVX125" s="49"/>
      <c r="FVY125" s="41"/>
      <c r="FVZ125" s="41"/>
      <c r="FWB125" s="40"/>
      <c r="FWC125" s="47"/>
      <c r="FWD125" s="48"/>
      <c r="FWE125" s="49"/>
      <c r="FWF125" s="50"/>
      <c r="FWG125" s="50"/>
      <c r="FWH125" s="41"/>
      <c r="FWI125" s="41"/>
      <c r="FWJ125" s="49"/>
      <c r="FWK125" s="41"/>
      <c r="FWL125" s="41"/>
      <c r="FWN125" s="40"/>
      <c r="FWO125" s="47"/>
      <c r="FWP125" s="48"/>
      <c r="FWQ125" s="49"/>
      <c r="FWR125" s="50"/>
      <c r="FWS125" s="50"/>
      <c r="FWT125" s="41"/>
      <c r="FWU125" s="41"/>
      <c r="FWV125" s="49"/>
      <c r="FWW125" s="41"/>
      <c r="FWX125" s="41"/>
      <c r="FWZ125" s="40"/>
      <c r="FXA125" s="47"/>
      <c r="FXB125" s="48"/>
      <c r="FXC125" s="49"/>
      <c r="FXD125" s="50"/>
      <c r="FXE125" s="50"/>
      <c r="FXF125" s="41"/>
      <c r="FXG125" s="41"/>
      <c r="FXH125" s="49"/>
      <c r="FXI125" s="41"/>
      <c r="FXJ125" s="41"/>
      <c r="FXL125" s="40"/>
      <c r="FXM125" s="47"/>
      <c r="FXN125" s="48"/>
      <c r="FXO125" s="49"/>
      <c r="FXP125" s="50"/>
      <c r="FXQ125" s="50"/>
      <c r="FXR125" s="41"/>
      <c r="FXS125" s="41"/>
      <c r="FXT125" s="49"/>
      <c r="FXU125" s="41"/>
      <c r="FXV125" s="41"/>
      <c r="FXX125" s="40"/>
      <c r="FXY125" s="47"/>
      <c r="FXZ125" s="48"/>
      <c r="FYA125" s="49"/>
      <c r="FYB125" s="50"/>
      <c r="FYC125" s="50"/>
      <c r="FYD125" s="41"/>
      <c r="FYE125" s="41"/>
      <c r="FYF125" s="49"/>
      <c r="FYG125" s="41"/>
      <c r="FYH125" s="41"/>
      <c r="FYJ125" s="40"/>
      <c r="FYK125" s="47"/>
      <c r="FYL125" s="48"/>
      <c r="FYM125" s="49"/>
      <c r="FYN125" s="50"/>
      <c r="FYO125" s="50"/>
      <c r="FYP125" s="41"/>
      <c r="FYQ125" s="41"/>
      <c r="FYR125" s="49"/>
      <c r="FYS125" s="41"/>
      <c r="FYT125" s="41"/>
      <c r="FYV125" s="40"/>
      <c r="FYW125" s="47"/>
      <c r="FYX125" s="48"/>
      <c r="FYY125" s="49"/>
      <c r="FYZ125" s="50"/>
      <c r="FZA125" s="50"/>
      <c r="FZB125" s="41"/>
      <c r="FZC125" s="41"/>
      <c r="FZD125" s="49"/>
      <c r="FZE125" s="41"/>
      <c r="FZF125" s="41"/>
      <c r="FZH125" s="40"/>
      <c r="FZI125" s="47"/>
      <c r="FZJ125" s="48"/>
      <c r="FZK125" s="49"/>
      <c r="FZL125" s="50"/>
      <c r="FZM125" s="50"/>
      <c r="FZN125" s="41"/>
      <c r="FZO125" s="41"/>
      <c r="FZP125" s="49"/>
      <c r="FZQ125" s="41"/>
      <c r="FZR125" s="41"/>
      <c r="FZT125" s="40"/>
      <c r="FZU125" s="47"/>
      <c r="FZV125" s="48"/>
      <c r="FZW125" s="49"/>
      <c r="FZX125" s="50"/>
      <c r="FZY125" s="50"/>
      <c r="FZZ125" s="41"/>
      <c r="GAA125" s="41"/>
      <c r="GAB125" s="49"/>
      <c r="GAC125" s="41"/>
      <c r="GAD125" s="41"/>
      <c r="GAF125" s="40"/>
      <c r="GAG125" s="47"/>
      <c r="GAH125" s="48"/>
      <c r="GAI125" s="49"/>
      <c r="GAJ125" s="50"/>
      <c r="GAK125" s="50"/>
      <c r="GAL125" s="41"/>
      <c r="GAM125" s="41"/>
      <c r="GAN125" s="49"/>
      <c r="GAO125" s="41"/>
      <c r="GAP125" s="41"/>
      <c r="GAR125" s="40"/>
      <c r="GAS125" s="47"/>
      <c r="GAT125" s="48"/>
      <c r="GAU125" s="49"/>
      <c r="GAV125" s="50"/>
      <c r="GAW125" s="50"/>
      <c r="GAX125" s="41"/>
      <c r="GAY125" s="41"/>
      <c r="GAZ125" s="49"/>
      <c r="GBA125" s="41"/>
      <c r="GBB125" s="41"/>
      <c r="GBD125" s="40"/>
      <c r="GBE125" s="47"/>
      <c r="GBF125" s="48"/>
      <c r="GBG125" s="49"/>
      <c r="GBH125" s="50"/>
      <c r="GBI125" s="50"/>
      <c r="GBJ125" s="41"/>
      <c r="GBK125" s="41"/>
      <c r="GBL125" s="49"/>
      <c r="GBM125" s="41"/>
      <c r="GBN125" s="41"/>
      <c r="GBP125" s="40"/>
      <c r="GBQ125" s="47"/>
      <c r="GBR125" s="48"/>
      <c r="GBS125" s="49"/>
      <c r="GBT125" s="50"/>
      <c r="GBU125" s="50"/>
      <c r="GBV125" s="41"/>
      <c r="GBW125" s="41"/>
      <c r="GBX125" s="49"/>
      <c r="GBY125" s="41"/>
      <c r="GBZ125" s="41"/>
      <c r="GCB125" s="40"/>
      <c r="GCC125" s="47"/>
      <c r="GCD125" s="48"/>
      <c r="GCE125" s="49"/>
      <c r="GCF125" s="50"/>
      <c r="GCG125" s="50"/>
      <c r="GCH125" s="41"/>
      <c r="GCI125" s="41"/>
      <c r="GCJ125" s="49"/>
      <c r="GCK125" s="41"/>
      <c r="GCL125" s="41"/>
      <c r="GCN125" s="40"/>
      <c r="GCO125" s="47"/>
      <c r="GCP125" s="48"/>
      <c r="GCQ125" s="49"/>
      <c r="GCR125" s="50"/>
      <c r="GCS125" s="50"/>
      <c r="GCT125" s="41"/>
      <c r="GCU125" s="41"/>
      <c r="GCV125" s="49"/>
      <c r="GCW125" s="41"/>
      <c r="GCX125" s="41"/>
      <c r="GCZ125" s="40"/>
      <c r="GDA125" s="47"/>
      <c r="GDB125" s="48"/>
      <c r="GDC125" s="49"/>
      <c r="GDD125" s="50"/>
      <c r="GDE125" s="50"/>
      <c r="GDF125" s="41"/>
      <c r="GDG125" s="41"/>
      <c r="GDH125" s="49"/>
      <c r="GDI125" s="41"/>
      <c r="GDJ125" s="41"/>
      <c r="GDL125" s="40"/>
      <c r="GDM125" s="47"/>
      <c r="GDN125" s="48"/>
      <c r="GDO125" s="49"/>
      <c r="GDP125" s="50"/>
      <c r="GDQ125" s="50"/>
      <c r="GDR125" s="41"/>
      <c r="GDS125" s="41"/>
      <c r="GDT125" s="49"/>
      <c r="GDU125" s="41"/>
      <c r="GDV125" s="41"/>
      <c r="GDX125" s="40"/>
      <c r="GDY125" s="47"/>
      <c r="GDZ125" s="48"/>
      <c r="GEA125" s="49"/>
      <c r="GEB125" s="50"/>
      <c r="GEC125" s="50"/>
      <c r="GED125" s="41"/>
      <c r="GEE125" s="41"/>
      <c r="GEF125" s="49"/>
      <c r="GEG125" s="41"/>
      <c r="GEH125" s="41"/>
      <c r="GEJ125" s="40"/>
      <c r="GEK125" s="47"/>
      <c r="GEL125" s="48"/>
      <c r="GEM125" s="49"/>
      <c r="GEN125" s="50"/>
      <c r="GEO125" s="50"/>
      <c r="GEP125" s="41"/>
      <c r="GEQ125" s="41"/>
      <c r="GER125" s="49"/>
      <c r="GES125" s="41"/>
      <c r="GET125" s="41"/>
      <c r="GEV125" s="40"/>
      <c r="GEW125" s="47"/>
      <c r="GEX125" s="48"/>
      <c r="GEY125" s="49"/>
      <c r="GEZ125" s="50"/>
      <c r="GFA125" s="50"/>
      <c r="GFB125" s="41"/>
      <c r="GFC125" s="41"/>
      <c r="GFD125" s="49"/>
      <c r="GFE125" s="41"/>
      <c r="GFF125" s="41"/>
      <c r="GFH125" s="40"/>
      <c r="GFI125" s="47"/>
      <c r="GFJ125" s="48"/>
      <c r="GFK125" s="49"/>
      <c r="GFL125" s="50"/>
      <c r="GFM125" s="50"/>
      <c r="GFN125" s="41"/>
      <c r="GFO125" s="41"/>
      <c r="GFP125" s="49"/>
      <c r="GFQ125" s="41"/>
      <c r="GFR125" s="41"/>
      <c r="GFT125" s="40"/>
      <c r="GFU125" s="47"/>
      <c r="GFV125" s="48"/>
      <c r="GFW125" s="49"/>
      <c r="GFX125" s="50"/>
      <c r="GFY125" s="50"/>
      <c r="GFZ125" s="41"/>
      <c r="GGA125" s="41"/>
      <c r="GGB125" s="49"/>
      <c r="GGC125" s="41"/>
      <c r="GGD125" s="41"/>
      <c r="GGF125" s="40"/>
      <c r="GGG125" s="47"/>
      <c r="GGH125" s="48"/>
      <c r="GGI125" s="49"/>
      <c r="GGJ125" s="50"/>
      <c r="GGK125" s="50"/>
      <c r="GGL125" s="41"/>
      <c r="GGM125" s="41"/>
      <c r="GGN125" s="49"/>
      <c r="GGO125" s="41"/>
      <c r="GGP125" s="41"/>
      <c r="GGR125" s="40"/>
      <c r="GGS125" s="47"/>
      <c r="GGT125" s="48"/>
      <c r="GGU125" s="49"/>
      <c r="GGV125" s="50"/>
      <c r="GGW125" s="50"/>
      <c r="GGX125" s="41"/>
      <c r="GGY125" s="41"/>
      <c r="GGZ125" s="49"/>
      <c r="GHA125" s="41"/>
      <c r="GHB125" s="41"/>
      <c r="GHD125" s="40"/>
      <c r="GHE125" s="47"/>
      <c r="GHF125" s="48"/>
      <c r="GHG125" s="49"/>
      <c r="GHH125" s="50"/>
      <c r="GHI125" s="50"/>
      <c r="GHJ125" s="41"/>
      <c r="GHK125" s="41"/>
      <c r="GHL125" s="49"/>
      <c r="GHM125" s="41"/>
      <c r="GHN125" s="41"/>
      <c r="GHP125" s="40"/>
      <c r="GHQ125" s="47"/>
      <c r="GHR125" s="48"/>
      <c r="GHS125" s="49"/>
      <c r="GHT125" s="50"/>
      <c r="GHU125" s="50"/>
      <c r="GHV125" s="41"/>
      <c r="GHW125" s="41"/>
      <c r="GHX125" s="49"/>
      <c r="GHY125" s="41"/>
      <c r="GHZ125" s="41"/>
      <c r="GIB125" s="40"/>
      <c r="GIC125" s="47"/>
      <c r="GID125" s="48"/>
      <c r="GIE125" s="49"/>
      <c r="GIF125" s="50"/>
      <c r="GIG125" s="50"/>
      <c r="GIH125" s="41"/>
      <c r="GII125" s="41"/>
      <c r="GIJ125" s="49"/>
      <c r="GIK125" s="41"/>
      <c r="GIL125" s="41"/>
      <c r="GIN125" s="40"/>
      <c r="GIO125" s="47"/>
      <c r="GIP125" s="48"/>
      <c r="GIQ125" s="49"/>
      <c r="GIR125" s="50"/>
      <c r="GIS125" s="50"/>
      <c r="GIT125" s="41"/>
      <c r="GIU125" s="41"/>
      <c r="GIV125" s="49"/>
      <c r="GIW125" s="41"/>
      <c r="GIX125" s="41"/>
      <c r="GIZ125" s="40"/>
      <c r="GJA125" s="47"/>
      <c r="GJB125" s="48"/>
      <c r="GJC125" s="49"/>
      <c r="GJD125" s="50"/>
      <c r="GJE125" s="50"/>
      <c r="GJF125" s="41"/>
      <c r="GJG125" s="41"/>
      <c r="GJH125" s="49"/>
      <c r="GJI125" s="41"/>
      <c r="GJJ125" s="41"/>
      <c r="GJL125" s="40"/>
      <c r="GJM125" s="47"/>
      <c r="GJN125" s="48"/>
      <c r="GJO125" s="49"/>
      <c r="GJP125" s="50"/>
      <c r="GJQ125" s="50"/>
      <c r="GJR125" s="41"/>
      <c r="GJS125" s="41"/>
      <c r="GJT125" s="49"/>
      <c r="GJU125" s="41"/>
      <c r="GJV125" s="41"/>
      <c r="GJX125" s="40"/>
      <c r="GJY125" s="47"/>
      <c r="GJZ125" s="48"/>
      <c r="GKA125" s="49"/>
      <c r="GKB125" s="50"/>
      <c r="GKC125" s="50"/>
      <c r="GKD125" s="41"/>
      <c r="GKE125" s="41"/>
      <c r="GKF125" s="49"/>
      <c r="GKG125" s="41"/>
      <c r="GKH125" s="41"/>
      <c r="GKJ125" s="40"/>
      <c r="GKK125" s="47"/>
      <c r="GKL125" s="48"/>
      <c r="GKM125" s="49"/>
      <c r="GKN125" s="50"/>
      <c r="GKO125" s="50"/>
      <c r="GKP125" s="41"/>
      <c r="GKQ125" s="41"/>
      <c r="GKR125" s="49"/>
      <c r="GKS125" s="41"/>
      <c r="GKT125" s="41"/>
      <c r="GKV125" s="40"/>
      <c r="GKW125" s="47"/>
      <c r="GKX125" s="48"/>
      <c r="GKY125" s="49"/>
      <c r="GKZ125" s="50"/>
      <c r="GLA125" s="50"/>
      <c r="GLB125" s="41"/>
      <c r="GLC125" s="41"/>
      <c r="GLD125" s="49"/>
      <c r="GLE125" s="41"/>
      <c r="GLF125" s="41"/>
      <c r="GLH125" s="40"/>
      <c r="GLI125" s="47"/>
      <c r="GLJ125" s="48"/>
      <c r="GLK125" s="49"/>
      <c r="GLL125" s="50"/>
      <c r="GLM125" s="50"/>
      <c r="GLN125" s="41"/>
      <c r="GLO125" s="41"/>
      <c r="GLP125" s="49"/>
      <c r="GLQ125" s="41"/>
      <c r="GLR125" s="41"/>
      <c r="GLT125" s="40"/>
      <c r="GLU125" s="47"/>
      <c r="GLV125" s="48"/>
      <c r="GLW125" s="49"/>
      <c r="GLX125" s="50"/>
      <c r="GLY125" s="50"/>
      <c r="GLZ125" s="41"/>
      <c r="GMA125" s="41"/>
      <c r="GMB125" s="49"/>
      <c r="GMC125" s="41"/>
      <c r="GMD125" s="41"/>
      <c r="GMF125" s="40"/>
      <c r="GMG125" s="47"/>
      <c r="GMH125" s="48"/>
      <c r="GMI125" s="49"/>
      <c r="GMJ125" s="50"/>
      <c r="GMK125" s="50"/>
      <c r="GML125" s="41"/>
      <c r="GMM125" s="41"/>
      <c r="GMN125" s="49"/>
      <c r="GMO125" s="41"/>
      <c r="GMP125" s="41"/>
      <c r="GMR125" s="40"/>
      <c r="GMS125" s="47"/>
      <c r="GMT125" s="48"/>
      <c r="GMU125" s="49"/>
      <c r="GMV125" s="50"/>
      <c r="GMW125" s="50"/>
      <c r="GMX125" s="41"/>
      <c r="GMY125" s="41"/>
      <c r="GMZ125" s="49"/>
      <c r="GNA125" s="41"/>
      <c r="GNB125" s="41"/>
      <c r="GND125" s="40"/>
      <c r="GNE125" s="47"/>
      <c r="GNF125" s="48"/>
      <c r="GNG125" s="49"/>
      <c r="GNH125" s="50"/>
      <c r="GNI125" s="50"/>
      <c r="GNJ125" s="41"/>
      <c r="GNK125" s="41"/>
      <c r="GNL125" s="49"/>
      <c r="GNM125" s="41"/>
      <c r="GNN125" s="41"/>
      <c r="GNP125" s="40"/>
      <c r="GNQ125" s="47"/>
      <c r="GNR125" s="48"/>
      <c r="GNS125" s="49"/>
      <c r="GNT125" s="50"/>
      <c r="GNU125" s="50"/>
      <c r="GNV125" s="41"/>
      <c r="GNW125" s="41"/>
      <c r="GNX125" s="49"/>
      <c r="GNY125" s="41"/>
      <c r="GNZ125" s="41"/>
      <c r="GOB125" s="40"/>
      <c r="GOC125" s="47"/>
      <c r="GOD125" s="48"/>
      <c r="GOE125" s="49"/>
      <c r="GOF125" s="50"/>
      <c r="GOG125" s="50"/>
      <c r="GOH125" s="41"/>
      <c r="GOI125" s="41"/>
      <c r="GOJ125" s="49"/>
      <c r="GOK125" s="41"/>
      <c r="GOL125" s="41"/>
      <c r="GON125" s="40"/>
      <c r="GOO125" s="47"/>
      <c r="GOP125" s="48"/>
      <c r="GOQ125" s="49"/>
      <c r="GOR125" s="50"/>
      <c r="GOS125" s="50"/>
      <c r="GOT125" s="41"/>
      <c r="GOU125" s="41"/>
      <c r="GOV125" s="49"/>
      <c r="GOW125" s="41"/>
      <c r="GOX125" s="41"/>
      <c r="GOZ125" s="40"/>
      <c r="GPA125" s="47"/>
      <c r="GPB125" s="48"/>
      <c r="GPC125" s="49"/>
      <c r="GPD125" s="50"/>
      <c r="GPE125" s="50"/>
      <c r="GPF125" s="41"/>
      <c r="GPG125" s="41"/>
      <c r="GPH125" s="49"/>
      <c r="GPI125" s="41"/>
      <c r="GPJ125" s="41"/>
      <c r="GPL125" s="40"/>
      <c r="GPM125" s="47"/>
      <c r="GPN125" s="48"/>
      <c r="GPO125" s="49"/>
      <c r="GPP125" s="50"/>
      <c r="GPQ125" s="50"/>
      <c r="GPR125" s="41"/>
      <c r="GPS125" s="41"/>
      <c r="GPT125" s="49"/>
      <c r="GPU125" s="41"/>
      <c r="GPV125" s="41"/>
      <c r="GPX125" s="40"/>
      <c r="GPY125" s="47"/>
      <c r="GPZ125" s="48"/>
      <c r="GQA125" s="49"/>
      <c r="GQB125" s="50"/>
      <c r="GQC125" s="50"/>
      <c r="GQD125" s="41"/>
      <c r="GQE125" s="41"/>
      <c r="GQF125" s="49"/>
      <c r="GQG125" s="41"/>
      <c r="GQH125" s="41"/>
      <c r="GQJ125" s="40"/>
      <c r="GQK125" s="47"/>
      <c r="GQL125" s="48"/>
      <c r="GQM125" s="49"/>
      <c r="GQN125" s="50"/>
      <c r="GQO125" s="50"/>
      <c r="GQP125" s="41"/>
      <c r="GQQ125" s="41"/>
      <c r="GQR125" s="49"/>
      <c r="GQS125" s="41"/>
      <c r="GQT125" s="41"/>
      <c r="GQV125" s="40"/>
      <c r="GQW125" s="47"/>
      <c r="GQX125" s="48"/>
      <c r="GQY125" s="49"/>
      <c r="GQZ125" s="50"/>
      <c r="GRA125" s="50"/>
      <c r="GRB125" s="41"/>
      <c r="GRC125" s="41"/>
      <c r="GRD125" s="49"/>
      <c r="GRE125" s="41"/>
      <c r="GRF125" s="41"/>
      <c r="GRH125" s="40"/>
      <c r="GRI125" s="47"/>
      <c r="GRJ125" s="48"/>
      <c r="GRK125" s="49"/>
      <c r="GRL125" s="50"/>
      <c r="GRM125" s="50"/>
      <c r="GRN125" s="41"/>
      <c r="GRO125" s="41"/>
      <c r="GRP125" s="49"/>
      <c r="GRQ125" s="41"/>
      <c r="GRR125" s="41"/>
      <c r="GRT125" s="40"/>
      <c r="GRU125" s="47"/>
      <c r="GRV125" s="48"/>
      <c r="GRW125" s="49"/>
      <c r="GRX125" s="50"/>
      <c r="GRY125" s="50"/>
      <c r="GRZ125" s="41"/>
      <c r="GSA125" s="41"/>
      <c r="GSB125" s="49"/>
      <c r="GSC125" s="41"/>
      <c r="GSD125" s="41"/>
      <c r="GSF125" s="40"/>
      <c r="GSG125" s="47"/>
      <c r="GSH125" s="48"/>
      <c r="GSI125" s="49"/>
      <c r="GSJ125" s="50"/>
      <c r="GSK125" s="50"/>
      <c r="GSL125" s="41"/>
      <c r="GSM125" s="41"/>
      <c r="GSN125" s="49"/>
      <c r="GSO125" s="41"/>
      <c r="GSP125" s="41"/>
      <c r="GSR125" s="40"/>
      <c r="GSS125" s="47"/>
      <c r="GST125" s="48"/>
      <c r="GSU125" s="49"/>
      <c r="GSV125" s="50"/>
      <c r="GSW125" s="50"/>
      <c r="GSX125" s="41"/>
      <c r="GSY125" s="41"/>
      <c r="GSZ125" s="49"/>
      <c r="GTA125" s="41"/>
      <c r="GTB125" s="41"/>
      <c r="GTD125" s="40"/>
      <c r="GTE125" s="47"/>
      <c r="GTF125" s="48"/>
      <c r="GTG125" s="49"/>
      <c r="GTH125" s="50"/>
      <c r="GTI125" s="50"/>
      <c r="GTJ125" s="41"/>
      <c r="GTK125" s="41"/>
      <c r="GTL125" s="49"/>
      <c r="GTM125" s="41"/>
      <c r="GTN125" s="41"/>
      <c r="GTP125" s="40"/>
      <c r="GTQ125" s="47"/>
      <c r="GTR125" s="48"/>
      <c r="GTS125" s="49"/>
      <c r="GTT125" s="50"/>
      <c r="GTU125" s="50"/>
      <c r="GTV125" s="41"/>
      <c r="GTW125" s="41"/>
      <c r="GTX125" s="49"/>
      <c r="GTY125" s="41"/>
      <c r="GTZ125" s="41"/>
      <c r="GUB125" s="40"/>
      <c r="GUC125" s="47"/>
      <c r="GUD125" s="48"/>
      <c r="GUE125" s="49"/>
      <c r="GUF125" s="50"/>
      <c r="GUG125" s="50"/>
      <c r="GUH125" s="41"/>
      <c r="GUI125" s="41"/>
      <c r="GUJ125" s="49"/>
      <c r="GUK125" s="41"/>
      <c r="GUL125" s="41"/>
      <c r="GUN125" s="40"/>
      <c r="GUO125" s="47"/>
      <c r="GUP125" s="48"/>
      <c r="GUQ125" s="49"/>
      <c r="GUR125" s="50"/>
      <c r="GUS125" s="50"/>
      <c r="GUT125" s="41"/>
      <c r="GUU125" s="41"/>
      <c r="GUV125" s="49"/>
      <c r="GUW125" s="41"/>
      <c r="GUX125" s="41"/>
      <c r="GUZ125" s="40"/>
      <c r="GVA125" s="47"/>
      <c r="GVB125" s="48"/>
      <c r="GVC125" s="49"/>
      <c r="GVD125" s="50"/>
      <c r="GVE125" s="50"/>
      <c r="GVF125" s="41"/>
      <c r="GVG125" s="41"/>
      <c r="GVH125" s="49"/>
      <c r="GVI125" s="41"/>
      <c r="GVJ125" s="41"/>
      <c r="GVL125" s="40"/>
      <c r="GVM125" s="47"/>
      <c r="GVN125" s="48"/>
      <c r="GVO125" s="49"/>
      <c r="GVP125" s="50"/>
      <c r="GVQ125" s="50"/>
      <c r="GVR125" s="41"/>
      <c r="GVS125" s="41"/>
      <c r="GVT125" s="49"/>
      <c r="GVU125" s="41"/>
      <c r="GVV125" s="41"/>
      <c r="GVX125" s="40"/>
      <c r="GVY125" s="47"/>
      <c r="GVZ125" s="48"/>
      <c r="GWA125" s="49"/>
      <c r="GWB125" s="50"/>
      <c r="GWC125" s="50"/>
      <c r="GWD125" s="41"/>
      <c r="GWE125" s="41"/>
      <c r="GWF125" s="49"/>
      <c r="GWG125" s="41"/>
      <c r="GWH125" s="41"/>
      <c r="GWJ125" s="40"/>
      <c r="GWK125" s="47"/>
      <c r="GWL125" s="48"/>
      <c r="GWM125" s="49"/>
      <c r="GWN125" s="50"/>
      <c r="GWO125" s="50"/>
      <c r="GWP125" s="41"/>
      <c r="GWQ125" s="41"/>
      <c r="GWR125" s="49"/>
      <c r="GWS125" s="41"/>
      <c r="GWT125" s="41"/>
      <c r="GWV125" s="40"/>
      <c r="GWW125" s="47"/>
      <c r="GWX125" s="48"/>
      <c r="GWY125" s="49"/>
      <c r="GWZ125" s="50"/>
      <c r="GXA125" s="50"/>
      <c r="GXB125" s="41"/>
      <c r="GXC125" s="41"/>
      <c r="GXD125" s="49"/>
      <c r="GXE125" s="41"/>
      <c r="GXF125" s="41"/>
      <c r="GXH125" s="40"/>
      <c r="GXI125" s="47"/>
      <c r="GXJ125" s="48"/>
      <c r="GXK125" s="49"/>
      <c r="GXL125" s="50"/>
      <c r="GXM125" s="50"/>
      <c r="GXN125" s="41"/>
      <c r="GXO125" s="41"/>
      <c r="GXP125" s="49"/>
      <c r="GXQ125" s="41"/>
      <c r="GXR125" s="41"/>
      <c r="GXT125" s="40"/>
      <c r="GXU125" s="47"/>
      <c r="GXV125" s="48"/>
      <c r="GXW125" s="49"/>
      <c r="GXX125" s="50"/>
      <c r="GXY125" s="50"/>
      <c r="GXZ125" s="41"/>
      <c r="GYA125" s="41"/>
      <c r="GYB125" s="49"/>
      <c r="GYC125" s="41"/>
      <c r="GYD125" s="41"/>
      <c r="GYF125" s="40"/>
      <c r="GYG125" s="47"/>
      <c r="GYH125" s="48"/>
      <c r="GYI125" s="49"/>
      <c r="GYJ125" s="50"/>
      <c r="GYK125" s="50"/>
      <c r="GYL125" s="41"/>
      <c r="GYM125" s="41"/>
      <c r="GYN125" s="49"/>
      <c r="GYO125" s="41"/>
      <c r="GYP125" s="41"/>
      <c r="GYR125" s="40"/>
      <c r="GYS125" s="47"/>
      <c r="GYT125" s="48"/>
      <c r="GYU125" s="49"/>
      <c r="GYV125" s="50"/>
      <c r="GYW125" s="50"/>
      <c r="GYX125" s="41"/>
      <c r="GYY125" s="41"/>
      <c r="GYZ125" s="49"/>
      <c r="GZA125" s="41"/>
      <c r="GZB125" s="41"/>
      <c r="GZD125" s="40"/>
      <c r="GZE125" s="47"/>
      <c r="GZF125" s="48"/>
      <c r="GZG125" s="49"/>
      <c r="GZH125" s="50"/>
      <c r="GZI125" s="50"/>
      <c r="GZJ125" s="41"/>
      <c r="GZK125" s="41"/>
      <c r="GZL125" s="49"/>
      <c r="GZM125" s="41"/>
      <c r="GZN125" s="41"/>
      <c r="GZP125" s="40"/>
      <c r="GZQ125" s="47"/>
      <c r="GZR125" s="48"/>
      <c r="GZS125" s="49"/>
      <c r="GZT125" s="50"/>
      <c r="GZU125" s="50"/>
      <c r="GZV125" s="41"/>
      <c r="GZW125" s="41"/>
      <c r="GZX125" s="49"/>
      <c r="GZY125" s="41"/>
      <c r="GZZ125" s="41"/>
      <c r="HAB125" s="40"/>
      <c r="HAC125" s="47"/>
      <c r="HAD125" s="48"/>
      <c r="HAE125" s="49"/>
      <c r="HAF125" s="50"/>
      <c r="HAG125" s="50"/>
      <c r="HAH125" s="41"/>
      <c r="HAI125" s="41"/>
      <c r="HAJ125" s="49"/>
      <c r="HAK125" s="41"/>
      <c r="HAL125" s="41"/>
      <c r="HAN125" s="40"/>
      <c r="HAO125" s="47"/>
      <c r="HAP125" s="48"/>
      <c r="HAQ125" s="49"/>
      <c r="HAR125" s="50"/>
      <c r="HAS125" s="50"/>
      <c r="HAT125" s="41"/>
      <c r="HAU125" s="41"/>
      <c r="HAV125" s="49"/>
      <c r="HAW125" s="41"/>
      <c r="HAX125" s="41"/>
      <c r="HAZ125" s="40"/>
      <c r="HBA125" s="47"/>
      <c r="HBB125" s="48"/>
      <c r="HBC125" s="49"/>
      <c r="HBD125" s="50"/>
      <c r="HBE125" s="50"/>
      <c r="HBF125" s="41"/>
      <c r="HBG125" s="41"/>
      <c r="HBH125" s="49"/>
      <c r="HBI125" s="41"/>
      <c r="HBJ125" s="41"/>
      <c r="HBL125" s="40"/>
      <c r="HBM125" s="47"/>
      <c r="HBN125" s="48"/>
      <c r="HBO125" s="49"/>
      <c r="HBP125" s="50"/>
      <c r="HBQ125" s="50"/>
      <c r="HBR125" s="41"/>
      <c r="HBS125" s="41"/>
      <c r="HBT125" s="49"/>
      <c r="HBU125" s="41"/>
      <c r="HBV125" s="41"/>
      <c r="HBX125" s="40"/>
      <c r="HBY125" s="47"/>
      <c r="HBZ125" s="48"/>
      <c r="HCA125" s="49"/>
      <c r="HCB125" s="50"/>
      <c r="HCC125" s="50"/>
      <c r="HCD125" s="41"/>
      <c r="HCE125" s="41"/>
      <c r="HCF125" s="49"/>
      <c r="HCG125" s="41"/>
      <c r="HCH125" s="41"/>
      <c r="HCJ125" s="40"/>
      <c r="HCK125" s="47"/>
      <c r="HCL125" s="48"/>
      <c r="HCM125" s="49"/>
      <c r="HCN125" s="50"/>
      <c r="HCO125" s="50"/>
      <c r="HCP125" s="41"/>
      <c r="HCQ125" s="41"/>
      <c r="HCR125" s="49"/>
      <c r="HCS125" s="41"/>
      <c r="HCT125" s="41"/>
      <c r="HCV125" s="40"/>
      <c r="HCW125" s="47"/>
      <c r="HCX125" s="48"/>
      <c r="HCY125" s="49"/>
      <c r="HCZ125" s="50"/>
      <c r="HDA125" s="50"/>
      <c r="HDB125" s="41"/>
      <c r="HDC125" s="41"/>
      <c r="HDD125" s="49"/>
      <c r="HDE125" s="41"/>
      <c r="HDF125" s="41"/>
      <c r="HDH125" s="40"/>
      <c r="HDI125" s="47"/>
      <c r="HDJ125" s="48"/>
      <c r="HDK125" s="49"/>
      <c r="HDL125" s="50"/>
      <c r="HDM125" s="50"/>
      <c r="HDN125" s="41"/>
      <c r="HDO125" s="41"/>
      <c r="HDP125" s="49"/>
      <c r="HDQ125" s="41"/>
      <c r="HDR125" s="41"/>
      <c r="HDT125" s="40"/>
      <c r="HDU125" s="47"/>
      <c r="HDV125" s="48"/>
      <c r="HDW125" s="49"/>
      <c r="HDX125" s="50"/>
      <c r="HDY125" s="50"/>
      <c r="HDZ125" s="41"/>
      <c r="HEA125" s="41"/>
      <c r="HEB125" s="49"/>
      <c r="HEC125" s="41"/>
      <c r="HED125" s="41"/>
      <c r="HEF125" s="40"/>
      <c r="HEG125" s="47"/>
      <c r="HEH125" s="48"/>
      <c r="HEI125" s="49"/>
      <c r="HEJ125" s="50"/>
      <c r="HEK125" s="50"/>
      <c r="HEL125" s="41"/>
      <c r="HEM125" s="41"/>
      <c r="HEN125" s="49"/>
      <c r="HEO125" s="41"/>
      <c r="HEP125" s="41"/>
      <c r="HER125" s="40"/>
      <c r="HES125" s="47"/>
      <c r="HET125" s="48"/>
      <c r="HEU125" s="49"/>
      <c r="HEV125" s="50"/>
      <c r="HEW125" s="50"/>
      <c r="HEX125" s="41"/>
      <c r="HEY125" s="41"/>
      <c r="HEZ125" s="49"/>
      <c r="HFA125" s="41"/>
      <c r="HFB125" s="41"/>
      <c r="HFD125" s="40"/>
      <c r="HFE125" s="47"/>
      <c r="HFF125" s="48"/>
      <c r="HFG125" s="49"/>
      <c r="HFH125" s="50"/>
      <c r="HFI125" s="50"/>
      <c r="HFJ125" s="41"/>
      <c r="HFK125" s="41"/>
      <c r="HFL125" s="49"/>
      <c r="HFM125" s="41"/>
      <c r="HFN125" s="41"/>
      <c r="HFP125" s="40"/>
      <c r="HFQ125" s="47"/>
      <c r="HFR125" s="48"/>
      <c r="HFS125" s="49"/>
      <c r="HFT125" s="50"/>
      <c r="HFU125" s="50"/>
      <c r="HFV125" s="41"/>
      <c r="HFW125" s="41"/>
      <c r="HFX125" s="49"/>
      <c r="HFY125" s="41"/>
      <c r="HFZ125" s="41"/>
      <c r="HGB125" s="40"/>
      <c r="HGC125" s="47"/>
      <c r="HGD125" s="48"/>
      <c r="HGE125" s="49"/>
      <c r="HGF125" s="50"/>
      <c r="HGG125" s="50"/>
      <c r="HGH125" s="41"/>
      <c r="HGI125" s="41"/>
      <c r="HGJ125" s="49"/>
      <c r="HGK125" s="41"/>
      <c r="HGL125" s="41"/>
      <c r="HGN125" s="40"/>
      <c r="HGO125" s="47"/>
      <c r="HGP125" s="48"/>
      <c r="HGQ125" s="49"/>
      <c r="HGR125" s="50"/>
      <c r="HGS125" s="50"/>
      <c r="HGT125" s="41"/>
      <c r="HGU125" s="41"/>
      <c r="HGV125" s="49"/>
      <c r="HGW125" s="41"/>
      <c r="HGX125" s="41"/>
      <c r="HGZ125" s="40"/>
      <c r="HHA125" s="47"/>
      <c r="HHB125" s="48"/>
      <c r="HHC125" s="49"/>
      <c r="HHD125" s="50"/>
      <c r="HHE125" s="50"/>
      <c r="HHF125" s="41"/>
      <c r="HHG125" s="41"/>
      <c r="HHH125" s="49"/>
      <c r="HHI125" s="41"/>
      <c r="HHJ125" s="41"/>
      <c r="HHL125" s="40"/>
      <c r="HHM125" s="47"/>
      <c r="HHN125" s="48"/>
      <c r="HHO125" s="49"/>
      <c r="HHP125" s="50"/>
      <c r="HHQ125" s="50"/>
      <c r="HHR125" s="41"/>
      <c r="HHS125" s="41"/>
      <c r="HHT125" s="49"/>
      <c r="HHU125" s="41"/>
      <c r="HHV125" s="41"/>
      <c r="HHX125" s="40"/>
      <c r="HHY125" s="47"/>
      <c r="HHZ125" s="48"/>
      <c r="HIA125" s="49"/>
      <c r="HIB125" s="50"/>
      <c r="HIC125" s="50"/>
      <c r="HID125" s="41"/>
      <c r="HIE125" s="41"/>
      <c r="HIF125" s="49"/>
      <c r="HIG125" s="41"/>
      <c r="HIH125" s="41"/>
      <c r="HIJ125" s="40"/>
      <c r="HIK125" s="47"/>
      <c r="HIL125" s="48"/>
      <c r="HIM125" s="49"/>
      <c r="HIN125" s="50"/>
      <c r="HIO125" s="50"/>
      <c r="HIP125" s="41"/>
      <c r="HIQ125" s="41"/>
      <c r="HIR125" s="49"/>
      <c r="HIS125" s="41"/>
      <c r="HIT125" s="41"/>
      <c r="HIV125" s="40"/>
      <c r="HIW125" s="47"/>
      <c r="HIX125" s="48"/>
      <c r="HIY125" s="49"/>
      <c r="HIZ125" s="50"/>
      <c r="HJA125" s="50"/>
      <c r="HJB125" s="41"/>
      <c r="HJC125" s="41"/>
      <c r="HJD125" s="49"/>
      <c r="HJE125" s="41"/>
      <c r="HJF125" s="41"/>
      <c r="HJH125" s="40"/>
      <c r="HJI125" s="47"/>
      <c r="HJJ125" s="48"/>
      <c r="HJK125" s="49"/>
      <c r="HJL125" s="50"/>
      <c r="HJM125" s="50"/>
      <c r="HJN125" s="41"/>
      <c r="HJO125" s="41"/>
      <c r="HJP125" s="49"/>
      <c r="HJQ125" s="41"/>
      <c r="HJR125" s="41"/>
      <c r="HJT125" s="40"/>
      <c r="HJU125" s="47"/>
      <c r="HJV125" s="48"/>
      <c r="HJW125" s="49"/>
      <c r="HJX125" s="50"/>
      <c r="HJY125" s="50"/>
      <c r="HJZ125" s="41"/>
      <c r="HKA125" s="41"/>
      <c r="HKB125" s="49"/>
      <c r="HKC125" s="41"/>
      <c r="HKD125" s="41"/>
      <c r="HKF125" s="40"/>
      <c r="HKG125" s="47"/>
      <c r="HKH125" s="48"/>
      <c r="HKI125" s="49"/>
      <c r="HKJ125" s="50"/>
      <c r="HKK125" s="50"/>
      <c r="HKL125" s="41"/>
      <c r="HKM125" s="41"/>
      <c r="HKN125" s="49"/>
      <c r="HKO125" s="41"/>
      <c r="HKP125" s="41"/>
      <c r="HKR125" s="40"/>
      <c r="HKS125" s="47"/>
      <c r="HKT125" s="48"/>
      <c r="HKU125" s="49"/>
      <c r="HKV125" s="50"/>
      <c r="HKW125" s="50"/>
      <c r="HKX125" s="41"/>
      <c r="HKY125" s="41"/>
      <c r="HKZ125" s="49"/>
      <c r="HLA125" s="41"/>
      <c r="HLB125" s="41"/>
      <c r="HLD125" s="40"/>
      <c r="HLE125" s="47"/>
      <c r="HLF125" s="48"/>
      <c r="HLG125" s="49"/>
      <c r="HLH125" s="50"/>
      <c r="HLI125" s="50"/>
      <c r="HLJ125" s="41"/>
      <c r="HLK125" s="41"/>
      <c r="HLL125" s="49"/>
      <c r="HLM125" s="41"/>
      <c r="HLN125" s="41"/>
      <c r="HLP125" s="40"/>
      <c r="HLQ125" s="47"/>
      <c r="HLR125" s="48"/>
      <c r="HLS125" s="49"/>
      <c r="HLT125" s="50"/>
      <c r="HLU125" s="50"/>
      <c r="HLV125" s="41"/>
      <c r="HLW125" s="41"/>
      <c r="HLX125" s="49"/>
      <c r="HLY125" s="41"/>
      <c r="HLZ125" s="41"/>
      <c r="HMB125" s="40"/>
      <c r="HMC125" s="47"/>
      <c r="HMD125" s="48"/>
      <c r="HME125" s="49"/>
      <c r="HMF125" s="50"/>
      <c r="HMG125" s="50"/>
      <c r="HMH125" s="41"/>
      <c r="HMI125" s="41"/>
      <c r="HMJ125" s="49"/>
      <c r="HMK125" s="41"/>
      <c r="HML125" s="41"/>
      <c r="HMN125" s="40"/>
      <c r="HMO125" s="47"/>
      <c r="HMP125" s="48"/>
      <c r="HMQ125" s="49"/>
      <c r="HMR125" s="50"/>
      <c r="HMS125" s="50"/>
      <c r="HMT125" s="41"/>
      <c r="HMU125" s="41"/>
      <c r="HMV125" s="49"/>
      <c r="HMW125" s="41"/>
      <c r="HMX125" s="41"/>
      <c r="HMZ125" s="40"/>
      <c r="HNA125" s="47"/>
      <c r="HNB125" s="48"/>
      <c r="HNC125" s="49"/>
      <c r="HND125" s="50"/>
      <c r="HNE125" s="50"/>
      <c r="HNF125" s="41"/>
      <c r="HNG125" s="41"/>
      <c r="HNH125" s="49"/>
      <c r="HNI125" s="41"/>
      <c r="HNJ125" s="41"/>
      <c r="HNL125" s="40"/>
      <c r="HNM125" s="47"/>
      <c r="HNN125" s="48"/>
      <c r="HNO125" s="49"/>
      <c r="HNP125" s="50"/>
      <c r="HNQ125" s="50"/>
      <c r="HNR125" s="41"/>
      <c r="HNS125" s="41"/>
      <c r="HNT125" s="49"/>
      <c r="HNU125" s="41"/>
      <c r="HNV125" s="41"/>
      <c r="HNX125" s="40"/>
      <c r="HNY125" s="47"/>
      <c r="HNZ125" s="48"/>
      <c r="HOA125" s="49"/>
      <c r="HOB125" s="50"/>
      <c r="HOC125" s="50"/>
      <c r="HOD125" s="41"/>
      <c r="HOE125" s="41"/>
      <c r="HOF125" s="49"/>
      <c r="HOG125" s="41"/>
      <c r="HOH125" s="41"/>
      <c r="HOJ125" s="40"/>
      <c r="HOK125" s="47"/>
      <c r="HOL125" s="48"/>
      <c r="HOM125" s="49"/>
      <c r="HON125" s="50"/>
      <c r="HOO125" s="50"/>
      <c r="HOP125" s="41"/>
      <c r="HOQ125" s="41"/>
      <c r="HOR125" s="49"/>
      <c r="HOS125" s="41"/>
      <c r="HOT125" s="41"/>
      <c r="HOV125" s="40"/>
      <c r="HOW125" s="47"/>
      <c r="HOX125" s="48"/>
      <c r="HOY125" s="49"/>
      <c r="HOZ125" s="50"/>
      <c r="HPA125" s="50"/>
      <c r="HPB125" s="41"/>
      <c r="HPC125" s="41"/>
      <c r="HPD125" s="49"/>
      <c r="HPE125" s="41"/>
      <c r="HPF125" s="41"/>
      <c r="HPH125" s="40"/>
      <c r="HPI125" s="47"/>
      <c r="HPJ125" s="48"/>
      <c r="HPK125" s="49"/>
      <c r="HPL125" s="50"/>
      <c r="HPM125" s="50"/>
      <c r="HPN125" s="41"/>
      <c r="HPO125" s="41"/>
      <c r="HPP125" s="49"/>
      <c r="HPQ125" s="41"/>
      <c r="HPR125" s="41"/>
      <c r="HPT125" s="40"/>
      <c r="HPU125" s="47"/>
      <c r="HPV125" s="48"/>
      <c r="HPW125" s="49"/>
      <c r="HPX125" s="50"/>
      <c r="HPY125" s="50"/>
      <c r="HPZ125" s="41"/>
      <c r="HQA125" s="41"/>
      <c r="HQB125" s="49"/>
      <c r="HQC125" s="41"/>
      <c r="HQD125" s="41"/>
      <c r="HQF125" s="40"/>
      <c r="HQG125" s="47"/>
      <c r="HQH125" s="48"/>
      <c r="HQI125" s="49"/>
      <c r="HQJ125" s="50"/>
      <c r="HQK125" s="50"/>
      <c r="HQL125" s="41"/>
      <c r="HQM125" s="41"/>
      <c r="HQN125" s="49"/>
      <c r="HQO125" s="41"/>
      <c r="HQP125" s="41"/>
      <c r="HQR125" s="40"/>
      <c r="HQS125" s="47"/>
      <c r="HQT125" s="48"/>
      <c r="HQU125" s="49"/>
      <c r="HQV125" s="50"/>
      <c r="HQW125" s="50"/>
      <c r="HQX125" s="41"/>
      <c r="HQY125" s="41"/>
      <c r="HQZ125" s="49"/>
      <c r="HRA125" s="41"/>
      <c r="HRB125" s="41"/>
      <c r="HRD125" s="40"/>
      <c r="HRE125" s="47"/>
      <c r="HRF125" s="48"/>
      <c r="HRG125" s="49"/>
      <c r="HRH125" s="50"/>
      <c r="HRI125" s="50"/>
      <c r="HRJ125" s="41"/>
      <c r="HRK125" s="41"/>
      <c r="HRL125" s="49"/>
      <c r="HRM125" s="41"/>
      <c r="HRN125" s="41"/>
      <c r="HRP125" s="40"/>
      <c r="HRQ125" s="47"/>
      <c r="HRR125" s="48"/>
      <c r="HRS125" s="49"/>
      <c r="HRT125" s="50"/>
      <c r="HRU125" s="50"/>
      <c r="HRV125" s="41"/>
      <c r="HRW125" s="41"/>
      <c r="HRX125" s="49"/>
      <c r="HRY125" s="41"/>
      <c r="HRZ125" s="41"/>
      <c r="HSB125" s="40"/>
      <c r="HSC125" s="47"/>
      <c r="HSD125" s="48"/>
      <c r="HSE125" s="49"/>
      <c r="HSF125" s="50"/>
      <c r="HSG125" s="50"/>
      <c r="HSH125" s="41"/>
      <c r="HSI125" s="41"/>
      <c r="HSJ125" s="49"/>
      <c r="HSK125" s="41"/>
      <c r="HSL125" s="41"/>
      <c r="HSN125" s="40"/>
      <c r="HSO125" s="47"/>
      <c r="HSP125" s="48"/>
      <c r="HSQ125" s="49"/>
      <c r="HSR125" s="50"/>
      <c r="HSS125" s="50"/>
      <c r="HST125" s="41"/>
      <c r="HSU125" s="41"/>
      <c r="HSV125" s="49"/>
      <c r="HSW125" s="41"/>
      <c r="HSX125" s="41"/>
      <c r="HSZ125" s="40"/>
      <c r="HTA125" s="47"/>
      <c r="HTB125" s="48"/>
      <c r="HTC125" s="49"/>
      <c r="HTD125" s="50"/>
      <c r="HTE125" s="50"/>
      <c r="HTF125" s="41"/>
      <c r="HTG125" s="41"/>
      <c r="HTH125" s="49"/>
      <c r="HTI125" s="41"/>
      <c r="HTJ125" s="41"/>
      <c r="HTL125" s="40"/>
      <c r="HTM125" s="47"/>
      <c r="HTN125" s="48"/>
      <c r="HTO125" s="49"/>
      <c r="HTP125" s="50"/>
      <c r="HTQ125" s="50"/>
      <c r="HTR125" s="41"/>
      <c r="HTS125" s="41"/>
      <c r="HTT125" s="49"/>
      <c r="HTU125" s="41"/>
      <c r="HTV125" s="41"/>
      <c r="HTX125" s="40"/>
      <c r="HTY125" s="47"/>
      <c r="HTZ125" s="48"/>
      <c r="HUA125" s="49"/>
      <c r="HUB125" s="50"/>
      <c r="HUC125" s="50"/>
      <c r="HUD125" s="41"/>
      <c r="HUE125" s="41"/>
      <c r="HUF125" s="49"/>
      <c r="HUG125" s="41"/>
      <c r="HUH125" s="41"/>
      <c r="HUJ125" s="40"/>
      <c r="HUK125" s="47"/>
      <c r="HUL125" s="48"/>
      <c r="HUM125" s="49"/>
      <c r="HUN125" s="50"/>
      <c r="HUO125" s="50"/>
      <c r="HUP125" s="41"/>
      <c r="HUQ125" s="41"/>
      <c r="HUR125" s="49"/>
      <c r="HUS125" s="41"/>
      <c r="HUT125" s="41"/>
      <c r="HUV125" s="40"/>
      <c r="HUW125" s="47"/>
      <c r="HUX125" s="48"/>
      <c r="HUY125" s="49"/>
      <c r="HUZ125" s="50"/>
      <c r="HVA125" s="50"/>
      <c r="HVB125" s="41"/>
      <c r="HVC125" s="41"/>
      <c r="HVD125" s="49"/>
      <c r="HVE125" s="41"/>
      <c r="HVF125" s="41"/>
      <c r="HVH125" s="40"/>
      <c r="HVI125" s="47"/>
      <c r="HVJ125" s="48"/>
      <c r="HVK125" s="49"/>
      <c r="HVL125" s="50"/>
      <c r="HVM125" s="50"/>
      <c r="HVN125" s="41"/>
      <c r="HVO125" s="41"/>
      <c r="HVP125" s="49"/>
      <c r="HVQ125" s="41"/>
      <c r="HVR125" s="41"/>
      <c r="HVT125" s="40"/>
      <c r="HVU125" s="47"/>
      <c r="HVV125" s="48"/>
      <c r="HVW125" s="49"/>
      <c r="HVX125" s="50"/>
      <c r="HVY125" s="50"/>
      <c r="HVZ125" s="41"/>
      <c r="HWA125" s="41"/>
      <c r="HWB125" s="49"/>
      <c r="HWC125" s="41"/>
      <c r="HWD125" s="41"/>
      <c r="HWF125" s="40"/>
      <c r="HWG125" s="47"/>
      <c r="HWH125" s="48"/>
      <c r="HWI125" s="49"/>
      <c r="HWJ125" s="50"/>
      <c r="HWK125" s="50"/>
      <c r="HWL125" s="41"/>
      <c r="HWM125" s="41"/>
      <c r="HWN125" s="49"/>
      <c r="HWO125" s="41"/>
      <c r="HWP125" s="41"/>
      <c r="HWR125" s="40"/>
      <c r="HWS125" s="47"/>
      <c r="HWT125" s="48"/>
      <c r="HWU125" s="49"/>
      <c r="HWV125" s="50"/>
      <c r="HWW125" s="50"/>
      <c r="HWX125" s="41"/>
      <c r="HWY125" s="41"/>
      <c r="HWZ125" s="49"/>
      <c r="HXA125" s="41"/>
      <c r="HXB125" s="41"/>
      <c r="HXD125" s="40"/>
      <c r="HXE125" s="47"/>
      <c r="HXF125" s="48"/>
      <c r="HXG125" s="49"/>
      <c r="HXH125" s="50"/>
      <c r="HXI125" s="50"/>
      <c r="HXJ125" s="41"/>
      <c r="HXK125" s="41"/>
      <c r="HXL125" s="49"/>
      <c r="HXM125" s="41"/>
      <c r="HXN125" s="41"/>
      <c r="HXP125" s="40"/>
      <c r="HXQ125" s="47"/>
      <c r="HXR125" s="48"/>
      <c r="HXS125" s="49"/>
      <c r="HXT125" s="50"/>
      <c r="HXU125" s="50"/>
      <c r="HXV125" s="41"/>
      <c r="HXW125" s="41"/>
      <c r="HXX125" s="49"/>
      <c r="HXY125" s="41"/>
      <c r="HXZ125" s="41"/>
      <c r="HYB125" s="40"/>
      <c r="HYC125" s="47"/>
      <c r="HYD125" s="48"/>
      <c r="HYE125" s="49"/>
      <c r="HYF125" s="50"/>
      <c r="HYG125" s="50"/>
      <c r="HYH125" s="41"/>
      <c r="HYI125" s="41"/>
      <c r="HYJ125" s="49"/>
      <c r="HYK125" s="41"/>
      <c r="HYL125" s="41"/>
      <c r="HYN125" s="40"/>
      <c r="HYO125" s="47"/>
      <c r="HYP125" s="48"/>
      <c r="HYQ125" s="49"/>
      <c r="HYR125" s="50"/>
      <c r="HYS125" s="50"/>
      <c r="HYT125" s="41"/>
      <c r="HYU125" s="41"/>
      <c r="HYV125" s="49"/>
      <c r="HYW125" s="41"/>
      <c r="HYX125" s="41"/>
      <c r="HYZ125" s="40"/>
      <c r="HZA125" s="47"/>
      <c r="HZB125" s="48"/>
      <c r="HZC125" s="49"/>
      <c r="HZD125" s="50"/>
      <c r="HZE125" s="50"/>
      <c r="HZF125" s="41"/>
      <c r="HZG125" s="41"/>
      <c r="HZH125" s="49"/>
      <c r="HZI125" s="41"/>
      <c r="HZJ125" s="41"/>
      <c r="HZL125" s="40"/>
      <c r="HZM125" s="47"/>
      <c r="HZN125" s="48"/>
      <c r="HZO125" s="49"/>
      <c r="HZP125" s="50"/>
      <c r="HZQ125" s="50"/>
      <c r="HZR125" s="41"/>
      <c r="HZS125" s="41"/>
      <c r="HZT125" s="49"/>
      <c r="HZU125" s="41"/>
      <c r="HZV125" s="41"/>
      <c r="HZX125" s="40"/>
      <c r="HZY125" s="47"/>
      <c r="HZZ125" s="48"/>
      <c r="IAA125" s="49"/>
      <c r="IAB125" s="50"/>
      <c r="IAC125" s="50"/>
      <c r="IAD125" s="41"/>
      <c r="IAE125" s="41"/>
      <c r="IAF125" s="49"/>
      <c r="IAG125" s="41"/>
      <c r="IAH125" s="41"/>
      <c r="IAJ125" s="40"/>
      <c r="IAK125" s="47"/>
      <c r="IAL125" s="48"/>
      <c r="IAM125" s="49"/>
      <c r="IAN125" s="50"/>
      <c r="IAO125" s="50"/>
      <c r="IAP125" s="41"/>
      <c r="IAQ125" s="41"/>
      <c r="IAR125" s="49"/>
      <c r="IAS125" s="41"/>
      <c r="IAT125" s="41"/>
      <c r="IAV125" s="40"/>
      <c r="IAW125" s="47"/>
      <c r="IAX125" s="48"/>
      <c r="IAY125" s="49"/>
      <c r="IAZ125" s="50"/>
      <c r="IBA125" s="50"/>
      <c r="IBB125" s="41"/>
      <c r="IBC125" s="41"/>
      <c r="IBD125" s="49"/>
      <c r="IBE125" s="41"/>
      <c r="IBF125" s="41"/>
      <c r="IBH125" s="40"/>
      <c r="IBI125" s="47"/>
      <c r="IBJ125" s="48"/>
      <c r="IBK125" s="49"/>
      <c r="IBL125" s="50"/>
      <c r="IBM125" s="50"/>
      <c r="IBN125" s="41"/>
      <c r="IBO125" s="41"/>
      <c r="IBP125" s="49"/>
      <c r="IBQ125" s="41"/>
      <c r="IBR125" s="41"/>
      <c r="IBT125" s="40"/>
      <c r="IBU125" s="47"/>
      <c r="IBV125" s="48"/>
      <c r="IBW125" s="49"/>
      <c r="IBX125" s="50"/>
      <c r="IBY125" s="50"/>
      <c r="IBZ125" s="41"/>
      <c r="ICA125" s="41"/>
      <c r="ICB125" s="49"/>
      <c r="ICC125" s="41"/>
      <c r="ICD125" s="41"/>
      <c r="ICF125" s="40"/>
      <c r="ICG125" s="47"/>
      <c r="ICH125" s="48"/>
      <c r="ICI125" s="49"/>
      <c r="ICJ125" s="50"/>
      <c r="ICK125" s="50"/>
      <c r="ICL125" s="41"/>
      <c r="ICM125" s="41"/>
      <c r="ICN125" s="49"/>
      <c r="ICO125" s="41"/>
      <c r="ICP125" s="41"/>
      <c r="ICR125" s="40"/>
      <c r="ICS125" s="47"/>
      <c r="ICT125" s="48"/>
      <c r="ICU125" s="49"/>
      <c r="ICV125" s="50"/>
      <c r="ICW125" s="50"/>
      <c r="ICX125" s="41"/>
      <c r="ICY125" s="41"/>
      <c r="ICZ125" s="49"/>
      <c r="IDA125" s="41"/>
      <c r="IDB125" s="41"/>
      <c r="IDD125" s="40"/>
      <c r="IDE125" s="47"/>
      <c r="IDF125" s="48"/>
      <c r="IDG125" s="49"/>
      <c r="IDH125" s="50"/>
      <c r="IDI125" s="50"/>
      <c r="IDJ125" s="41"/>
      <c r="IDK125" s="41"/>
      <c r="IDL125" s="49"/>
      <c r="IDM125" s="41"/>
      <c r="IDN125" s="41"/>
      <c r="IDP125" s="40"/>
      <c r="IDQ125" s="47"/>
      <c r="IDR125" s="48"/>
      <c r="IDS125" s="49"/>
      <c r="IDT125" s="50"/>
      <c r="IDU125" s="50"/>
      <c r="IDV125" s="41"/>
      <c r="IDW125" s="41"/>
      <c r="IDX125" s="49"/>
      <c r="IDY125" s="41"/>
      <c r="IDZ125" s="41"/>
      <c r="IEB125" s="40"/>
      <c r="IEC125" s="47"/>
      <c r="IED125" s="48"/>
      <c r="IEE125" s="49"/>
      <c r="IEF125" s="50"/>
      <c r="IEG125" s="50"/>
      <c r="IEH125" s="41"/>
      <c r="IEI125" s="41"/>
      <c r="IEJ125" s="49"/>
      <c r="IEK125" s="41"/>
      <c r="IEL125" s="41"/>
      <c r="IEN125" s="40"/>
      <c r="IEO125" s="47"/>
      <c r="IEP125" s="48"/>
      <c r="IEQ125" s="49"/>
      <c r="IER125" s="50"/>
      <c r="IES125" s="50"/>
      <c r="IET125" s="41"/>
      <c r="IEU125" s="41"/>
      <c r="IEV125" s="49"/>
      <c r="IEW125" s="41"/>
      <c r="IEX125" s="41"/>
      <c r="IEZ125" s="40"/>
      <c r="IFA125" s="47"/>
      <c r="IFB125" s="48"/>
      <c r="IFC125" s="49"/>
      <c r="IFD125" s="50"/>
      <c r="IFE125" s="50"/>
      <c r="IFF125" s="41"/>
      <c r="IFG125" s="41"/>
      <c r="IFH125" s="49"/>
      <c r="IFI125" s="41"/>
      <c r="IFJ125" s="41"/>
      <c r="IFL125" s="40"/>
      <c r="IFM125" s="47"/>
      <c r="IFN125" s="48"/>
      <c r="IFO125" s="49"/>
      <c r="IFP125" s="50"/>
      <c r="IFQ125" s="50"/>
      <c r="IFR125" s="41"/>
      <c r="IFS125" s="41"/>
      <c r="IFT125" s="49"/>
      <c r="IFU125" s="41"/>
      <c r="IFV125" s="41"/>
      <c r="IFX125" s="40"/>
      <c r="IFY125" s="47"/>
      <c r="IFZ125" s="48"/>
      <c r="IGA125" s="49"/>
      <c r="IGB125" s="50"/>
      <c r="IGC125" s="50"/>
      <c r="IGD125" s="41"/>
      <c r="IGE125" s="41"/>
      <c r="IGF125" s="49"/>
      <c r="IGG125" s="41"/>
      <c r="IGH125" s="41"/>
      <c r="IGJ125" s="40"/>
      <c r="IGK125" s="47"/>
      <c r="IGL125" s="48"/>
      <c r="IGM125" s="49"/>
      <c r="IGN125" s="50"/>
      <c r="IGO125" s="50"/>
      <c r="IGP125" s="41"/>
      <c r="IGQ125" s="41"/>
      <c r="IGR125" s="49"/>
      <c r="IGS125" s="41"/>
      <c r="IGT125" s="41"/>
      <c r="IGV125" s="40"/>
      <c r="IGW125" s="47"/>
      <c r="IGX125" s="48"/>
      <c r="IGY125" s="49"/>
      <c r="IGZ125" s="50"/>
      <c r="IHA125" s="50"/>
      <c r="IHB125" s="41"/>
      <c r="IHC125" s="41"/>
      <c r="IHD125" s="49"/>
      <c r="IHE125" s="41"/>
      <c r="IHF125" s="41"/>
      <c r="IHH125" s="40"/>
      <c r="IHI125" s="47"/>
      <c r="IHJ125" s="48"/>
      <c r="IHK125" s="49"/>
      <c r="IHL125" s="50"/>
      <c r="IHM125" s="50"/>
      <c r="IHN125" s="41"/>
      <c r="IHO125" s="41"/>
      <c r="IHP125" s="49"/>
      <c r="IHQ125" s="41"/>
      <c r="IHR125" s="41"/>
      <c r="IHT125" s="40"/>
      <c r="IHU125" s="47"/>
      <c r="IHV125" s="48"/>
      <c r="IHW125" s="49"/>
      <c r="IHX125" s="50"/>
      <c r="IHY125" s="50"/>
      <c r="IHZ125" s="41"/>
      <c r="IIA125" s="41"/>
      <c r="IIB125" s="49"/>
      <c r="IIC125" s="41"/>
      <c r="IID125" s="41"/>
      <c r="IIF125" s="40"/>
      <c r="IIG125" s="47"/>
      <c r="IIH125" s="48"/>
      <c r="III125" s="49"/>
      <c r="IIJ125" s="50"/>
      <c r="IIK125" s="50"/>
      <c r="IIL125" s="41"/>
      <c r="IIM125" s="41"/>
      <c r="IIN125" s="49"/>
      <c r="IIO125" s="41"/>
      <c r="IIP125" s="41"/>
      <c r="IIR125" s="40"/>
      <c r="IIS125" s="47"/>
      <c r="IIT125" s="48"/>
      <c r="IIU125" s="49"/>
      <c r="IIV125" s="50"/>
      <c r="IIW125" s="50"/>
      <c r="IIX125" s="41"/>
      <c r="IIY125" s="41"/>
      <c r="IIZ125" s="49"/>
      <c r="IJA125" s="41"/>
      <c r="IJB125" s="41"/>
      <c r="IJD125" s="40"/>
      <c r="IJE125" s="47"/>
      <c r="IJF125" s="48"/>
      <c r="IJG125" s="49"/>
      <c r="IJH125" s="50"/>
      <c r="IJI125" s="50"/>
      <c r="IJJ125" s="41"/>
      <c r="IJK125" s="41"/>
      <c r="IJL125" s="49"/>
      <c r="IJM125" s="41"/>
      <c r="IJN125" s="41"/>
      <c r="IJP125" s="40"/>
      <c r="IJQ125" s="47"/>
      <c r="IJR125" s="48"/>
      <c r="IJS125" s="49"/>
      <c r="IJT125" s="50"/>
      <c r="IJU125" s="50"/>
      <c r="IJV125" s="41"/>
      <c r="IJW125" s="41"/>
      <c r="IJX125" s="49"/>
      <c r="IJY125" s="41"/>
      <c r="IJZ125" s="41"/>
      <c r="IKB125" s="40"/>
      <c r="IKC125" s="47"/>
      <c r="IKD125" s="48"/>
      <c r="IKE125" s="49"/>
      <c r="IKF125" s="50"/>
      <c r="IKG125" s="50"/>
      <c r="IKH125" s="41"/>
      <c r="IKI125" s="41"/>
      <c r="IKJ125" s="49"/>
      <c r="IKK125" s="41"/>
      <c r="IKL125" s="41"/>
      <c r="IKN125" s="40"/>
      <c r="IKO125" s="47"/>
      <c r="IKP125" s="48"/>
      <c r="IKQ125" s="49"/>
      <c r="IKR125" s="50"/>
      <c r="IKS125" s="50"/>
      <c r="IKT125" s="41"/>
      <c r="IKU125" s="41"/>
      <c r="IKV125" s="49"/>
      <c r="IKW125" s="41"/>
      <c r="IKX125" s="41"/>
      <c r="IKZ125" s="40"/>
      <c r="ILA125" s="47"/>
      <c r="ILB125" s="48"/>
      <c r="ILC125" s="49"/>
      <c r="ILD125" s="50"/>
      <c r="ILE125" s="50"/>
      <c r="ILF125" s="41"/>
      <c r="ILG125" s="41"/>
      <c r="ILH125" s="49"/>
      <c r="ILI125" s="41"/>
      <c r="ILJ125" s="41"/>
      <c r="ILL125" s="40"/>
      <c r="ILM125" s="47"/>
      <c r="ILN125" s="48"/>
      <c r="ILO125" s="49"/>
      <c r="ILP125" s="50"/>
      <c r="ILQ125" s="50"/>
      <c r="ILR125" s="41"/>
      <c r="ILS125" s="41"/>
      <c r="ILT125" s="49"/>
      <c r="ILU125" s="41"/>
      <c r="ILV125" s="41"/>
      <c r="ILX125" s="40"/>
      <c r="ILY125" s="47"/>
      <c r="ILZ125" s="48"/>
      <c r="IMA125" s="49"/>
      <c r="IMB125" s="50"/>
      <c r="IMC125" s="50"/>
      <c r="IMD125" s="41"/>
      <c r="IME125" s="41"/>
      <c r="IMF125" s="49"/>
      <c r="IMG125" s="41"/>
      <c r="IMH125" s="41"/>
      <c r="IMJ125" s="40"/>
      <c r="IMK125" s="47"/>
      <c r="IML125" s="48"/>
      <c r="IMM125" s="49"/>
      <c r="IMN125" s="50"/>
      <c r="IMO125" s="50"/>
      <c r="IMP125" s="41"/>
      <c r="IMQ125" s="41"/>
      <c r="IMR125" s="49"/>
      <c r="IMS125" s="41"/>
      <c r="IMT125" s="41"/>
      <c r="IMV125" s="40"/>
      <c r="IMW125" s="47"/>
      <c r="IMX125" s="48"/>
      <c r="IMY125" s="49"/>
      <c r="IMZ125" s="50"/>
      <c r="INA125" s="50"/>
      <c r="INB125" s="41"/>
      <c r="INC125" s="41"/>
      <c r="IND125" s="49"/>
      <c r="INE125" s="41"/>
      <c r="INF125" s="41"/>
      <c r="INH125" s="40"/>
      <c r="INI125" s="47"/>
      <c r="INJ125" s="48"/>
      <c r="INK125" s="49"/>
      <c r="INL125" s="50"/>
      <c r="INM125" s="50"/>
      <c r="INN125" s="41"/>
      <c r="INO125" s="41"/>
      <c r="INP125" s="49"/>
      <c r="INQ125" s="41"/>
      <c r="INR125" s="41"/>
      <c r="INT125" s="40"/>
      <c r="INU125" s="47"/>
      <c r="INV125" s="48"/>
      <c r="INW125" s="49"/>
      <c r="INX125" s="50"/>
      <c r="INY125" s="50"/>
      <c r="INZ125" s="41"/>
      <c r="IOA125" s="41"/>
      <c r="IOB125" s="49"/>
      <c r="IOC125" s="41"/>
      <c r="IOD125" s="41"/>
      <c r="IOF125" s="40"/>
      <c r="IOG125" s="47"/>
      <c r="IOH125" s="48"/>
      <c r="IOI125" s="49"/>
      <c r="IOJ125" s="50"/>
      <c r="IOK125" s="50"/>
      <c r="IOL125" s="41"/>
      <c r="IOM125" s="41"/>
      <c r="ION125" s="49"/>
      <c r="IOO125" s="41"/>
      <c r="IOP125" s="41"/>
      <c r="IOR125" s="40"/>
      <c r="IOS125" s="47"/>
      <c r="IOT125" s="48"/>
      <c r="IOU125" s="49"/>
      <c r="IOV125" s="50"/>
      <c r="IOW125" s="50"/>
      <c r="IOX125" s="41"/>
      <c r="IOY125" s="41"/>
      <c r="IOZ125" s="49"/>
      <c r="IPA125" s="41"/>
      <c r="IPB125" s="41"/>
      <c r="IPD125" s="40"/>
      <c r="IPE125" s="47"/>
      <c r="IPF125" s="48"/>
      <c r="IPG125" s="49"/>
      <c r="IPH125" s="50"/>
      <c r="IPI125" s="50"/>
      <c r="IPJ125" s="41"/>
      <c r="IPK125" s="41"/>
      <c r="IPL125" s="49"/>
      <c r="IPM125" s="41"/>
      <c r="IPN125" s="41"/>
      <c r="IPP125" s="40"/>
      <c r="IPQ125" s="47"/>
      <c r="IPR125" s="48"/>
      <c r="IPS125" s="49"/>
      <c r="IPT125" s="50"/>
      <c r="IPU125" s="50"/>
      <c r="IPV125" s="41"/>
      <c r="IPW125" s="41"/>
      <c r="IPX125" s="49"/>
      <c r="IPY125" s="41"/>
      <c r="IPZ125" s="41"/>
      <c r="IQB125" s="40"/>
      <c r="IQC125" s="47"/>
      <c r="IQD125" s="48"/>
      <c r="IQE125" s="49"/>
      <c r="IQF125" s="50"/>
      <c r="IQG125" s="50"/>
      <c r="IQH125" s="41"/>
      <c r="IQI125" s="41"/>
      <c r="IQJ125" s="49"/>
      <c r="IQK125" s="41"/>
      <c r="IQL125" s="41"/>
      <c r="IQN125" s="40"/>
      <c r="IQO125" s="47"/>
      <c r="IQP125" s="48"/>
      <c r="IQQ125" s="49"/>
      <c r="IQR125" s="50"/>
      <c r="IQS125" s="50"/>
      <c r="IQT125" s="41"/>
      <c r="IQU125" s="41"/>
      <c r="IQV125" s="49"/>
      <c r="IQW125" s="41"/>
      <c r="IQX125" s="41"/>
      <c r="IQZ125" s="40"/>
      <c r="IRA125" s="47"/>
      <c r="IRB125" s="48"/>
      <c r="IRC125" s="49"/>
      <c r="IRD125" s="50"/>
      <c r="IRE125" s="50"/>
      <c r="IRF125" s="41"/>
      <c r="IRG125" s="41"/>
      <c r="IRH125" s="49"/>
      <c r="IRI125" s="41"/>
      <c r="IRJ125" s="41"/>
      <c r="IRL125" s="40"/>
      <c r="IRM125" s="47"/>
      <c r="IRN125" s="48"/>
      <c r="IRO125" s="49"/>
      <c r="IRP125" s="50"/>
      <c r="IRQ125" s="50"/>
      <c r="IRR125" s="41"/>
      <c r="IRS125" s="41"/>
      <c r="IRT125" s="49"/>
      <c r="IRU125" s="41"/>
      <c r="IRV125" s="41"/>
      <c r="IRX125" s="40"/>
      <c r="IRY125" s="47"/>
      <c r="IRZ125" s="48"/>
      <c r="ISA125" s="49"/>
      <c r="ISB125" s="50"/>
      <c r="ISC125" s="50"/>
      <c r="ISD125" s="41"/>
      <c r="ISE125" s="41"/>
      <c r="ISF125" s="49"/>
      <c r="ISG125" s="41"/>
      <c r="ISH125" s="41"/>
      <c r="ISJ125" s="40"/>
      <c r="ISK125" s="47"/>
      <c r="ISL125" s="48"/>
      <c r="ISM125" s="49"/>
      <c r="ISN125" s="50"/>
      <c r="ISO125" s="50"/>
      <c r="ISP125" s="41"/>
      <c r="ISQ125" s="41"/>
      <c r="ISR125" s="49"/>
      <c r="ISS125" s="41"/>
      <c r="IST125" s="41"/>
      <c r="ISV125" s="40"/>
      <c r="ISW125" s="47"/>
      <c r="ISX125" s="48"/>
      <c r="ISY125" s="49"/>
      <c r="ISZ125" s="50"/>
      <c r="ITA125" s="50"/>
      <c r="ITB125" s="41"/>
      <c r="ITC125" s="41"/>
      <c r="ITD125" s="49"/>
      <c r="ITE125" s="41"/>
      <c r="ITF125" s="41"/>
      <c r="ITH125" s="40"/>
      <c r="ITI125" s="47"/>
      <c r="ITJ125" s="48"/>
      <c r="ITK125" s="49"/>
      <c r="ITL125" s="50"/>
      <c r="ITM125" s="50"/>
      <c r="ITN125" s="41"/>
      <c r="ITO125" s="41"/>
      <c r="ITP125" s="49"/>
      <c r="ITQ125" s="41"/>
      <c r="ITR125" s="41"/>
      <c r="ITT125" s="40"/>
      <c r="ITU125" s="47"/>
      <c r="ITV125" s="48"/>
      <c r="ITW125" s="49"/>
      <c r="ITX125" s="50"/>
      <c r="ITY125" s="50"/>
      <c r="ITZ125" s="41"/>
      <c r="IUA125" s="41"/>
      <c r="IUB125" s="49"/>
      <c r="IUC125" s="41"/>
      <c r="IUD125" s="41"/>
      <c r="IUF125" s="40"/>
      <c r="IUG125" s="47"/>
      <c r="IUH125" s="48"/>
      <c r="IUI125" s="49"/>
      <c r="IUJ125" s="50"/>
      <c r="IUK125" s="50"/>
      <c r="IUL125" s="41"/>
      <c r="IUM125" s="41"/>
      <c r="IUN125" s="49"/>
      <c r="IUO125" s="41"/>
      <c r="IUP125" s="41"/>
      <c r="IUR125" s="40"/>
      <c r="IUS125" s="47"/>
      <c r="IUT125" s="48"/>
      <c r="IUU125" s="49"/>
      <c r="IUV125" s="50"/>
      <c r="IUW125" s="50"/>
      <c r="IUX125" s="41"/>
      <c r="IUY125" s="41"/>
      <c r="IUZ125" s="49"/>
      <c r="IVA125" s="41"/>
      <c r="IVB125" s="41"/>
      <c r="IVD125" s="40"/>
      <c r="IVE125" s="47"/>
      <c r="IVF125" s="48"/>
      <c r="IVG125" s="49"/>
      <c r="IVH125" s="50"/>
      <c r="IVI125" s="50"/>
      <c r="IVJ125" s="41"/>
      <c r="IVK125" s="41"/>
      <c r="IVL125" s="49"/>
      <c r="IVM125" s="41"/>
      <c r="IVN125" s="41"/>
      <c r="IVP125" s="40"/>
      <c r="IVQ125" s="47"/>
      <c r="IVR125" s="48"/>
      <c r="IVS125" s="49"/>
      <c r="IVT125" s="50"/>
      <c r="IVU125" s="50"/>
      <c r="IVV125" s="41"/>
      <c r="IVW125" s="41"/>
      <c r="IVX125" s="49"/>
      <c r="IVY125" s="41"/>
      <c r="IVZ125" s="41"/>
      <c r="IWB125" s="40"/>
      <c r="IWC125" s="47"/>
      <c r="IWD125" s="48"/>
      <c r="IWE125" s="49"/>
      <c r="IWF125" s="50"/>
      <c r="IWG125" s="50"/>
      <c r="IWH125" s="41"/>
      <c r="IWI125" s="41"/>
      <c r="IWJ125" s="49"/>
      <c r="IWK125" s="41"/>
      <c r="IWL125" s="41"/>
      <c r="IWN125" s="40"/>
      <c r="IWO125" s="47"/>
      <c r="IWP125" s="48"/>
      <c r="IWQ125" s="49"/>
      <c r="IWR125" s="50"/>
      <c r="IWS125" s="50"/>
      <c r="IWT125" s="41"/>
      <c r="IWU125" s="41"/>
      <c r="IWV125" s="49"/>
      <c r="IWW125" s="41"/>
      <c r="IWX125" s="41"/>
      <c r="IWZ125" s="40"/>
      <c r="IXA125" s="47"/>
      <c r="IXB125" s="48"/>
      <c r="IXC125" s="49"/>
      <c r="IXD125" s="50"/>
      <c r="IXE125" s="50"/>
      <c r="IXF125" s="41"/>
      <c r="IXG125" s="41"/>
      <c r="IXH125" s="49"/>
      <c r="IXI125" s="41"/>
      <c r="IXJ125" s="41"/>
      <c r="IXL125" s="40"/>
      <c r="IXM125" s="47"/>
      <c r="IXN125" s="48"/>
      <c r="IXO125" s="49"/>
      <c r="IXP125" s="50"/>
      <c r="IXQ125" s="50"/>
      <c r="IXR125" s="41"/>
      <c r="IXS125" s="41"/>
      <c r="IXT125" s="49"/>
      <c r="IXU125" s="41"/>
      <c r="IXV125" s="41"/>
      <c r="IXX125" s="40"/>
      <c r="IXY125" s="47"/>
      <c r="IXZ125" s="48"/>
      <c r="IYA125" s="49"/>
      <c r="IYB125" s="50"/>
      <c r="IYC125" s="50"/>
      <c r="IYD125" s="41"/>
      <c r="IYE125" s="41"/>
      <c r="IYF125" s="49"/>
      <c r="IYG125" s="41"/>
      <c r="IYH125" s="41"/>
      <c r="IYJ125" s="40"/>
      <c r="IYK125" s="47"/>
      <c r="IYL125" s="48"/>
      <c r="IYM125" s="49"/>
      <c r="IYN125" s="50"/>
      <c r="IYO125" s="50"/>
      <c r="IYP125" s="41"/>
      <c r="IYQ125" s="41"/>
      <c r="IYR125" s="49"/>
      <c r="IYS125" s="41"/>
      <c r="IYT125" s="41"/>
      <c r="IYV125" s="40"/>
      <c r="IYW125" s="47"/>
      <c r="IYX125" s="48"/>
      <c r="IYY125" s="49"/>
      <c r="IYZ125" s="50"/>
      <c r="IZA125" s="50"/>
      <c r="IZB125" s="41"/>
      <c r="IZC125" s="41"/>
      <c r="IZD125" s="49"/>
      <c r="IZE125" s="41"/>
      <c r="IZF125" s="41"/>
      <c r="IZH125" s="40"/>
      <c r="IZI125" s="47"/>
      <c r="IZJ125" s="48"/>
      <c r="IZK125" s="49"/>
      <c r="IZL125" s="50"/>
      <c r="IZM125" s="50"/>
      <c r="IZN125" s="41"/>
      <c r="IZO125" s="41"/>
      <c r="IZP125" s="49"/>
      <c r="IZQ125" s="41"/>
      <c r="IZR125" s="41"/>
      <c r="IZT125" s="40"/>
      <c r="IZU125" s="47"/>
      <c r="IZV125" s="48"/>
      <c r="IZW125" s="49"/>
      <c r="IZX125" s="50"/>
      <c r="IZY125" s="50"/>
      <c r="IZZ125" s="41"/>
      <c r="JAA125" s="41"/>
      <c r="JAB125" s="49"/>
      <c r="JAC125" s="41"/>
      <c r="JAD125" s="41"/>
      <c r="JAF125" s="40"/>
      <c r="JAG125" s="47"/>
      <c r="JAH125" s="48"/>
      <c r="JAI125" s="49"/>
      <c r="JAJ125" s="50"/>
      <c r="JAK125" s="50"/>
      <c r="JAL125" s="41"/>
      <c r="JAM125" s="41"/>
      <c r="JAN125" s="49"/>
      <c r="JAO125" s="41"/>
      <c r="JAP125" s="41"/>
      <c r="JAR125" s="40"/>
      <c r="JAS125" s="47"/>
      <c r="JAT125" s="48"/>
      <c r="JAU125" s="49"/>
      <c r="JAV125" s="50"/>
      <c r="JAW125" s="50"/>
      <c r="JAX125" s="41"/>
      <c r="JAY125" s="41"/>
      <c r="JAZ125" s="49"/>
      <c r="JBA125" s="41"/>
      <c r="JBB125" s="41"/>
      <c r="JBD125" s="40"/>
      <c r="JBE125" s="47"/>
      <c r="JBF125" s="48"/>
      <c r="JBG125" s="49"/>
      <c r="JBH125" s="50"/>
      <c r="JBI125" s="50"/>
      <c r="JBJ125" s="41"/>
      <c r="JBK125" s="41"/>
      <c r="JBL125" s="49"/>
      <c r="JBM125" s="41"/>
      <c r="JBN125" s="41"/>
      <c r="JBP125" s="40"/>
      <c r="JBQ125" s="47"/>
      <c r="JBR125" s="48"/>
      <c r="JBS125" s="49"/>
      <c r="JBT125" s="50"/>
      <c r="JBU125" s="50"/>
      <c r="JBV125" s="41"/>
      <c r="JBW125" s="41"/>
      <c r="JBX125" s="49"/>
      <c r="JBY125" s="41"/>
      <c r="JBZ125" s="41"/>
      <c r="JCB125" s="40"/>
      <c r="JCC125" s="47"/>
      <c r="JCD125" s="48"/>
      <c r="JCE125" s="49"/>
      <c r="JCF125" s="50"/>
      <c r="JCG125" s="50"/>
      <c r="JCH125" s="41"/>
      <c r="JCI125" s="41"/>
      <c r="JCJ125" s="49"/>
      <c r="JCK125" s="41"/>
      <c r="JCL125" s="41"/>
      <c r="JCN125" s="40"/>
      <c r="JCO125" s="47"/>
      <c r="JCP125" s="48"/>
      <c r="JCQ125" s="49"/>
      <c r="JCR125" s="50"/>
      <c r="JCS125" s="50"/>
      <c r="JCT125" s="41"/>
      <c r="JCU125" s="41"/>
      <c r="JCV125" s="49"/>
      <c r="JCW125" s="41"/>
      <c r="JCX125" s="41"/>
      <c r="JCZ125" s="40"/>
      <c r="JDA125" s="47"/>
      <c r="JDB125" s="48"/>
      <c r="JDC125" s="49"/>
      <c r="JDD125" s="50"/>
      <c r="JDE125" s="50"/>
      <c r="JDF125" s="41"/>
      <c r="JDG125" s="41"/>
      <c r="JDH125" s="49"/>
      <c r="JDI125" s="41"/>
      <c r="JDJ125" s="41"/>
      <c r="JDL125" s="40"/>
      <c r="JDM125" s="47"/>
      <c r="JDN125" s="48"/>
      <c r="JDO125" s="49"/>
      <c r="JDP125" s="50"/>
      <c r="JDQ125" s="50"/>
      <c r="JDR125" s="41"/>
      <c r="JDS125" s="41"/>
      <c r="JDT125" s="49"/>
      <c r="JDU125" s="41"/>
      <c r="JDV125" s="41"/>
      <c r="JDX125" s="40"/>
      <c r="JDY125" s="47"/>
      <c r="JDZ125" s="48"/>
      <c r="JEA125" s="49"/>
      <c r="JEB125" s="50"/>
      <c r="JEC125" s="50"/>
      <c r="JED125" s="41"/>
      <c r="JEE125" s="41"/>
      <c r="JEF125" s="49"/>
      <c r="JEG125" s="41"/>
      <c r="JEH125" s="41"/>
      <c r="JEJ125" s="40"/>
      <c r="JEK125" s="47"/>
      <c r="JEL125" s="48"/>
      <c r="JEM125" s="49"/>
      <c r="JEN125" s="50"/>
      <c r="JEO125" s="50"/>
      <c r="JEP125" s="41"/>
      <c r="JEQ125" s="41"/>
      <c r="JER125" s="49"/>
      <c r="JES125" s="41"/>
      <c r="JET125" s="41"/>
      <c r="JEV125" s="40"/>
      <c r="JEW125" s="47"/>
      <c r="JEX125" s="48"/>
      <c r="JEY125" s="49"/>
      <c r="JEZ125" s="50"/>
      <c r="JFA125" s="50"/>
      <c r="JFB125" s="41"/>
      <c r="JFC125" s="41"/>
      <c r="JFD125" s="49"/>
      <c r="JFE125" s="41"/>
      <c r="JFF125" s="41"/>
      <c r="JFH125" s="40"/>
      <c r="JFI125" s="47"/>
      <c r="JFJ125" s="48"/>
      <c r="JFK125" s="49"/>
      <c r="JFL125" s="50"/>
      <c r="JFM125" s="50"/>
      <c r="JFN125" s="41"/>
      <c r="JFO125" s="41"/>
      <c r="JFP125" s="49"/>
      <c r="JFQ125" s="41"/>
      <c r="JFR125" s="41"/>
      <c r="JFT125" s="40"/>
      <c r="JFU125" s="47"/>
      <c r="JFV125" s="48"/>
      <c r="JFW125" s="49"/>
      <c r="JFX125" s="50"/>
      <c r="JFY125" s="50"/>
      <c r="JFZ125" s="41"/>
      <c r="JGA125" s="41"/>
      <c r="JGB125" s="49"/>
      <c r="JGC125" s="41"/>
      <c r="JGD125" s="41"/>
      <c r="JGF125" s="40"/>
      <c r="JGG125" s="47"/>
      <c r="JGH125" s="48"/>
      <c r="JGI125" s="49"/>
      <c r="JGJ125" s="50"/>
      <c r="JGK125" s="50"/>
      <c r="JGL125" s="41"/>
      <c r="JGM125" s="41"/>
      <c r="JGN125" s="49"/>
      <c r="JGO125" s="41"/>
      <c r="JGP125" s="41"/>
      <c r="JGR125" s="40"/>
      <c r="JGS125" s="47"/>
      <c r="JGT125" s="48"/>
      <c r="JGU125" s="49"/>
      <c r="JGV125" s="50"/>
      <c r="JGW125" s="50"/>
      <c r="JGX125" s="41"/>
      <c r="JGY125" s="41"/>
      <c r="JGZ125" s="49"/>
      <c r="JHA125" s="41"/>
      <c r="JHB125" s="41"/>
      <c r="JHD125" s="40"/>
      <c r="JHE125" s="47"/>
      <c r="JHF125" s="48"/>
      <c r="JHG125" s="49"/>
      <c r="JHH125" s="50"/>
      <c r="JHI125" s="50"/>
      <c r="JHJ125" s="41"/>
      <c r="JHK125" s="41"/>
      <c r="JHL125" s="49"/>
      <c r="JHM125" s="41"/>
      <c r="JHN125" s="41"/>
      <c r="JHP125" s="40"/>
      <c r="JHQ125" s="47"/>
      <c r="JHR125" s="48"/>
      <c r="JHS125" s="49"/>
      <c r="JHT125" s="50"/>
      <c r="JHU125" s="50"/>
      <c r="JHV125" s="41"/>
      <c r="JHW125" s="41"/>
      <c r="JHX125" s="49"/>
      <c r="JHY125" s="41"/>
      <c r="JHZ125" s="41"/>
      <c r="JIB125" s="40"/>
      <c r="JIC125" s="47"/>
      <c r="JID125" s="48"/>
      <c r="JIE125" s="49"/>
      <c r="JIF125" s="50"/>
      <c r="JIG125" s="50"/>
      <c r="JIH125" s="41"/>
      <c r="JII125" s="41"/>
      <c r="JIJ125" s="49"/>
      <c r="JIK125" s="41"/>
      <c r="JIL125" s="41"/>
      <c r="JIN125" s="40"/>
      <c r="JIO125" s="47"/>
      <c r="JIP125" s="48"/>
      <c r="JIQ125" s="49"/>
      <c r="JIR125" s="50"/>
      <c r="JIS125" s="50"/>
      <c r="JIT125" s="41"/>
      <c r="JIU125" s="41"/>
      <c r="JIV125" s="49"/>
      <c r="JIW125" s="41"/>
      <c r="JIX125" s="41"/>
      <c r="JIZ125" s="40"/>
      <c r="JJA125" s="47"/>
      <c r="JJB125" s="48"/>
      <c r="JJC125" s="49"/>
      <c r="JJD125" s="50"/>
      <c r="JJE125" s="50"/>
      <c r="JJF125" s="41"/>
      <c r="JJG125" s="41"/>
      <c r="JJH125" s="49"/>
      <c r="JJI125" s="41"/>
      <c r="JJJ125" s="41"/>
      <c r="JJL125" s="40"/>
      <c r="JJM125" s="47"/>
      <c r="JJN125" s="48"/>
      <c r="JJO125" s="49"/>
      <c r="JJP125" s="50"/>
      <c r="JJQ125" s="50"/>
      <c r="JJR125" s="41"/>
      <c r="JJS125" s="41"/>
      <c r="JJT125" s="49"/>
      <c r="JJU125" s="41"/>
      <c r="JJV125" s="41"/>
      <c r="JJX125" s="40"/>
      <c r="JJY125" s="47"/>
      <c r="JJZ125" s="48"/>
      <c r="JKA125" s="49"/>
      <c r="JKB125" s="50"/>
      <c r="JKC125" s="50"/>
      <c r="JKD125" s="41"/>
      <c r="JKE125" s="41"/>
      <c r="JKF125" s="49"/>
      <c r="JKG125" s="41"/>
      <c r="JKH125" s="41"/>
      <c r="JKJ125" s="40"/>
      <c r="JKK125" s="47"/>
      <c r="JKL125" s="48"/>
      <c r="JKM125" s="49"/>
      <c r="JKN125" s="50"/>
      <c r="JKO125" s="50"/>
      <c r="JKP125" s="41"/>
      <c r="JKQ125" s="41"/>
      <c r="JKR125" s="49"/>
      <c r="JKS125" s="41"/>
      <c r="JKT125" s="41"/>
      <c r="JKV125" s="40"/>
      <c r="JKW125" s="47"/>
      <c r="JKX125" s="48"/>
      <c r="JKY125" s="49"/>
      <c r="JKZ125" s="50"/>
      <c r="JLA125" s="50"/>
      <c r="JLB125" s="41"/>
      <c r="JLC125" s="41"/>
      <c r="JLD125" s="49"/>
      <c r="JLE125" s="41"/>
      <c r="JLF125" s="41"/>
      <c r="JLH125" s="40"/>
      <c r="JLI125" s="47"/>
      <c r="JLJ125" s="48"/>
      <c r="JLK125" s="49"/>
      <c r="JLL125" s="50"/>
      <c r="JLM125" s="50"/>
      <c r="JLN125" s="41"/>
      <c r="JLO125" s="41"/>
      <c r="JLP125" s="49"/>
      <c r="JLQ125" s="41"/>
      <c r="JLR125" s="41"/>
      <c r="JLT125" s="40"/>
      <c r="JLU125" s="47"/>
      <c r="JLV125" s="48"/>
      <c r="JLW125" s="49"/>
      <c r="JLX125" s="50"/>
      <c r="JLY125" s="50"/>
      <c r="JLZ125" s="41"/>
      <c r="JMA125" s="41"/>
      <c r="JMB125" s="49"/>
      <c r="JMC125" s="41"/>
      <c r="JMD125" s="41"/>
      <c r="JMF125" s="40"/>
      <c r="JMG125" s="47"/>
      <c r="JMH125" s="48"/>
      <c r="JMI125" s="49"/>
      <c r="JMJ125" s="50"/>
      <c r="JMK125" s="50"/>
      <c r="JML125" s="41"/>
      <c r="JMM125" s="41"/>
      <c r="JMN125" s="49"/>
      <c r="JMO125" s="41"/>
      <c r="JMP125" s="41"/>
      <c r="JMR125" s="40"/>
      <c r="JMS125" s="47"/>
      <c r="JMT125" s="48"/>
      <c r="JMU125" s="49"/>
      <c r="JMV125" s="50"/>
      <c r="JMW125" s="50"/>
      <c r="JMX125" s="41"/>
      <c r="JMY125" s="41"/>
      <c r="JMZ125" s="49"/>
      <c r="JNA125" s="41"/>
      <c r="JNB125" s="41"/>
      <c r="JND125" s="40"/>
      <c r="JNE125" s="47"/>
      <c r="JNF125" s="48"/>
      <c r="JNG125" s="49"/>
      <c r="JNH125" s="50"/>
      <c r="JNI125" s="50"/>
      <c r="JNJ125" s="41"/>
      <c r="JNK125" s="41"/>
      <c r="JNL125" s="49"/>
      <c r="JNM125" s="41"/>
      <c r="JNN125" s="41"/>
      <c r="JNP125" s="40"/>
      <c r="JNQ125" s="47"/>
      <c r="JNR125" s="48"/>
      <c r="JNS125" s="49"/>
      <c r="JNT125" s="50"/>
      <c r="JNU125" s="50"/>
      <c r="JNV125" s="41"/>
      <c r="JNW125" s="41"/>
      <c r="JNX125" s="49"/>
      <c r="JNY125" s="41"/>
      <c r="JNZ125" s="41"/>
      <c r="JOB125" s="40"/>
      <c r="JOC125" s="47"/>
      <c r="JOD125" s="48"/>
      <c r="JOE125" s="49"/>
      <c r="JOF125" s="50"/>
      <c r="JOG125" s="50"/>
      <c r="JOH125" s="41"/>
      <c r="JOI125" s="41"/>
      <c r="JOJ125" s="49"/>
      <c r="JOK125" s="41"/>
      <c r="JOL125" s="41"/>
      <c r="JON125" s="40"/>
      <c r="JOO125" s="47"/>
      <c r="JOP125" s="48"/>
      <c r="JOQ125" s="49"/>
      <c r="JOR125" s="50"/>
      <c r="JOS125" s="50"/>
      <c r="JOT125" s="41"/>
      <c r="JOU125" s="41"/>
      <c r="JOV125" s="49"/>
      <c r="JOW125" s="41"/>
      <c r="JOX125" s="41"/>
      <c r="JOZ125" s="40"/>
      <c r="JPA125" s="47"/>
      <c r="JPB125" s="48"/>
      <c r="JPC125" s="49"/>
      <c r="JPD125" s="50"/>
      <c r="JPE125" s="50"/>
      <c r="JPF125" s="41"/>
      <c r="JPG125" s="41"/>
      <c r="JPH125" s="49"/>
      <c r="JPI125" s="41"/>
      <c r="JPJ125" s="41"/>
      <c r="JPL125" s="40"/>
      <c r="JPM125" s="47"/>
      <c r="JPN125" s="48"/>
      <c r="JPO125" s="49"/>
      <c r="JPP125" s="50"/>
      <c r="JPQ125" s="50"/>
      <c r="JPR125" s="41"/>
      <c r="JPS125" s="41"/>
      <c r="JPT125" s="49"/>
      <c r="JPU125" s="41"/>
      <c r="JPV125" s="41"/>
      <c r="JPX125" s="40"/>
      <c r="JPY125" s="47"/>
      <c r="JPZ125" s="48"/>
      <c r="JQA125" s="49"/>
      <c r="JQB125" s="50"/>
      <c r="JQC125" s="50"/>
      <c r="JQD125" s="41"/>
      <c r="JQE125" s="41"/>
      <c r="JQF125" s="49"/>
      <c r="JQG125" s="41"/>
      <c r="JQH125" s="41"/>
      <c r="JQJ125" s="40"/>
      <c r="JQK125" s="47"/>
      <c r="JQL125" s="48"/>
      <c r="JQM125" s="49"/>
      <c r="JQN125" s="50"/>
      <c r="JQO125" s="50"/>
      <c r="JQP125" s="41"/>
      <c r="JQQ125" s="41"/>
      <c r="JQR125" s="49"/>
      <c r="JQS125" s="41"/>
      <c r="JQT125" s="41"/>
      <c r="JQV125" s="40"/>
      <c r="JQW125" s="47"/>
      <c r="JQX125" s="48"/>
      <c r="JQY125" s="49"/>
      <c r="JQZ125" s="50"/>
      <c r="JRA125" s="50"/>
      <c r="JRB125" s="41"/>
      <c r="JRC125" s="41"/>
      <c r="JRD125" s="49"/>
      <c r="JRE125" s="41"/>
      <c r="JRF125" s="41"/>
      <c r="JRH125" s="40"/>
      <c r="JRI125" s="47"/>
      <c r="JRJ125" s="48"/>
      <c r="JRK125" s="49"/>
      <c r="JRL125" s="50"/>
      <c r="JRM125" s="50"/>
      <c r="JRN125" s="41"/>
      <c r="JRO125" s="41"/>
      <c r="JRP125" s="49"/>
      <c r="JRQ125" s="41"/>
      <c r="JRR125" s="41"/>
      <c r="JRT125" s="40"/>
      <c r="JRU125" s="47"/>
      <c r="JRV125" s="48"/>
      <c r="JRW125" s="49"/>
      <c r="JRX125" s="50"/>
      <c r="JRY125" s="50"/>
      <c r="JRZ125" s="41"/>
      <c r="JSA125" s="41"/>
      <c r="JSB125" s="49"/>
      <c r="JSC125" s="41"/>
      <c r="JSD125" s="41"/>
      <c r="JSF125" s="40"/>
      <c r="JSG125" s="47"/>
      <c r="JSH125" s="48"/>
      <c r="JSI125" s="49"/>
      <c r="JSJ125" s="50"/>
      <c r="JSK125" s="50"/>
      <c r="JSL125" s="41"/>
      <c r="JSM125" s="41"/>
      <c r="JSN125" s="49"/>
      <c r="JSO125" s="41"/>
      <c r="JSP125" s="41"/>
      <c r="JSR125" s="40"/>
      <c r="JSS125" s="47"/>
      <c r="JST125" s="48"/>
      <c r="JSU125" s="49"/>
      <c r="JSV125" s="50"/>
      <c r="JSW125" s="50"/>
      <c r="JSX125" s="41"/>
      <c r="JSY125" s="41"/>
      <c r="JSZ125" s="49"/>
      <c r="JTA125" s="41"/>
      <c r="JTB125" s="41"/>
      <c r="JTD125" s="40"/>
      <c r="JTE125" s="47"/>
      <c r="JTF125" s="48"/>
      <c r="JTG125" s="49"/>
      <c r="JTH125" s="50"/>
      <c r="JTI125" s="50"/>
      <c r="JTJ125" s="41"/>
      <c r="JTK125" s="41"/>
      <c r="JTL125" s="49"/>
      <c r="JTM125" s="41"/>
      <c r="JTN125" s="41"/>
      <c r="JTP125" s="40"/>
      <c r="JTQ125" s="47"/>
      <c r="JTR125" s="48"/>
      <c r="JTS125" s="49"/>
      <c r="JTT125" s="50"/>
      <c r="JTU125" s="50"/>
      <c r="JTV125" s="41"/>
      <c r="JTW125" s="41"/>
      <c r="JTX125" s="49"/>
      <c r="JTY125" s="41"/>
      <c r="JTZ125" s="41"/>
      <c r="JUB125" s="40"/>
      <c r="JUC125" s="47"/>
      <c r="JUD125" s="48"/>
      <c r="JUE125" s="49"/>
      <c r="JUF125" s="50"/>
      <c r="JUG125" s="50"/>
      <c r="JUH125" s="41"/>
      <c r="JUI125" s="41"/>
      <c r="JUJ125" s="49"/>
      <c r="JUK125" s="41"/>
      <c r="JUL125" s="41"/>
      <c r="JUN125" s="40"/>
      <c r="JUO125" s="47"/>
      <c r="JUP125" s="48"/>
      <c r="JUQ125" s="49"/>
      <c r="JUR125" s="50"/>
      <c r="JUS125" s="50"/>
      <c r="JUT125" s="41"/>
      <c r="JUU125" s="41"/>
      <c r="JUV125" s="49"/>
      <c r="JUW125" s="41"/>
      <c r="JUX125" s="41"/>
      <c r="JUZ125" s="40"/>
      <c r="JVA125" s="47"/>
      <c r="JVB125" s="48"/>
      <c r="JVC125" s="49"/>
      <c r="JVD125" s="50"/>
      <c r="JVE125" s="50"/>
      <c r="JVF125" s="41"/>
      <c r="JVG125" s="41"/>
      <c r="JVH125" s="49"/>
      <c r="JVI125" s="41"/>
      <c r="JVJ125" s="41"/>
      <c r="JVL125" s="40"/>
      <c r="JVM125" s="47"/>
      <c r="JVN125" s="48"/>
      <c r="JVO125" s="49"/>
      <c r="JVP125" s="50"/>
      <c r="JVQ125" s="50"/>
      <c r="JVR125" s="41"/>
      <c r="JVS125" s="41"/>
      <c r="JVT125" s="49"/>
      <c r="JVU125" s="41"/>
      <c r="JVV125" s="41"/>
      <c r="JVX125" s="40"/>
      <c r="JVY125" s="47"/>
      <c r="JVZ125" s="48"/>
      <c r="JWA125" s="49"/>
      <c r="JWB125" s="50"/>
      <c r="JWC125" s="50"/>
      <c r="JWD125" s="41"/>
      <c r="JWE125" s="41"/>
      <c r="JWF125" s="49"/>
      <c r="JWG125" s="41"/>
      <c r="JWH125" s="41"/>
      <c r="JWJ125" s="40"/>
      <c r="JWK125" s="47"/>
      <c r="JWL125" s="48"/>
      <c r="JWM125" s="49"/>
      <c r="JWN125" s="50"/>
      <c r="JWO125" s="50"/>
      <c r="JWP125" s="41"/>
      <c r="JWQ125" s="41"/>
      <c r="JWR125" s="49"/>
      <c r="JWS125" s="41"/>
      <c r="JWT125" s="41"/>
      <c r="JWV125" s="40"/>
      <c r="JWW125" s="47"/>
      <c r="JWX125" s="48"/>
      <c r="JWY125" s="49"/>
      <c r="JWZ125" s="50"/>
      <c r="JXA125" s="50"/>
      <c r="JXB125" s="41"/>
      <c r="JXC125" s="41"/>
      <c r="JXD125" s="49"/>
      <c r="JXE125" s="41"/>
      <c r="JXF125" s="41"/>
      <c r="JXH125" s="40"/>
      <c r="JXI125" s="47"/>
      <c r="JXJ125" s="48"/>
      <c r="JXK125" s="49"/>
      <c r="JXL125" s="50"/>
      <c r="JXM125" s="50"/>
      <c r="JXN125" s="41"/>
      <c r="JXO125" s="41"/>
      <c r="JXP125" s="49"/>
      <c r="JXQ125" s="41"/>
      <c r="JXR125" s="41"/>
      <c r="JXT125" s="40"/>
      <c r="JXU125" s="47"/>
      <c r="JXV125" s="48"/>
      <c r="JXW125" s="49"/>
      <c r="JXX125" s="50"/>
      <c r="JXY125" s="50"/>
      <c r="JXZ125" s="41"/>
      <c r="JYA125" s="41"/>
      <c r="JYB125" s="49"/>
      <c r="JYC125" s="41"/>
      <c r="JYD125" s="41"/>
      <c r="JYF125" s="40"/>
      <c r="JYG125" s="47"/>
      <c r="JYH125" s="48"/>
      <c r="JYI125" s="49"/>
      <c r="JYJ125" s="50"/>
      <c r="JYK125" s="50"/>
      <c r="JYL125" s="41"/>
      <c r="JYM125" s="41"/>
      <c r="JYN125" s="49"/>
      <c r="JYO125" s="41"/>
      <c r="JYP125" s="41"/>
      <c r="JYR125" s="40"/>
      <c r="JYS125" s="47"/>
      <c r="JYT125" s="48"/>
      <c r="JYU125" s="49"/>
      <c r="JYV125" s="50"/>
      <c r="JYW125" s="50"/>
      <c r="JYX125" s="41"/>
      <c r="JYY125" s="41"/>
      <c r="JYZ125" s="49"/>
      <c r="JZA125" s="41"/>
      <c r="JZB125" s="41"/>
      <c r="JZD125" s="40"/>
      <c r="JZE125" s="47"/>
      <c r="JZF125" s="48"/>
      <c r="JZG125" s="49"/>
      <c r="JZH125" s="50"/>
      <c r="JZI125" s="50"/>
      <c r="JZJ125" s="41"/>
      <c r="JZK125" s="41"/>
      <c r="JZL125" s="49"/>
      <c r="JZM125" s="41"/>
      <c r="JZN125" s="41"/>
      <c r="JZP125" s="40"/>
      <c r="JZQ125" s="47"/>
      <c r="JZR125" s="48"/>
      <c r="JZS125" s="49"/>
      <c r="JZT125" s="50"/>
      <c r="JZU125" s="50"/>
      <c r="JZV125" s="41"/>
      <c r="JZW125" s="41"/>
      <c r="JZX125" s="49"/>
      <c r="JZY125" s="41"/>
      <c r="JZZ125" s="41"/>
      <c r="KAB125" s="40"/>
      <c r="KAC125" s="47"/>
      <c r="KAD125" s="48"/>
      <c r="KAE125" s="49"/>
      <c r="KAF125" s="50"/>
      <c r="KAG125" s="50"/>
      <c r="KAH125" s="41"/>
      <c r="KAI125" s="41"/>
      <c r="KAJ125" s="49"/>
      <c r="KAK125" s="41"/>
      <c r="KAL125" s="41"/>
      <c r="KAN125" s="40"/>
      <c r="KAO125" s="47"/>
      <c r="KAP125" s="48"/>
      <c r="KAQ125" s="49"/>
      <c r="KAR125" s="50"/>
      <c r="KAS125" s="50"/>
      <c r="KAT125" s="41"/>
      <c r="KAU125" s="41"/>
      <c r="KAV125" s="49"/>
      <c r="KAW125" s="41"/>
      <c r="KAX125" s="41"/>
      <c r="KAZ125" s="40"/>
      <c r="KBA125" s="47"/>
      <c r="KBB125" s="48"/>
      <c r="KBC125" s="49"/>
      <c r="KBD125" s="50"/>
      <c r="KBE125" s="50"/>
      <c r="KBF125" s="41"/>
      <c r="KBG125" s="41"/>
      <c r="KBH125" s="49"/>
      <c r="KBI125" s="41"/>
      <c r="KBJ125" s="41"/>
      <c r="KBL125" s="40"/>
      <c r="KBM125" s="47"/>
      <c r="KBN125" s="48"/>
      <c r="KBO125" s="49"/>
      <c r="KBP125" s="50"/>
      <c r="KBQ125" s="50"/>
      <c r="KBR125" s="41"/>
      <c r="KBS125" s="41"/>
      <c r="KBT125" s="49"/>
      <c r="KBU125" s="41"/>
      <c r="KBV125" s="41"/>
      <c r="KBX125" s="40"/>
      <c r="KBY125" s="47"/>
      <c r="KBZ125" s="48"/>
      <c r="KCA125" s="49"/>
      <c r="KCB125" s="50"/>
      <c r="KCC125" s="50"/>
      <c r="KCD125" s="41"/>
      <c r="KCE125" s="41"/>
      <c r="KCF125" s="49"/>
      <c r="KCG125" s="41"/>
      <c r="KCH125" s="41"/>
      <c r="KCJ125" s="40"/>
      <c r="KCK125" s="47"/>
      <c r="KCL125" s="48"/>
      <c r="KCM125" s="49"/>
      <c r="KCN125" s="50"/>
      <c r="KCO125" s="50"/>
      <c r="KCP125" s="41"/>
      <c r="KCQ125" s="41"/>
      <c r="KCR125" s="49"/>
      <c r="KCS125" s="41"/>
      <c r="KCT125" s="41"/>
      <c r="KCV125" s="40"/>
      <c r="KCW125" s="47"/>
      <c r="KCX125" s="48"/>
      <c r="KCY125" s="49"/>
      <c r="KCZ125" s="50"/>
      <c r="KDA125" s="50"/>
      <c r="KDB125" s="41"/>
      <c r="KDC125" s="41"/>
      <c r="KDD125" s="49"/>
      <c r="KDE125" s="41"/>
      <c r="KDF125" s="41"/>
      <c r="KDH125" s="40"/>
      <c r="KDI125" s="47"/>
      <c r="KDJ125" s="48"/>
      <c r="KDK125" s="49"/>
      <c r="KDL125" s="50"/>
      <c r="KDM125" s="50"/>
      <c r="KDN125" s="41"/>
      <c r="KDO125" s="41"/>
      <c r="KDP125" s="49"/>
      <c r="KDQ125" s="41"/>
      <c r="KDR125" s="41"/>
      <c r="KDT125" s="40"/>
      <c r="KDU125" s="47"/>
      <c r="KDV125" s="48"/>
      <c r="KDW125" s="49"/>
      <c r="KDX125" s="50"/>
      <c r="KDY125" s="50"/>
      <c r="KDZ125" s="41"/>
      <c r="KEA125" s="41"/>
      <c r="KEB125" s="49"/>
      <c r="KEC125" s="41"/>
      <c r="KED125" s="41"/>
      <c r="KEF125" s="40"/>
      <c r="KEG125" s="47"/>
      <c r="KEH125" s="48"/>
      <c r="KEI125" s="49"/>
      <c r="KEJ125" s="50"/>
      <c r="KEK125" s="50"/>
      <c r="KEL125" s="41"/>
      <c r="KEM125" s="41"/>
      <c r="KEN125" s="49"/>
      <c r="KEO125" s="41"/>
      <c r="KEP125" s="41"/>
      <c r="KER125" s="40"/>
      <c r="KES125" s="47"/>
      <c r="KET125" s="48"/>
      <c r="KEU125" s="49"/>
      <c r="KEV125" s="50"/>
      <c r="KEW125" s="50"/>
      <c r="KEX125" s="41"/>
      <c r="KEY125" s="41"/>
      <c r="KEZ125" s="49"/>
      <c r="KFA125" s="41"/>
      <c r="KFB125" s="41"/>
      <c r="KFD125" s="40"/>
      <c r="KFE125" s="47"/>
      <c r="KFF125" s="48"/>
      <c r="KFG125" s="49"/>
      <c r="KFH125" s="50"/>
      <c r="KFI125" s="50"/>
      <c r="KFJ125" s="41"/>
      <c r="KFK125" s="41"/>
      <c r="KFL125" s="49"/>
      <c r="KFM125" s="41"/>
      <c r="KFN125" s="41"/>
      <c r="KFP125" s="40"/>
      <c r="KFQ125" s="47"/>
      <c r="KFR125" s="48"/>
      <c r="KFS125" s="49"/>
      <c r="KFT125" s="50"/>
      <c r="KFU125" s="50"/>
      <c r="KFV125" s="41"/>
      <c r="KFW125" s="41"/>
      <c r="KFX125" s="49"/>
      <c r="KFY125" s="41"/>
      <c r="KFZ125" s="41"/>
      <c r="KGB125" s="40"/>
      <c r="KGC125" s="47"/>
      <c r="KGD125" s="48"/>
      <c r="KGE125" s="49"/>
      <c r="KGF125" s="50"/>
      <c r="KGG125" s="50"/>
      <c r="KGH125" s="41"/>
      <c r="KGI125" s="41"/>
      <c r="KGJ125" s="49"/>
      <c r="KGK125" s="41"/>
      <c r="KGL125" s="41"/>
      <c r="KGN125" s="40"/>
      <c r="KGO125" s="47"/>
      <c r="KGP125" s="48"/>
      <c r="KGQ125" s="49"/>
      <c r="KGR125" s="50"/>
      <c r="KGS125" s="50"/>
      <c r="KGT125" s="41"/>
      <c r="KGU125" s="41"/>
      <c r="KGV125" s="49"/>
      <c r="KGW125" s="41"/>
      <c r="KGX125" s="41"/>
      <c r="KGZ125" s="40"/>
      <c r="KHA125" s="47"/>
      <c r="KHB125" s="48"/>
      <c r="KHC125" s="49"/>
      <c r="KHD125" s="50"/>
      <c r="KHE125" s="50"/>
      <c r="KHF125" s="41"/>
      <c r="KHG125" s="41"/>
      <c r="KHH125" s="49"/>
      <c r="KHI125" s="41"/>
      <c r="KHJ125" s="41"/>
      <c r="KHL125" s="40"/>
      <c r="KHM125" s="47"/>
      <c r="KHN125" s="48"/>
      <c r="KHO125" s="49"/>
      <c r="KHP125" s="50"/>
      <c r="KHQ125" s="50"/>
      <c r="KHR125" s="41"/>
      <c r="KHS125" s="41"/>
      <c r="KHT125" s="49"/>
      <c r="KHU125" s="41"/>
      <c r="KHV125" s="41"/>
      <c r="KHX125" s="40"/>
      <c r="KHY125" s="47"/>
      <c r="KHZ125" s="48"/>
      <c r="KIA125" s="49"/>
      <c r="KIB125" s="50"/>
      <c r="KIC125" s="50"/>
      <c r="KID125" s="41"/>
      <c r="KIE125" s="41"/>
      <c r="KIF125" s="49"/>
      <c r="KIG125" s="41"/>
      <c r="KIH125" s="41"/>
      <c r="KIJ125" s="40"/>
      <c r="KIK125" s="47"/>
      <c r="KIL125" s="48"/>
      <c r="KIM125" s="49"/>
      <c r="KIN125" s="50"/>
      <c r="KIO125" s="50"/>
      <c r="KIP125" s="41"/>
      <c r="KIQ125" s="41"/>
      <c r="KIR125" s="49"/>
      <c r="KIS125" s="41"/>
      <c r="KIT125" s="41"/>
      <c r="KIV125" s="40"/>
      <c r="KIW125" s="47"/>
      <c r="KIX125" s="48"/>
      <c r="KIY125" s="49"/>
      <c r="KIZ125" s="50"/>
      <c r="KJA125" s="50"/>
      <c r="KJB125" s="41"/>
      <c r="KJC125" s="41"/>
      <c r="KJD125" s="49"/>
      <c r="KJE125" s="41"/>
      <c r="KJF125" s="41"/>
      <c r="KJH125" s="40"/>
      <c r="KJI125" s="47"/>
      <c r="KJJ125" s="48"/>
      <c r="KJK125" s="49"/>
      <c r="KJL125" s="50"/>
      <c r="KJM125" s="50"/>
      <c r="KJN125" s="41"/>
      <c r="KJO125" s="41"/>
      <c r="KJP125" s="49"/>
      <c r="KJQ125" s="41"/>
      <c r="KJR125" s="41"/>
      <c r="KJT125" s="40"/>
      <c r="KJU125" s="47"/>
      <c r="KJV125" s="48"/>
      <c r="KJW125" s="49"/>
      <c r="KJX125" s="50"/>
      <c r="KJY125" s="50"/>
      <c r="KJZ125" s="41"/>
      <c r="KKA125" s="41"/>
      <c r="KKB125" s="49"/>
      <c r="KKC125" s="41"/>
      <c r="KKD125" s="41"/>
      <c r="KKF125" s="40"/>
      <c r="KKG125" s="47"/>
      <c r="KKH125" s="48"/>
      <c r="KKI125" s="49"/>
      <c r="KKJ125" s="50"/>
      <c r="KKK125" s="50"/>
      <c r="KKL125" s="41"/>
      <c r="KKM125" s="41"/>
      <c r="KKN125" s="49"/>
      <c r="KKO125" s="41"/>
      <c r="KKP125" s="41"/>
      <c r="KKR125" s="40"/>
      <c r="KKS125" s="47"/>
      <c r="KKT125" s="48"/>
      <c r="KKU125" s="49"/>
      <c r="KKV125" s="50"/>
      <c r="KKW125" s="50"/>
      <c r="KKX125" s="41"/>
      <c r="KKY125" s="41"/>
      <c r="KKZ125" s="49"/>
      <c r="KLA125" s="41"/>
      <c r="KLB125" s="41"/>
      <c r="KLD125" s="40"/>
      <c r="KLE125" s="47"/>
      <c r="KLF125" s="48"/>
      <c r="KLG125" s="49"/>
      <c r="KLH125" s="50"/>
      <c r="KLI125" s="50"/>
      <c r="KLJ125" s="41"/>
      <c r="KLK125" s="41"/>
      <c r="KLL125" s="49"/>
      <c r="KLM125" s="41"/>
      <c r="KLN125" s="41"/>
      <c r="KLP125" s="40"/>
      <c r="KLQ125" s="47"/>
      <c r="KLR125" s="48"/>
      <c r="KLS125" s="49"/>
      <c r="KLT125" s="50"/>
      <c r="KLU125" s="50"/>
      <c r="KLV125" s="41"/>
      <c r="KLW125" s="41"/>
      <c r="KLX125" s="49"/>
      <c r="KLY125" s="41"/>
      <c r="KLZ125" s="41"/>
      <c r="KMB125" s="40"/>
      <c r="KMC125" s="47"/>
      <c r="KMD125" s="48"/>
      <c r="KME125" s="49"/>
      <c r="KMF125" s="50"/>
      <c r="KMG125" s="50"/>
      <c r="KMH125" s="41"/>
      <c r="KMI125" s="41"/>
      <c r="KMJ125" s="49"/>
      <c r="KMK125" s="41"/>
      <c r="KML125" s="41"/>
      <c r="KMN125" s="40"/>
      <c r="KMO125" s="47"/>
      <c r="KMP125" s="48"/>
      <c r="KMQ125" s="49"/>
      <c r="KMR125" s="50"/>
      <c r="KMS125" s="50"/>
      <c r="KMT125" s="41"/>
      <c r="KMU125" s="41"/>
      <c r="KMV125" s="49"/>
      <c r="KMW125" s="41"/>
      <c r="KMX125" s="41"/>
      <c r="KMZ125" s="40"/>
      <c r="KNA125" s="47"/>
      <c r="KNB125" s="48"/>
      <c r="KNC125" s="49"/>
      <c r="KND125" s="50"/>
      <c r="KNE125" s="50"/>
      <c r="KNF125" s="41"/>
      <c r="KNG125" s="41"/>
      <c r="KNH125" s="49"/>
      <c r="KNI125" s="41"/>
      <c r="KNJ125" s="41"/>
      <c r="KNL125" s="40"/>
      <c r="KNM125" s="47"/>
      <c r="KNN125" s="48"/>
      <c r="KNO125" s="49"/>
      <c r="KNP125" s="50"/>
      <c r="KNQ125" s="50"/>
      <c r="KNR125" s="41"/>
      <c r="KNS125" s="41"/>
      <c r="KNT125" s="49"/>
      <c r="KNU125" s="41"/>
      <c r="KNV125" s="41"/>
      <c r="KNX125" s="40"/>
      <c r="KNY125" s="47"/>
      <c r="KNZ125" s="48"/>
      <c r="KOA125" s="49"/>
      <c r="KOB125" s="50"/>
      <c r="KOC125" s="50"/>
      <c r="KOD125" s="41"/>
      <c r="KOE125" s="41"/>
      <c r="KOF125" s="49"/>
      <c r="KOG125" s="41"/>
      <c r="KOH125" s="41"/>
      <c r="KOJ125" s="40"/>
      <c r="KOK125" s="47"/>
      <c r="KOL125" s="48"/>
      <c r="KOM125" s="49"/>
      <c r="KON125" s="50"/>
      <c r="KOO125" s="50"/>
      <c r="KOP125" s="41"/>
      <c r="KOQ125" s="41"/>
      <c r="KOR125" s="49"/>
      <c r="KOS125" s="41"/>
      <c r="KOT125" s="41"/>
      <c r="KOV125" s="40"/>
      <c r="KOW125" s="47"/>
      <c r="KOX125" s="48"/>
      <c r="KOY125" s="49"/>
      <c r="KOZ125" s="50"/>
      <c r="KPA125" s="50"/>
      <c r="KPB125" s="41"/>
      <c r="KPC125" s="41"/>
      <c r="KPD125" s="49"/>
      <c r="KPE125" s="41"/>
      <c r="KPF125" s="41"/>
      <c r="KPH125" s="40"/>
      <c r="KPI125" s="47"/>
      <c r="KPJ125" s="48"/>
      <c r="KPK125" s="49"/>
      <c r="KPL125" s="50"/>
      <c r="KPM125" s="50"/>
      <c r="KPN125" s="41"/>
      <c r="KPO125" s="41"/>
      <c r="KPP125" s="49"/>
      <c r="KPQ125" s="41"/>
      <c r="KPR125" s="41"/>
      <c r="KPT125" s="40"/>
      <c r="KPU125" s="47"/>
      <c r="KPV125" s="48"/>
      <c r="KPW125" s="49"/>
      <c r="KPX125" s="50"/>
      <c r="KPY125" s="50"/>
      <c r="KPZ125" s="41"/>
      <c r="KQA125" s="41"/>
      <c r="KQB125" s="49"/>
      <c r="KQC125" s="41"/>
      <c r="KQD125" s="41"/>
      <c r="KQF125" s="40"/>
      <c r="KQG125" s="47"/>
      <c r="KQH125" s="48"/>
      <c r="KQI125" s="49"/>
      <c r="KQJ125" s="50"/>
      <c r="KQK125" s="50"/>
      <c r="KQL125" s="41"/>
      <c r="KQM125" s="41"/>
      <c r="KQN125" s="49"/>
      <c r="KQO125" s="41"/>
      <c r="KQP125" s="41"/>
      <c r="KQR125" s="40"/>
      <c r="KQS125" s="47"/>
      <c r="KQT125" s="48"/>
      <c r="KQU125" s="49"/>
      <c r="KQV125" s="50"/>
      <c r="KQW125" s="50"/>
      <c r="KQX125" s="41"/>
      <c r="KQY125" s="41"/>
      <c r="KQZ125" s="49"/>
      <c r="KRA125" s="41"/>
      <c r="KRB125" s="41"/>
      <c r="KRD125" s="40"/>
      <c r="KRE125" s="47"/>
      <c r="KRF125" s="48"/>
      <c r="KRG125" s="49"/>
      <c r="KRH125" s="50"/>
      <c r="KRI125" s="50"/>
      <c r="KRJ125" s="41"/>
      <c r="KRK125" s="41"/>
      <c r="KRL125" s="49"/>
      <c r="KRM125" s="41"/>
      <c r="KRN125" s="41"/>
      <c r="KRP125" s="40"/>
      <c r="KRQ125" s="47"/>
      <c r="KRR125" s="48"/>
      <c r="KRS125" s="49"/>
      <c r="KRT125" s="50"/>
      <c r="KRU125" s="50"/>
      <c r="KRV125" s="41"/>
      <c r="KRW125" s="41"/>
      <c r="KRX125" s="49"/>
      <c r="KRY125" s="41"/>
      <c r="KRZ125" s="41"/>
      <c r="KSB125" s="40"/>
      <c r="KSC125" s="47"/>
      <c r="KSD125" s="48"/>
      <c r="KSE125" s="49"/>
      <c r="KSF125" s="50"/>
      <c r="KSG125" s="50"/>
      <c r="KSH125" s="41"/>
      <c r="KSI125" s="41"/>
      <c r="KSJ125" s="49"/>
      <c r="KSK125" s="41"/>
      <c r="KSL125" s="41"/>
      <c r="KSN125" s="40"/>
      <c r="KSO125" s="47"/>
      <c r="KSP125" s="48"/>
      <c r="KSQ125" s="49"/>
      <c r="KSR125" s="50"/>
      <c r="KSS125" s="50"/>
      <c r="KST125" s="41"/>
      <c r="KSU125" s="41"/>
      <c r="KSV125" s="49"/>
      <c r="KSW125" s="41"/>
      <c r="KSX125" s="41"/>
      <c r="KSZ125" s="40"/>
      <c r="KTA125" s="47"/>
      <c r="KTB125" s="48"/>
      <c r="KTC125" s="49"/>
      <c r="KTD125" s="50"/>
      <c r="KTE125" s="50"/>
      <c r="KTF125" s="41"/>
      <c r="KTG125" s="41"/>
      <c r="KTH125" s="49"/>
      <c r="KTI125" s="41"/>
      <c r="KTJ125" s="41"/>
      <c r="KTL125" s="40"/>
      <c r="KTM125" s="47"/>
      <c r="KTN125" s="48"/>
      <c r="KTO125" s="49"/>
      <c r="KTP125" s="50"/>
      <c r="KTQ125" s="50"/>
      <c r="KTR125" s="41"/>
      <c r="KTS125" s="41"/>
      <c r="KTT125" s="49"/>
      <c r="KTU125" s="41"/>
      <c r="KTV125" s="41"/>
      <c r="KTX125" s="40"/>
      <c r="KTY125" s="47"/>
      <c r="KTZ125" s="48"/>
      <c r="KUA125" s="49"/>
      <c r="KUB125" s="50"/>
      <c r="KUC125" s="50"/>
      <c r="KUD125" s="41"/>
      <c r="KUE125" s="41"/>
      <c r="KUF125" s="49"/>
      <c r="KUG125" s="41"/>
      <c r="KUH125" s="41"/>
      <c r="KUJ125" s="40"/>
      <c r="KUK125" s="47"/>
      <c r="KUL125" s="48"/>
      <c r="KUM125" s="49"/>
      <c r="KUN125" s="50"/>
      <c r="KUO125" s="50"/>
      <c r="KUP125" s="41"/>
      <c r="KUQ125" s="41"/>
      <c r="KUR125" s="49"/>
      <c r="KUS125" s="41"/>
      <c r="KUT125" s="41"/>
      <c r="KUV125" s="40"/>
      <c r="KUW125" s="47"/>
      <c r="KUX125" s="48"/>
      <c r="KUY125" s="49"/>
      <c r="KUZ125" s="50"/>
      <c r="KVA125" s="50"/>
      <c r="KVB125" s="41"/>
      <c r="KVC125" s="41"/>
      <c r="KVD125" s="49"/>
      <c r="KVE125" s="41"/>
      <c r="KVF125" s="41"/>
      <c r="KVH125" s="40"/>
      <c r="KVI125" s="47"/>
      <c r="KVJ125" s="48"/>
      <c r="KVK125" s="49"/>
      <c r="KVL125" s="50"/>
      <c r="KVM125" s="50"/>
      <c r="KVN125" s="41"/>
      <c r="KVO125" s="41"/>
      <c r="KVP125" s="49"/>
      <c r="KVQ125" s="41"/>
      <c r="KVR125" s="41"/>
      <c r="KVT125" s="40"/>
      <c r="KVU125" s="47"/>
      <c r="KVV125" s="48"/>
      <c r="KVW125" s="49"/>
      <c r="KVX125" s="50"/>
      <c r="KVY125" s="50"/>
      <c r="KVZ125" s="41"/>
      <c r="KWA125" s="41"/>
      <c r="KWB125" s="49"/>
      <c r="KWC125" s="41"/>
      <c r="KWD125" s="41"/>
      <c r="KWF125" s="40"/>
      <c r="KWG125" s="47"/>
      <c r="KWH125" s="48"/>
      <c r="KWI125" s="49"/>
      <c r="KWJ125" s="50"/>
      <c r="KWK125" s="50"/>
      <c r="KWL125" s="41"/>
      <c r="KWM125" s="41"/>
      <c r="KWN125" s="49"/>
      <c r="KWO125" s="41"/>
      <c r="KWP125" s="41"/>
      <c r="KWR125" s="40"/>
      <c r="KWS125" s="47"/>
      <c r="KWT125" s="48"/>
      <c r="KWU125" s="49"/>
      <c r="KWV125" s="50"/>
      <c r="KWW125" s="50"/>
      <c r="KWX125" s="41"/>
      <c r="KWY125" s="41"/>
      <c r="KWZ125" s="49"/>
      <c r="KXA125" s="41"/>
      <c r="KXB125" s="41"/>
      <c r="KXD125" s="40"/>
      <c r="KXE125" s="47"/>
      <c r="KXF125" s="48"/>
      <c r="KXG125" s="49"/>
      <c r="KXH125" s="50"/>
      <c r="KXI125" s="50"/>
      <c r="KXJ125" s="41"/>
      <c r="KXK125" s="41"/>
      <c r="KXL125" s="49"/>
      <c r="KXM125" s="41"/>
      <c r="KXN125" s="41"/>
      <c r="KXP125" s="40"/>
      <c r="KXQ125" s="47"/>
      <c r="KXR125" s="48"/>
      <c r="KXS125" s="49"/>
      <c r="KXT125" s="50"/>
      <c r="KXU125" s="50"/>
      <c r="KXV125" s="41"/>
      <c r="KXW125" s="41"/>
      <c r="KXX125" s="49"/>
      <c r="KXY125" s="41"/>
      <c r="KXZ125" s="41"/>
      <c r="KYB125" s="40"/>
      <c r="KYC125" s="47"/>
      <c r="KYD125" s="48"/>
      <c r="KYE125" s="49"/>
      <c r="KYF125" s="50"/>
      <c r="KYG125" s="50"/>
      <c r="KYH125" s="41"/>
      <c r="KYI125" s="41"/>
      <c r="KYJ125" s="49"/>
      <c r="KYK125" s="41"/>
      <c r="KYL125" s="41"/>
      <c r="KYN125" s="40"/>
      <c r="KYO125" s="47"/>
      <c r="KYP125" s="48"/>
      <c r="KYQ125" s="49"/>
      <c r="KYR125" s="50"/>
      <c r="KYS125" s="50"/>
      <c r="KYT125" s="41"/>
      <c r="KYU125" s="41"/>
      <c r="KYV125" s="49"/>
      <c r="KYW125" s="41"/>
      <c r="KYX125" s="41"/>
      <c r="KYZ125" s="40"/>
      <c r="KZA125" s="47"/>
      <c r="KZB125" s="48"/>
      <c r="KZC125" s="49"/>
      <c r="KZD125" s="50"/>
      <c r="KZE125" s="50"/>
      <c r="KZF125" s="41"/>
      <c r="KZG125" s="41"/>
      <c r="KZH125" s="49"/>
      <c r="KZI125" s="41"/>
      <c r="KZJ125" s="41"/>
      <c r="KZL125" s="40"/>
      <c r="KZM125" s="47"/>
      <c r="KZN125" s="48"/>
      <c r="KZO125" s="49"/>
      <c r="KZP125" s="50"/>
      <c r="KZQ125" s="50"/>
      <c r="KZR125" s="41"/>
      <c r="KZS125" s="41"/>
      <c r="KZT125" s="49"/>
      <c r="KZU125" s="41"/>
      <c r="KZV125" s="41"/>
      <c r="KZX125" s="40"/>
      <c r="KZY125" s="47"/>
      <c r="KZZ125" s="48"/>
      <c r="LAA125" s="49"/>
      <c r="LAB125" s="50"/>
      <c r="LAC125" s="50"/>
      <c r="LAD125" s="41"/>
      <c r="LAE125" s="41"/>
      <c r="LAF125" s="49"/>
      <c r="LAG125" s="41"/>
      <c r="LAH125" s="41"/>
      <c r="LAJ125" s="40"/>
      <c r="LAK125" s="47"/>
      <c r="LAL125" s="48"/>
      <c r="LAM125" s="49"/>
      <c r="LAN125" s="50"/>
      <c r="LAO125" s="50"/>
      <c r="LAP125" s="41"/>
      <c r="LAQ125" s="41"/>
      <c r="LAR125" s="49"/>
      <c r="LAS125" s="41"/>
      <c r="LAT125" s="41"/>
      <c r="LAV125" s="40"/>
      <c r="LAW125" s="47"/>
      <c r="LAX125" s="48"/>
      <c r="LAY125" s="49"/>
      <c r="LAZ125" s="50"/>
      <c r="LBA125" s="50"/>
      <c r="LBB125" s="41"/>
      <c r="LBC125" s="41"/>
      <c r="LBD125" s="49"/>
      <c r="LBE125" s="41"/>
      <c r="LBF125" s="41"/>
      <c r="LBH125" s="40"/>
      <c r="LBI125" s="47"/>
      <c r="LBJ125" s="48"/>
      <c r="LBK125" s="49"/>
      <c r="LBL125" s="50"/>
      <c r="LBM125" s="50"/>
      <c r="LBN125" s="41"/>
      <c r="LBO125" s="41"/>
      <c r="LBP125" s="49"/>
      <c r="LBQ125" s="41"/>
      <c r="LBR125" s="41"/>
      <c r="LBT125" s="40"/>
      <c r="LBU125" s="47"/>
      <c r="LBV125" s="48"/>
      <c r="LBW125" s="49"/>
      <c r="LBX125" s="50"/>
      <c r="LBY125" s="50"/>
      <c r="LBZ125" s="41"/>
      <c r="LCA125" s="41"/>
      <c r="LCB125" s="49"/>
      <c r="LCC125" s="41"/>
      <c r="LCD125" s="41"/>
      <c r="LCF125" s="40"/>
      <c r="LCG125" s="47"/>
      <c r="LCH125" s="48"/>
      <c r="LCI125" s="49"/>
      <c r="LCJ125" s="50"/>
      <c r="LCK125" s="50"/>
      <c r="LCL125" s="41"/>
      <c r="LCM125" s="41"/>
      <c r="LCN125" s="49"/>
      <c r="LCO125" s="41"/>
      <c r="LCP125" s="41"/>
      <c r="LCR125" s="40"/>
      <c r="LCS125" s="47"/>
      <c r="LCT125" s="48"/>
      <c r="LCU125" s="49"/>
      <c r="LCV125" s="50"/>
      <c r="LCW125" s="50"/>
      <c r="LCX125" s="41"/>
      <c r="LCY125" s="41"/>
      <c r="LCZ125" s="49"/>
      <c r="LDA125" s="41"/>
      <c r="LDB125" s="41"/>
      <c r="LDD125" s="40"/>
      <c r="LDE125" s="47"/>
      <c r="LDF125" s="48"/>
      <c r="LDG125" s="49"/>
      <c r="LDH125" s="50"/>
      <c r="LDI125" s="50"/>
      <c r="LDJ125" s="41"/>
      <c r="LDK125" s="41"/>
      <c r="LDL125" s="49"/>
      <c r="LDM125" s="41"/>
      <c r="LDN125" s="41"/>
      <c r="LDP125" s="40"/>
      <c r="LDQ125" s="47"/>
      <c r="LDR125" s="48"/>
      <c r="LDS125" s="49"/>
      <c r="LDT125" s="50"/>
      <c r="LDU125" s="50"/>
      <c r="LDV125" s="41"/>
      <c r="LDW125" s="41"/>
      <c r="LDX125" s="49"/>
      <c r="LDY125" s="41"/>
      <c r="LDZ125" s="41"/>
      <c r="LEB125" s="40"/>
      <c r="LEC125" s="47"/>
      <c r="LED125" s="48"/>
      <c r="LEE125" s="49"/>
      <c r="LEF125" s="50"/>
      <c r="LEG125" s="50"/>
      <c r="LEH125" s="41"/>
      <c r="LEI125" s="41"/>
      <c r="LEJ125" s="49"/>
      <c r="LEK125" s="41"/>
      <c r="LEL125" s="41"/>
      <c r="LEN125" s="40"/>
      <c r="LEO125" s="47"/>
      <c r="LEP125" s="48"/>
      <c r="LEQ125" s="49"/>
      <c r="LER125" s="50"/>
      <c r="LES125" s="50"/>
      <c r="LET125" s="41"/>
      <c r="LEU125" s="41"/>
      <c r="LEV125" s="49"/>
      <c r="LEW125" s="41"/>
      <c r="LEX125" s="41"/>
      <c r="LEZ125" s="40"/>
      <c r="LFA125" s="47"/>
      <c r="LFB125" s="48"/>
      <c r="LFC125" s="49"/>
      <c r="LFD125" s="50"/>
      <c r="LFE125" s="50"/>
      <c r="LFF125" s="41"/>
      <c r="LFG125" s="41"/>
      <c r="LFH125" s="49"/>
      <c r="LFI125" s="41"/>
      <c r="LFJ125" s="41"/>
      <c r="LFL125" s="40"/>
      <c r="LFM125" s="47"/>
      <c r="LFN125" s="48"/>
      <c r="LFO125" s="49"/>
      <c r="LFP125" s="50"/>
      <c r="LFQ125" s="50"/>
      <c r="LFR125" s="41"/>
      <c r="LFS125" s="41"/>
      <c r="LFT125" s="49"/>
      <c r="LFU125" s="41"/>
      <c r="LFV125" s="41"/>
      <c r="LFX125" s="40"/>
      <c r="LFY125" s="47"/>
      <c r="LFZ125" s="48"/>
      <c r="LGA125" s="49"/>
      <c r="LGB125" s="50"/>
      <c r="LGC125" s="50"/>
      <c r="LGD125" s="41"/>
      <c r="LGE125" s="41"/>
      <c r="LGF125" s="49"/>
      <c r="LGG125" s="41"/>
      <c r="LGH125" s="41"/>
      <c r="LGJ125" s="40"/>
      <c r="LGK125" s="47"/>
      <c r="LGL125" s="48"/>
      <c r="LGM125" s="49"/>
      <c r="LGN125" s="50"/>
      <c r="LGO125" s="50"/>
      <c r="LGP125" s="41"/>
      <c r="LGQ125" s="41"/>
      <c r="LGR125" s="49"/>
      <c r="LGS125" s="41"/>
      <c r="LGT125" s="41"/>
      <c r="LGV125" s="40"/>
      <c r="LGW125" s="47"/>
      <c r="LGX125" s="48"/>
      <c r="LGY125" s="49"/>
      <c r="LGZ125" s="50"/>
      <c r="LHA125" s="50"/>
      <c r="LHB125" s="41"/>
      <c r="LHC125" s="41"/>
      <c r="LHD125" s="49"/>
      <c r="LHE125" s="41"/>
      <c r="LHF125" s="41"/>
      <c r="LHH125" s="40"/>
      <c r="LHI125" s="47"/>
      <c r="LHJ125" s="48"/>
      <c r="LHK125" s="49"/>
      <c r="LHL125" s="50"/>
      <c r="LHM125" s="50"/>
      <c r="LHN125" s="41"/>
      <c r="LHO125" s="41"/>
      <c r="LHP125" s="49"/>
      <c r="LHQ125" s="41"/>
      <c r="LHR125" s="41"/>
      <c r="LHT125" s="40"/>
      <c r="LHU125" s="47"/>
      <c r="LHV125" s="48"/>
      <c r="LHW125" s="49"/>
      <c r="LHX125" s="50"/>
      <c r="LHY125" s="50"/>
      <c r="LHZ125" s="41"/>
      <c r="LIA125" s="41"/>
      <c r="LIB125" s="49"/>
      <c r="LIC125" s="41"/>
      <c r="LID125" s="41"/>
      <c r="LIF125" s="40"/>
      <c r="LIG125" s="47"/>
      <c r="LIH125" s="48"/>
      <c r="LII125" s="49"/>
      <c r="LIJ125" s="50"/>
      <c r="LIK125" s="50"/>
      <c r="LIL125" s="41"/>
      <c r="LIM125" s="41"/>
      <c r="LIN125" s="49"/>
      <c r="LIO125" s="41"/>
      <c r="LIP125" s="41"/>
      <c r="LIR125" s="40"/>
      <c r="LIS125" s="47"/>
      <c r="LIT125" s="48"/>
      <c r="LIU125" s="49"/>
      <c r="LIV125" s="50"/>
      <c r="LIW125" s="50"/>
      <c r="LIX125" s="41"/>
      <c r="LIY125" s="41"/>
      <c r="LIZ125" s="49"/>
      <c r="LJA125" s="41"/>
      <c r="LJB125" s="41"/>
      <c r="LJD125" s="40"/>
      <c r="LJE125" s="47"/>
      <c r="LJF125" s="48"/>
      <c r="LJG125" s="49"/>
      <c r="LJH125" s="50"/>
      <c r="LJI125" s="50"/>
      <c r="LJJ125" s="41"/>
      <c r="LJK125" s="41"/>
      <c r="LJL125" s="49"/>
      <c r="LJM125" s="41"/>
      <c r="LJN125" s="41"/>
      <c r="LJP125" s="40"/>
      <c r="LJQ125" s="47"/>
      <c r="LJR125" s="48"/>
      <c r="LJS125" s="49"/>
      <c r="LJT125" s="50"/>
      <c r="LJU125" s="50"/>
      <c r="LJV125" s="41"/>
      <c r="LJW125" s="41"/>
      <c r="LJX125" s="49"/>
      <c r="LJY125" s="41"/>
      <c r="LJZ125" s="41"/>
      <c r="LKB125" s="40"/>
      <c r="LKC125" s="47"/>
      <c r="LKD125" s="48"/>
      <c r="LKE125" s="49"/>
      <c r="LKF125" s="50"/>
      <c r="LKG125" s="50"/>
      <c r="LKH125" s="41"/>
      <c r="LKI125" s="41"/>
      <c r="LKJ125" s="49"/>
      <c r="LKK125" s="41"/>
      <c r="LKL125" s="41"/>
      <c r="LKN125" s="40"/>
      <c r="LKO125" s="47"/>
      <c r="LKP125" s="48"/>
      <c r="LKQ125" s="49"/>
      <c r="LKR125" s="50"/>
      <c r="LKS125" s="50"/>
      <c r="LKT125" s="41"/>
      <c r="LKU125" s="41"/>
      <c r="LKV125" s="49"/>
      <c r="LKW125" s="41"/>
      <c r="LKX125" s="41"/>
      <c r="LKZ125" s="40"/>
      <c r="LLA125" s="47"/>
      <c r="LLB125" s="48"/>
      <c r="LLC125" s="49"/>
      <c r="LLD125" s="50"/>
      <c r="LLE125" s="50"/>
      <c r="LLF125" s="41"/>
      <c r="LLG125" s="41"/>
      <c r="LLH125" s="49"/>
      <c r="LLI125" s="41"/>
      <c r="LLJ125" s="41"/>
      <c r="LLL125" s="40"/>
      <c r="LLM125" s="47"/>
      <c r="LLN125" s="48"/>
      <c r="LLO125" s="49"/>
      <c r="LLP125" s="50"/>
      <c r="LLQ125" s="50"/>
      <c r="LLR125" s="41"/>
      <c r="LLS125" s="41"/>
      <c r="LLT125" s="49"/>
      <c r="LLU125" s="41"/>
      <c r="LLV125" s="41"/>
      <c r="LLX125" s="40"/>
      <c r="LLY125" s="47"/>
      <c r="LLZ125" s="48"/>
      <c r="LMA125" s="49"/>
      <c r="LMB125" s="50"/>
      <c r="LMC125" s="50"/>
      <c r="LMD125" s="41"/>
      <c r="LME125" s="41"/>
      <c r="LMF125" s="49"/>
      <c r="LMG125" s="41"/>
      <c r="LMH125" s="41"/>
      <c r="LMJ125" s="40"/>
      <c r="LMK125" s="47"/>
      <c r="LML125" s="48"/>
      <c r="LMM125" s="49"/>
      <c r="LMN125" s="50"/>
      <c r="LMO125" s="50"/>
      <c r="LMP125" s="41"/>
      <c r="LMQ125" s="41"/>
      <c r="LMR125" s="49"/>
      <c r="LMS125" s="41"/>
      <c r="LMT125" s="41"/>
      <c r="LMV125" s="40"/>
      <c r="LMW125" s="47"/>
      <c r="LMX125" s="48"/>
      <c r="LMY125" s="49"/>
      <c r="LMZ125" s="50"/>
      <c r="LNA125" s="50"/>
      <c r="LNB125" s="41"/>
      <c r="LNC125" s="41"/>
      <c r="LND125" s="49"/>
      <c r="LNE125" s="41"/>
      <c r="LNF125" s="41"/>
      <c r="LNH125" s="40"/>
      <c r="LNI125" s="47"/>
      <c r="LNJ125" s="48"/>
      <c r="LNK125" s="49"/>
      <c r="LNL125" s="50"/>
      <c r="LNM125" s="50"/>
      <c r="LNN125" s="41"/>
      <c r="LNO125" s="41"/>
      <c r="LNP125" s="49"/>
      <c r="LNQ125" s="41"/>
      <c r="LNR125" s="41"/>
      <c r="LNT125" s="40"/>
      <c r="LNU125" s="47"/>
      <c r="LNV125" s="48"/>
      <c r="LNW125" s="49"/>
      <c r="LNX125" s="50"/>
      <c r="LNY125" s="50"/>
      <c r="LNZ125" s="41"/>
      <c r="LOA125" s="41"/>
      <c r="LOB125" s="49"/>
      <c r="LOC125" s="41"/>
      <c r="LOD125" s="41"/>
      <c r="LOF125" s="40"/>
      <c r="LOG125" s="47"/>
      <c r="LOH125" s="48"/>
      <c r="LOI125" s="49"/>
      <c r="LOJ125" s="50"/>
      <c r="LOK125" s="50"/>
      <c r="LOL125" s="41"/>
      <c r="LOM125" s="41"/>
      <c r="LON125" s="49"/>
      <c r="LOO125" s="41"/>
      <c r="LOP125" s="41"/>
      <c r="LOR125" s="40"/>
      <c r="LOS125" s="47"/>
      <c r="LOT125" s="48"/>
      <c r="LOU125" s="49"/>
      <c r="LOV125" s="50"/>
      <c r="LOW125" s="50"/>
      <c r="LOX125" s="41"/>
      <c r="LOY125" s="41"/>
      <c r="LOZ125" s="49"/>
      <c r="LPA125" s="41"/>
      <c r="LPB125" s="41"/>
      <c r="LPD125" s="40"/>
      <c r="LPE125" s="47"/>
      <c r="LPF125" s="48"/>
      <c r="LPG125" s="49"/>
      <c r="LPH125" s="50"/>
      <c r="LPI125" s="50"/>
      <c r="LPJ125" s="41"/>
      <c r="LPK125" s="41"/>
      <c r="LPL125" s="49"/>
      <c r="LPM125" s="41"/>
      <c r="LPN125" s="41"/>
      <c r="LPP125" s="40"/>
      <c r="LPQ125" s="47"/>
      <c r="LPR125" s="48"/>
      <c r="LPS125" s="49"/>
      <c r="LPT125" s="50"/>
      <c r="LPU125" s="50"/>
      <c r="LPV125" s="41"/>
      <c r="LPW125" s="41"/>
      <c r="LPX125" s="49"/>
      <c r="LPY125" s="41"/>
      <c r="LPZ125" s="41"/>
      <c r="LQB125" s="40"/>
      <c r="LQC125" s="47"/>
      <c r="LQD125" s="48"/>
      <c r="LQE125" s="49"/>
      <c r="LQF125" s="50"/>
      <c r="LQG125" s="50"/>
      <c r="LQH125" s="41"/>
      <c r="LQI125" s="41"/>
      <c r="LQJ125" s="49"/>
      <c r="LQK125" s="41"/>
      <c r="LQL125" s="41"/>
      <c r="LQN125" s="40"/>
      <c r="LQO125" s="47"/>
      <c r="LQP125" s="48"/>
      <c r="LQQ125" s="49"/>
      <c r="LQR125" s="50"/>
      <c r="LQS125" s="50"/>
      <c r="LQT125" s="41"/>
      <c r="LQU125" s="41"/>
      <c r="LQV125" s="49"/>
      <c r="LQW125" s="41"/>
      <c r="LQX125" s="41"/>
      <c r="LQZ125" s="40"/>
      <c r="LRA125" s="47"/>
      <c r="LRB125" s="48"/>
      <c r="LRC125" s="49"/>
      <c r="LRD125" s="50"/>
      <c r="LRE125" s="50"/>
      <c r="LRF125" s="41"/>
      <c r="LRG125" s="41"/>
      <c r="LRH125" s="49"/>
      <c r="LRI125" s="41"/>
      <c r="LRJ125" s="41"/>
      <c r="LRL125" s="40"/>
      <c r="LRM125" s="47"/>
      <c r="LRN125" s="48"/>
      <c r="LRO125" s="49"/>
      <c r="LRP125" s="50"/>
      <c r="LRQ125" s="50"/>
      <c r="LRR125" s="41"/>
      <c r="LRS125" s="41"/>
      <c r="LRT125" s="49"/>
      <c r="LRU125" s="41"/>
      <c r="LRV125" s="41"/>
      <c r="LRX125" s="40"/>
      <c r="LRY125" s="47"/>
      <c r="LRZ125" s="48"/>
      <c r="LSA125" s="49"/>
      <c r="LSB125" s="50"/>
      <c r="LSC125" s="50"/>
      <c r="LSD125" s="41"/>
      <c r="LSE125" s="41"/>
      <c r="LSF125" s="49"/>
      <c r="LSG125" s="41"/>
      <c r="LSH125" s="41"/>
      <c r="LSJ125" s="40"/>
      <c r="LSK125" s="47"/>
      <c r="LSL125" s="48"/>
      <c r="LSM125" s="49"/>
      <c r="LSN125" s="50"/>
      <c r="LSO125" s="50"/>
      <c r="LSP125" s="41"/>
      <c r="LSQ125" s="41"/>
      <c r="LSR125" s="49"/>
      <c r="LSS125" s="41"/>
      <c r="LST125" s="41"/>
      <c r="LSV125" s="40"/>
      <c r="LSW125" s="47"/>
      <c r="LSX125" s="48"/>
      <c r="LSY125" s="49"/>
      <c r="LSZ125" s="50"/>
      <c r="LTA125" s="50"/>
      <c r="LTB125" s="41"/>
      <c r="LTC125" s="41"/>
      <c r="LTD125" s="49"/>
      <c r="LTE125" s="41"/>
      <c r="LTF125" s="41"/>
      <c r="LTH125" s="40"/>
      <c r="LTI125" s="47"/>
      <c r="LTJ125" s="48"/>
      <c r="LTK125" s="49"/>
      <c r="LTL125" s="50"/>
      <c r="LTM125" s="50"/>
      <c r="LTN125" s="41"/>
      <c r="LTO125" s="41"/>
      <c r="LTP125" s="49"/>
      <c r="LTQ125" s="41"/>
      <c r="LTR125" s="41"/>
      <c r="LTT125" s="40"/>
      <c r="LTU125" s="47"/>
      <c r="LTV125" s="48"/>
      <c r="LTW125" s="49"/>
      <c r="LTX125" s="50"/>
      <c r="LTY125" s="50"/>
      <c r="LTZ125" s="41"/>
      <c r="LUA125" s="41"/>
      <c r="LUB125" s="49"/>
      <c r="LUC125" s="41"/>
      <c r="LUD125" s="41"/>
      <c r="LUF125" s="40"/>
      <c r="LUG125" s="47"/>
      <c r="LUH125" s="48"/>
      <c r="LUI125" s="49"/>
      <c r="LUJ125" s="50"/>
      <c r="LUK125" s="50"/>
      <c r="LUL125" s="41"/>
      <c r="LUM125" s="41"/>
      <c r="LUN125" s="49"/>
      <c r="LUO125" s="41"/>
      <c r="LUP125" s="41"/>
      <c r="LUR125" s="40"/>
      <c r="LUS125" s="47"/>
      <c r="LUT125" s="48"/>
      <c r="LUU125" s="49"/>
      <c r="LUV125" s="50"/>
      <c r="LUW125" s="50"/>
      <c r="LUX125" s="41"/>
      <c r="LUY125" s="41"/>
      <c r="LUZ125" s="49"/>
      <c r="LVA125" s="41"/>
      <c r="LVB125" s="41"/>
      <c r="LVD125" s="40"/>
      <c r="LVE125" s="47"/>
      <c r="LVF125" s="48"/>
      <c r="LVG125" s="49"/>
      <c r="LVH125" s="50"/>
      <c r="LVI125" s="50"/>
      <c r="LVJ125" s="41"/>
      <c r="LVK125" s="41"/>
      <c r="LVL125" s="49"/>
      <c r="LVM125" s="41"/>
      <c r="LVN125" s="41"/>
      <c r="LVP125" s="40"/>
      <c r="LVQ125" s="47"/>
      <c r="LVR125" s="48"/>
      <c r="LVS125" s="49"/>
      <c r="LVT125" s="50"/>
      <c r="LVU125" s="50"/>
      <c r="LVV125" s="41"/>
      <c r="LVW125" s="41"/>
      <c r="LVX125" s="49"/>
      <c r="LVY125" s="41"/>
      <c r="LVZ125" s="41"/>
      <c r="LWB125" s="40"/>
      <c r="LWC125" s="47"/>
      <c r="LWD125" s="48"/>
      <c r="LWE125" s="49"/>
      <c r="LWF125" s="50"/>
      <c r="LWG125" s="50"/>
      <c r="LWH125" s="41"/>
      <c r="LWI125" s="41"/>
      <c r="LWJ125" s="49"/>
      <c r="LWK125" s="41"/>
      <c r="LWL125" s="41"/>
      <c r="LWN125" s="40"/>
      <c r="LWO125" s="47"/>
      <c r="LWP125" s="48"/>
      <c r="LWQ125" s="49"/>
      <c r="LWR125" s="50"/>
      <c r="LWS125" s="50"/>
      <c r="LWT125" s="41"/>
      <c r="LWU125" s="41"/>
      <c r="LWV125" s="49"/>
      <c r="LWW125" s="41"/>
      <c r="LWX125" s="41"/>
      <c r="LWZ125" s="40"/>
      <c r="LXA125" s="47"/>
      <c r="LXB125" s="48"/>
      <c r="LXC125" s="49"/>
      <c r="LXD125" s="50"/>
      <c r="LXE125" s="50"/>
      <c r="LXF125" s="41"/>
      <c r="LXG125" s="41"/>
      <c r="LXH125" s="49"/>
      <c r="LXI125" s="41"/>
      <c r="LXJ125" s="41"/>
      <c r="LXL125" s="40"/>
      <c r="LXM125" s="47"/>
      <c r="LXN125" s="48"/>
      <c r="LXO125" s="49"/>
      <c r="LXP125" s="50"/>
      <c r="LXQ125" s="50"/>
      <c r="LXR125" s="41"/>
      <c r="LXS125" s="41"/>
      <c r="LXT125" s="49"/>
      <c r="LXU125" s="41"/>
      <c r="LXV125" s="41"/>
      <c r="LXX125" s="40"/>
      <c r="LXY125" s="47"/>
      <c r="LXZ125" s="48"/>
      <c r="LYA125" s="49"/>
      <c r="LYB125" s="50"/>
      <c r="LYC125" s="50"/>
      <c r="LYD125" s="41"/>
      <c r="LYE125" s="41"/>
      <c r="LYF125" s="49"/>
      <c r="LYG125" s="41"/>
      <c r="LYH125" s="41"/>
      <c r="LYJ125" s="40"/>
      <c r="LYK125" s="47"/>
      <c r="LYL125" s="48"/>
      <c r="LYM125" s="49"/>
      <c r="LYN125" s="50"/>
      <c r="LYO125" s="50"/>
      <c r="LYP125" s="41"/>
      <c r="LYQ125" s="41"/>
      <c r="LYR125" s="49"/>
      <c r="LYS125" s="41"/>
      <c r="LYT125" s="41"/>
      <c r="LYV125" s="40"/>
      <c r="LYW125" s="47"/>
      <c r="LYX125" s="48"/>
      <c r="LYY125" s="49"/>
      <c r="LYZ125" s="50"/>
      <c r="LZA125" s="50"/>
      <c r="LZB125" s="41"/>
      <c r="LZC125" s="41"/>
      <c r="LZD125" s="49"/>
      <c r="LZE125" s="41"/>
      <c r="LZF125" s="41"/>
      <c r="LZH125" s="40"/>
      <c r="LZI125" s="47"/>
      <c r="LZJ125" s="48"/>
      <c r="LZK125" s="49"/>
      <c r="LZL125" s="50"/>
      <c r="LZM125" s="50"/>
      <c r="LZN125" s="41"/>
      <c r="LZO125" s="41"/>
      <c r="LZP125" s="49"/>
      <c r="LZQ125" s="41"/>
      <c r="LZR125" s="41"/>
      <c r="LZT125" s="40"/>
      <c r="LZU125" s="47"/>
      <c r="LZV125" s="48"/>
      <c r="LZW125" s="49"/>
      <c r="LZX125" s="50"/>
      <c r="LZY125" s="50"/>
      <c r="LZZ125" s="41"/>
      <c r="MAA125" s="41"/>
      <c r="MAB125" s="49"/>
      <c r="MAC125" s="41"/>
      <c r="MAD125" s="41"/>
      <c r="MAF125" s="40"/>
      <c r="MAG125" s="47"/>
      <c r="MAH125" s="48"/>
      <c r="MAI125" s="49"/>
      <c r="MAJ125" s="50"/>
      <c r="MAK125" s="50"/>
      <c r="MAL125" s="41"/>
      <c r="MAM125" s="41"/>
      <c r="MAN125" s="49"/>
      <c r="MAO125" s="41"/>
      <c r="MAP125" s="41"/>
      <c r="MAR125" s="40"/>
      <c r="MAS125" s="47"/>
      <c r="MAT125" s="48"/>
      <c r="MAU125" s="49"/>
      <c r="MAV125" s="50"/>
      <c r="MAW125" s="50"/>
      <c r="MAX125" s="41"/>
      <c r="MAY125" s="41"/>
      <c r="MAZ125" s="49"/>
      <c r="MBA125" s="41"/>
      <c r="MBB125" s="41"/>
      <c r="MBD125" s="40"/>
      <c r="MBE125" s="47"/>
      <c r="MBF125" s="48"/>
      <c r="MBG125" s="49"/>
      <c r="MBH125" s="50"/>
      <c r="MBI125" s="50"/>
      <c r="MBJ125" s="41"/>
      <c r="MBK125" s="41"/>
      <c r="MBL125" s="49"/>
      <c r="MBM125" s="41"/>
      <c r="MBN125" s="41"/>
      <c r="MBP125" s="40"/>
      <c r="MBQ125" s="47"/>
      <c r="MBR125" s="48"/>
      <c r="MBS125" s="49"/>
      <c r="MBT125" s="50"/>
      <c r="MBU125" s="50"/>
      <c r="MBV125" s="41"/>
      <c r="MBW125" s="41"/>
      <c r="MBX125" s="49"/>
      <c r="MBY125" s="41"/>
      <c r="MBZ125" s="41"/>
      <c r="MCB125" s="40"/>
      <c r="MCC125" s="47"/>
      <c r="MCD125" s="48"/>
      <c r="MCE125" s="49"/>
      <c r="MCF125" s="50"/>
      <c r="MCG125" s="50"/>
      <c r="MCH125" s="41"/>
      <c r="MCI125" s="41"/>
      <c r="MCJ125" s="49"/>
      <c r="MCK125" s="41"/>
      <c r="MCL125" s="41"/>
      <c r="MCN125" s="40"/>
      <c r="MCO125" s="47"/>
      <c r="MCP125" s="48"/>
      <c r="MCQ125" s="49"/>
      <c r="MCR125" s="50"/>
      <c r="MCS125" s="50"/>
      <c r="MCT125" s="41"/>
      <c r="MCU125" s="41"/>
      <c r="MCV125" s="49"/>
      <c r="MCW125" s="41"/>
      <c r="MCX125" s="41"/>
      <c r="MCZ125" s="40"/>
      <c r="MDA125" s="47"/>
      <c r="MDB125" s="48"/>
      <c r="MDC125" s="49"/>
      <c r="MDD125" s="50"/>
      <c r="MDE125" s="50"/>
      <c r="MDF125" s="41"/>
      <c r="MDG125" s="41"/>
      <c r="MDH125" s="49"/>
      <c r="MDI125" s="41"/>
      <c r="MDJ125" s="41"/>
      <c r="MDL125" s="40"/>
      <c r="MDM125" s="47"/>
      <c r="MDN125" s="48"/>
      <c r="MDO125" s="49"/>
      <c r="MDP125" s="50"/>
      <c r="MDQ125" s="50"/>
      <c r="MDR125" s="41"/>
      <c r="MDS125" s="41"/>
      <c r="MDT125" s="49"/>
      <c r="MDU125" s="41"/>
      <c r="MDV125" s="41"/>
      <c r="MDX125" s="40"/>
      <c r="MDY125" s="47"/>
      <c r="MDZ125" s="48"/>
      <c r="MEA125" s="49"/>
      <c r="MEB125" s="50"/>
      <c r="MEC125" s="50"/>
      <c r="MED125" s="41"/>
      <c r="MEE125" s="41"/>
      <c r="MEF125" s="49"/>
      <c r="MEG125" s="41"/>
      <c r="MEH125" s="41"/>
      <c r="MEJ125" s="40"/>
      <c r="MEK125" s="47"/>
      <c r="MEL125" s="48"/>
      <c r="MEM125" s="49"/>
      <c r="MEN125" s="50"/>
      <c r="MEO125" s="50"/>
      <c r="MEP125" s="41"/>
      <c r="MEQ125" s="41"/>
      <c r="MER125" s="49"/>
      <c r="MES125" s="41"/>
      <c r="MET125" s="41"/>
      <c r="MEV125" s="40"/>
      <c r="MEW125" s="47"/>
      <c r="MEX125" s="48"/>
      <c r="MEY125" s="49"/>
      <c r="MEZ125" s="50"/>
      <c r="MFA125" s="50"/>
      <c r="MFB125" s="41"/>
      <c r="MFC125" s="41"/>
      <c r="MFD125" s="49"/>
      <c r="MFE125" s="41"/>
      <c r="MFF125" s="41"/>
      <c r="MFH125" s="40"/>
      <c r="MFI125" s="47"/>
      <c r="MFJ125" s="48"/>
      <c r="MFK125" s="49"/>
      <c r="MFL125" s="50"/>
      <c r="MFM125" s="50"/>
      <c r="MFN125" s="41"/>
      <c r="MFO125" s="41"/>
      <c r="MFP125" s="49"/>
      <c r="MFQ125" s="41"/>
      <c r="MFR125" s="41"/>
      <c r="MFT125" s="40"/>
      <c r="MFU125" s="47"/>
      <c r="MFV125" s="48"/>
      <c r="MFW125" s="49"/>
      <c r="MFX125" s="50"/>
      <c r="MFY125" s="50"/>
      <c r="MFZ125" s="41"/>
      <c r="MGA125" s="41"/>
      <c r="MGB125" s="49"/>
      <c r="MGC125" s="41"/>
      <c r="MGD125" s="41"/>
      <c r="MGF125" s="40"/>
      <c r="MGG125" s="47"/>
      <c r="MGH125" s="48"/>
      <c r="MGI125" s="49"/>
      <c r="MGJ125" s="50"/>
      <c r="MGK125" s="50"/>
      <c r="MGL125" s="41"/>
      <c r="MGM125" s="41"/>
      <c r="MGN125" s="49"/>
      <c r="MGO125" s="41"/>
      <c r="MGP125" s="41"/>
      <c r="MGR125" s="40"/>
      <c r="MGS125" s="47"/>
      <c r="MGT125" s="48"/>
      <c r="MGU125" s="49"/>
      <c r="MGV125" s="50"/>
      <c r="MGW125" s="50"/>
      <c r="MGX125" s="41"/>
      <c r="MGY125" s="41"/>
      <c r="MGZ125" s="49"/>
      <c r="MHA125" s="41"/>
      <c r="MHB125" s="41"/>
      <c r="MHD125" s="40"/>
      <c r="MHE125" s="47"/>
      <c r="MHF125" s="48"/>
      <c r="MHG125" s="49"/>
      <c r="MHH125" s="50"/>
      <c r="MHI125" s="50"/>
      <c r="MHJ125" s="41"/>
      <c r="MHK125" s="41"/>
      <c r="MHL125" s="49"/>
      <c r="MHM125" s="41"/>
      <c r="MHN125" s="41"/>
      <c r="MHP125" s="40"/>
      <c r="MHQ125" s="47"/>
      <c r="MHR125" s="48"/>
      <c r="MHS125" s="49"/>
      <c r="MHT125" s="50"/>
      <c r="MHU125" s="50"/>
      <c r="MHV125" s="41"/>
      <c r="MHW125" s="41"/>
      <c r="MHX125" s="49"/>
      <c r="MHY125" s="41"/>
      <c r="MHZ125" s="41"/>
      <c r="MIB125" s="40"/>
      <c r="MIC125" s="47"/>
      <c r="MID125" s="48"/>
      <c r="MIE125" s="49"/>
      <c r="MIF125" s="50"/>
      <c r="MIG125" s="50"/>
      <c r="MIH125" s="41"/>
      <c r="MII125" s="41"/>
      <c r="MIJ125" s="49"/>
      <c r="MIK125" s="41"/>
      <c r="MIL125" s="41"/>
      <c r="MIN125" s="40"/>
      <c r="MIO125" s="47"/>
      <c r="MIP125" s="48"/>
      <c r="MIQ125" s="49"/>
      <c r="MIR125" s="50"/>
      <c r="MIS125" s="50"/>
      <c r="MIT125" s="41"/>
      <c r="MIU125" s="41"/>
      <c r="MIV125" s="49"/>
      <c r="MIW125" s="41"/>
      <c r="MIX125" s="41"/>
      <c r="MIZ125" s="40"/>
      <c r="MJA125" s="47"/>
      <c r="MJB125" s="48"/>
      <c r="MJC125" s="49"/>
      <c r="MJD125" s="50"/>
      <c r="MJE125" s="50"/>
      <c r="MJF125" s="41"/>
      <c r="MJG125" s="41"/>
      <c r="MJH125" s="49"/>
      <c r="MJI125" s="41"/>
      <c r="MJJ125" s="41"/>
      <c r="MJL125" s="40"/>
      <c r="MJM125" s="47"/>
      <c r="MJN125" s="48"/>
      <c r="MJO125" s="49"/>
      <c r="MJP125" s="50"/>
      <c r="MJQ125" s="50"/>
      <c r="MJR125" s="41"/>
      <c r="MJS125" s="41"/>
      <c r="MJT125" s="49"/>
      <c r="MJU125" s="41"/>
      <c r="MJV125" s="41"/>
      <c r="MJX125" s="40"/>
      <c r="MJY125" s="47"/>
      <c r="MJZ125" s="48"/>
      <c r="MKA125" s="49"/>
      <c r="MKB125" s="50"/>
      <c r="MKC125" s="50"/>
      <c r="MKD125" s="41"/>
      <c r="MKE125" s="41"/>
      <c r="MKF125" s="49"/>
      <c r="MKG125" s="41"/>
      <c r="MKH125" s="41"/>
      <c r="MKJ125" s="40"/>
      <c r="MKK125" s="47"/>
      <c r="MKL125" s="48"/>
      <c r="MKM125" s="49"/>
      <c r="MKN125" s="50"/>
      <c r="MKO125" s="50"/>
      <c r="MKP125" s="41"/>
      <c r="MKQ125" s="41"/>
      <c r="MKR125" s="49"/>
      <c r="MKS125" s="41"/>
      <c r="MKT125" s="41"/>
      <c r="MKV125" s="40"/>
      <c r="MKW125" s="47"/>
      <c r="MKX125" s="48"/>
      <c r="MKY125" s="49"/>
      <c r="MKZ125" s="50"/>
      <c r="MLA125" s="50"/>
      <c r="MLB125" s="41"/>
      <c r="MLC125" s="41"/>
      <c r="MLD125" s="49"/>
      <c r="MLE125" s="41"/>
      <c r="MLF125" s="41"/>
      <c r="MLH125" s="40"/>
      <c r="MLI125" s="47"/>
      <c r="MLJ125" s="48"/>
      <c r="MLK125" s="49"/>
      <c r="MLL125" s="50"/>
      <c r="MLM125" s="50"/>
      <c r="MLN125" s="41"/>
      <c r="MLO125" s="41"/>
      <c r="MLP125" s="49"/>
      <c r="MLQ125" s="41"/>
      <c r="MLR125" s="41"/>
      <c r="MLT125" s="40"/>
      <c r="MLU125" s="47"/>
      <c r="MLV125" s="48"/>
      <c r="MLW125" s="49"/>
      <c r="MLX125" s="50"/>
      <c r="MLY125" s="50"/>
      <c r="MLZ125" s="41"/>
      <c r="MMA125" s="41"/>
      <c r="MMB125" s="49"/>
      <c r="MMC125" s="41"/>
      <c r="MMD125" s="41"/>
      <c r="MMF125" s="40"/>
      <c r="MMG125" s="47"/>
      <c r="MMH125" s="48"/>
      <c r="MMI125" s="49"/>
      <c r="MMJ125" s="50"/>
      <c r="MMK125" s="50"/>
      <c r="MML125" s="41"/>
      <c r="MMM125" s="41"/>
      <c r="MMN125" s="49"/>
      <c r="MMO125" s="41"/>
      <c r="MMP125" s="41"/>
      <c r="MMR125" s="40"/>
      <c r="MMS125" s="47"/>
      <c r="MMT125" s="48"/>
      <c r="MMU125" s="49"/>
      <c r="MMV125" s="50"/>
      <c r="MMW125" s="50"/>
      <c r="MMX125" s="41"/>
      <c r="MMY125" s="41"/>
      <c r="MMZ125" s="49"/>
      <c r="MNA125" s="41"/>
      <c r="MNB125" s="41"/>
      <c r="MND125" s="40"/>
      <c r="MNE125" s="47"/>
      <c r="MNF125" s="48"/>
      <c r="MNG125" s="49"/>
      <c r="MNH125" s="50"/>
      <c r="MNI125" s="50"/>
      <c r="MNJ125" s="41"/>
      <c r="MNK125" s="41"/>
      <c r="MNL125" s="49"/>
      <c r="MNM125" s="41"/>
      <c r="MNN125" s="41"/>
      <c r="MNP125" s="40"/>
      <c r="MNQ125" s="47"/>
      <c r="MNR125" s="48"/>
      <c r="MNS125" s="49"/>
      <c r="MNT125" s="50"/>
      <c r="MNU125" s="50"/>
      <c r="MNV125" s="41"/>
      <c r="MNW125" s="41"/>
      <c r="MNX125" s="49"/>
      <c r="MNY125" s="41"/>
      <c r="MNZ125" s="41"/>
      <c r="MOB125" s="40"/>
      <c r="MOC125" s="47"/>
      <c r="MOD125" s="48"/>
      <c r="MOE125" s="49"/>
      <c r="MOF125" s="50"/>
      <c r="MOG125" s="50"/>
      <c r="MOH125" s="41"/>
      <c r="MOI125" s="41"/>
      <c r="MOJ125" s="49"/>
      <c r="MOK125" s="41"/>
      <c r="MOL125" s="41"/>
      <c r="MON125" s="40"/>
      <c r="MOO125" s="47"/>
      <c r="MOP125" s="48"/>
      <c r="MOQ125" s="49"/>
      <c r="MOR125" s="50"/>
      <c r="MOS125" s="50"/>
      <c r="MOT125" s="41"/>
      <c r="MOU125" s="41"/>
      <c r="MOV125" s="49"/>
      <c r="MOW125" s="41"/>
      <c r="MOX125" s="41"/>
      <c r="MOZ125" s="40"/>
      <c r="MPA125" s="47"/>
      <c r="MPB125" s="48"/>
      <c r="MPC125" s="49"/>
      <c r="MPD125" s="50"/>
      <c r="MPE125" s="50"/>
      <c r="MPF125" s="41"/>
      <c r="MPG125" s="41"/>
      <c r="MPH125" s="49"/>
      <c r="MPI125" s="41"/>
      <c r="MPJ125" s="41"/>
      <c r="MPL125" s="40"/>
      <c r="MPM125" s="47"/>
      <c r="MPN125" s="48"/>
      <c r="MPO125" s="49"/>
      <c r="MPP125" s="50"/>
      <c r="MPQ125" s="50"/>
      <c r="MPR125" s="41"/>
      <c r="MPS125" s="41"/>
      <c r="MPT125" s="49"/>
      <c r="MPU125" s="41"/>
      <c r="MPV125" s="41"/>
      <c r="MPX125" s="40"/>
      <c r="MPY125" s="47"/>
      <c r="MPZ125" s="48"/>
      <c r="MQA125" s="49"/>
      <c r="MQB125" s="50"/>
      <c r="MQC125" s="50"/>
      <c r="MQD125" s="41"/>
      <c r="MQE125" s="41"/>
      <c r="MQF125" s="49"/>
      <c r="MQG125" s="41"/>
      <c r="MQH125" s="41"/>
      <c r="MQJ125" s="40"/>
      <c r="MQK125" s="47"/>
      <c r="MQL125" s="48"/>
      <c r="MQM125" s="49"/>
      <c r="MQN125" s="50"/>
      <c r="MQO125" s="50"/>
      <c r="MQP125" s="41"/>
      <c r="MQQ125" s="41"/>
      <c r="MQR125" s="49"/>
      <c r="MQS125" s="41"/>
      <c r="MQT125" s="41"/>
      <c r="MQV125" s="40"/>
      <c r="MQW125" s="47"/>
      <c r="MQX125" s="48"/>
      <c r="MQY125" s="49"/>
      <c r="MQZ125" s="50"/>
      <c r="MRA125" s="50"/>
      <c r="MRB125" s="41"/>
      <c r="MRC125" s="41"/>
      <c r="MRD125" s="49"/>
      <c r="MRE125" s="41"/>
      <c r="MRF125" s="41"/>
      <c r="MRH125" s="40"/>
      <c r="MRI125" s="47"/>
      <c r="MRJ125" s="48"/>
      <c r="MRK125" s="49"/>
      <c r="MRL125" s="50"/>
      <c r="MRM125" s="50"/>
      <c r="MRN125" s="41"/>
      <c r="MRO125" s="41"/>
      <c r="MRP125" s="49"/>
      <c r="MRQ125" s="41"/>
      <c r="MRR125" s="41"/>
      <c r="MRT125" s="40"/>
      <c r="MRU125" s="47"/>
      <c r="MRV125" s="48"/>
      <c r="MRW125" s="49"/>
      <c r="MRX125" s="50"/>
      <c r="MRY125" s="50"/>
      <c r="MRZ125" s="41"/>
      <c r="MSA125" s="41"/>
      <c r="MSB125" s="49"/>
      <c r="MSC125" s="41"/>
      <c r="MSD125" s="41"/>
      <c r="MSF125" s="40"/>
      <c r="MSG125" s="47"/>
      <c r="MSH125" s="48"/>
      <c r="MSI125" s="49"/>
      <c r="MSJ125" s="50"/>
      <c r="MSK125" s="50"/>
      <c r="MSL125" s="41"/>
      <c r="MSM125" s="41"/>
      <c r="MSN125" s="49"/>
      <c r="MSO125" s="41"/>
      <c r="MSP125" s="41"/>
      <c r="MSR125" s="40"/>
      <c r="MSS125" s="47"/>
      <c r="MST125" s="48"/>
      <c r="MSU125" s="49"/>
      <c r="MSV125" s="50"/>
      <c r="MSW125" s="50"/>
      <c r="MSX125" s="41"/>
      <c r="MSY125" s="41"/>
      <c r="MSZ125" s="49"/>
      <c r="MTA125" s="41"/>
      <c r="MTB125" s="41"/>
      <c r="MTD125" s="40"/>
      <c r="MTE125" s="47"/>
      <c r="MTF125" s="48"/>
      <c r="MTG125" s="49"/>
      <c r="MTH125" s="50"/>
      <c r="MTI125" s="50"/>
      <c r="MTJ125" s="41"/>
      <c r="MTK125" s="41"/>
      <c r="MTL125" s="49"/>
      <c r="MTM125" s="41"/>
      <c r="MTN125" s="41"/>
      <c r="MTP125" s="40"/>
      <c r="MTQ125" s="47"/>
      <c r="MTR125" s="48"/>
      <c r="MTS125" s="49"/>
      <c r="MTT125" s="50"/>
      <c r="MTU125" s="50"/>
      <c r="MTV125" s="41"/>
      <c r="MTW125" s="41"/>
      <c r="MTX125" s="49"/>
      <c r="MTY125" s="41"/>
      <c r="MTZ125" s="41"/>
      <c r="MUB125" s="40"/>
      <c r="MUC125" s="47"/>
      <c r="MUD125" s="48"/>
      <c r="MUE125" s="49"/>
      <c r="MUF125" s="50"/>
      <c r="MUG125" s="50"/>
      <c r="MUH125" s="41"/>
      <c r="MUI125" s="41"/>
      <c r="MUJ125" s="49"/>
      <c r="MUK125" s="41"/>
      <c r="MUL125" s="41"/>
      <c r="MUN125" s="40"/>
      <c r="MUO125" s="47"/>
      <c r="MUP125" s="48"/>
      <c r="MUQ125" s="49"/>
      <c r="MUR125" s="50"/>
      <c r="MUS125" s="50"/>
      <c r="MUT125" s="41"/>
      <c r="MUU125" s="41"/>
      <c r="MUV125" s="49"/>
      <c r="MUW125" s="41"/>
      <c r="MUX125" s="41"/>
      <c r="MUZ125" s="40"/>
      <c r="MVA125" s="47"/>
      <c r="MVB125" s="48"/>
      <c r="MVC125" s="49"/>
      <c r="MVD125" s="50"/>
      <c r="MVE125" s="50"/>
      <c r="MVF125" s="41"/>
      <c r="MVG125" s="41"/>
      <c r="MVH125" s="49"/>
      <c r="MVI125" s="41"/>
      <c r="MVJ125" s="41"/>
      <c r="MVL125" s="40"/>
      <c r="MVM125" s="47"/>
      <c r="MVN125" s="48"/>
      <c r="MVO125" s="49"/>
      <c r="MVP125" s="50"/>
      <c r="MVQ125" s="50"/>
      <c r="MVR125" s="41"/>
      <c r="MVS125" s="41"/>
      <c r="MVT125" s="49"/>
      <c r="MVU125" s="41"/>
      <c r="MVV125" s="41"/>
      <c r="MVX125" s="40"/>
      <c r="MVY125" s="47"/>
      <c r="MVZ125" s="48"/>
      <c r="MWA125" s="49"/>
      <c r="MWB125" s="50"/>
      <c r="MWC125" s="50"/>
      <c r="MWD125" s="41"/>
      <c r="MWE125" s="41"/>
      <c r="MWF125" s="49"/>
      <c r="MWG125" s="41"/>
      <c r="MWH125" s="41"/>
      <c r="MWJ125" s="40"/>
      <c r="MWK125" s="47"/>
      <c r="MWL125" s="48"/>
      <c r="MWM125" s="49"/>
      <c r="MWN125" s="50"/>
      <c r="MWO125" s="50"/>
      <c r="MWP125" s="41"/>
      <c r="MWQ125" s="41"/>
      <c r="MWR125" s="49"/>
      <c r="MWS125" s="41"/>
      <c r="MWT125" s="41"/>
      <c r="MWV125" s="40"/>
      <c r="MWW125" s="47"/>
      <c r="MWX125" s="48"/>
      <c r="MWY125" s="49"/>
      <c r="MWZ125" s="50"/>
      <c r="MXA125" s="50"/>
      <c r="MXB125" s="41"/>
      <c r="MXC125" s="41"/>
      <c r="MXD125" s="49"/>
      <c r="MXE125" s="41"/>
      <c r="MXF125" s="41"/>
      <c r="MXH125" s="40"/>
      <c r="MXI125" s="47"/>
      <c r="MXJ125" s="48"/>
      <c r="MXK125" s="49"/>
      <c r="MXL125" s="50"/>
      <c r="MXM125" s="50"/>
      <c r="MXN125" s="41"/>
      <c r="MXO125" s="41"/>
      <c r="MXP125" s="49"/>
      <c r="MXQ125" s="41"/>
      <c r="MXR125" s="41"/>
      <c r="MXT125" s="40"/>
      <c r="MXU125" s="47"/>
      <c r="MXV125" s="48"/>
      <c r="MXW125" s="49"/>
      <c r="MXX125" s="50"/>
      <c r="MXY125" s="50"/>
      <c r="MXZ125" s="41"/>
      <c r="MYA125" s="41"/>
      <c r="MYB125" s="49"/>
      <c r="MYC125" s="41"/>
      <c r="MYD125" s="41"/>
      <c r="MYF125" s="40"/>
      <c r="MYG125" s="47"/>
      <c r="MYH125" s="48"/>
      <c r="MYI125" s="49"/>
      <c r="MYJ125" s="50"/>
      <c r="MYK125" s="50"/>
      <c r="MYL125" s="41"/>
      <c r="MYM125" s="41"/>
      <c r="MYN125" s="49"/>
      <c r="MYO125" s="41"/>
      <c r="MYP125" s="41"/>
      <c r="MYR125" s="40"/>
      <c r="MYS125" s="47"/>
      <c r="MYT125" s="48"/>
      <c r="MYU125" s="49"/>
      <c r="MYV125" s="50"/>
      <c r="MYW125" s="50"/>
      <c r="MYX125" s="41"/>
      <c r="MYY125" s="41"/>
      <c r="MYZ125" s="49"/>
      <c r="MZA125" s="41"/>
      <c r="MZB125" s="41"/>
      <c r="MZD125" s="40"/>
      <c r="MZE125" s="47"/>
      <c r="MZF125" s="48"/>
      <c r="MZG125" s="49"/>
      <c r="MZH125" s="50"/>
      <c r="MZI125" s="50"/>
      <c r="MZJ125" s="41"/>
      <c r="MZK125" s="41"/>
      <c r="MZL125" s="49"/>
      <c r="MZM125" s="41"/>
      <c r="MZN125" s="41"/>
      <c r="MZP125" s="40"/>
      <c r="MZQ125" s="47"/>
      <c r="MZR125" s="48"/>
      <c r="MZS125" s="49"/>
      <c r="MZT125" s="50"/>
      <c r="MZU125" s="50"/>
      <c r="MZV125" s="41"/>
      <c r="MZW125" s="41"/>
      <c r="MZX125" s="49"/>
      <c r="MZY125" s="41"/>
      <c r="MZZ125" s="41"/>
      <c r="NAB125" s="40"/>
      <c r="NAC125" s="47"/>
      <c r="NAD125" s="48"/>
      <c r="NAE125" s="49"/>
      <c r="NAF125" s="50"/>
      <c r="NAG125" s="50"/>
      <c r="NAH125" s="41"/>
      <c r="NAI125" s="41"/>
      <c r="NAJ125" s="49"/>
      <c r="NAK125" s="41"/>
      <c r="NAL125" s="41"/>
      <c r="NAN125" s="40"/>
      <c r="NAO125" s="47"/>
      <c r="NAP125" s="48"/>
      <c r="NAQ125" s="49"/>
      <c r="NAR125" s="50"/>
      <c r="NAS125" s="50"/>
      <c r="NAT125" s="41"/>
      <c r="NAU125" s="41"/>
      <c r="NAV125" s="49"/>
      <c r="NAW125" s="41"/>
      <c r="NAX125" s="41"/>
      <c r="NAZ125" s="40"/>
      <c r="NBA125" s="47"/>
      <c r="NBB125" s="48"/>
      <c r="NBC125" s="49"/>
      <c r="NBD125" s="50"/>
      <c r="NBE125" s="50"/>
      <c r="NBF125" s="41"/>
      <c r="NBG125" s="41"/>
      <c r="NBH125" s="49"/>
      <c r="NBI125" s="41"/>
      <c r="NBJ125" s="41"/>
      <c r="NBL125" s="40"/>
      <c r="NBM125" s="47"/>
      <c r="NBN125" s="48"/>
      <c r="NBO125" s="49"/>
      <c r="NBP125" s="50"/>
      <c r="NBQ125" s="50"/>
      <c r="NBR125" s="41"/>
      <c r="NBS125" s="41"/>
      <c r="NBT125" s="49"/>
      <c r="NBU125" s="41"/>
      <c r="NBV125" s="41"/>
      <c r="NBX125" s="40"/>
      <c r="NBY125" s="47"/>
      <c r="NBZ125" s="48"/>
      <c r="NCA125" s="49"/>
      <c r="NCB125" s="50"/>
      <c r="NCC125" s="50"/>
      <c r="NCD125" s="41"/>
      <c r="NCE125" s="41"/>
      <c r="NCF125" s="49"/>
      <c r="NCG125" s="41"/>
      <c r="NCH125" s="41"/>
      <c r="NCJ125" s="40"/>
      <c r="NCK125" s="47"/>
      <c r="NCL125" s="48"/>
      <c r="NCM125" s="49"/>
      <c r="NCN125" s="50"/>
      <c r="NCO125" s="50"/>
      <c r="NCP125" s="41"/>
      <c r="NCQ125" s="41"/>
      <c r="NCR125" s="49"/>
      <c r="NCS125" s="41"/>
      <c r="NCT125" s="41"/>
      <c r="NCV125" s="40"/>
      <c r="NCW125" s="47"/>
      <c r="NCX125" s="48"/>
      <c r="NCY125" s="49"/>
      <c r="NCZ125" s="50"/>
      <c r="NDA125" s="50"/>
      <c r="NDB125" s="41"/>
      <c r="NDC125" s="41"/>
      <c r="NDD125" s="49"/>
      <c r="NDE125" s="41"/>
      <c r="NDF125" s="41"/>
      <c r="NDH125" s="40"/>
      <c r="NDI125" s="47"/>
      <c r="NDJ125" s="48"/>
      <c r="NDK125" s="49"/>
      <c r="NDL125" s="50"/>
      <c r="NDM125" s="50"/>
      <c r="NDN125" s="41"/>
      <c r="NDO125" s="41"/>
      <c r="NDP125" s="49"/>
      <c r="NDQ125" s="41"/>
      <c r="NDR125" s="41"/>
      <c r="NDT125" s="40"/>
      <c r="NDU125" s="47"/>
      <c r="NDV125" s="48"/>
      <c r="NDW125" s="49"/>
      <c r="NDX125" s="50"/>
      <c r="NDY125" s="50"/>
      <c r="NDZ125" s="41"/>
      <c r="NEA125" s="41"/>
      <c r="NEB125" s="49"/>
      <c r="NEC125" s="41"/>
      <c r="NED125" s="41"/>
      <c r="NEF125" s="40"/>
      <c r="NEG125" s="47"/>
      <c r="NEH125" s="48"/>
      <c r="NEI125" s="49"/>
      <c r="NEJ125" s="50"/>
      <c r="NEK125" s="50"/>
      <c r="NEL125" s="41"/>
      <c r="NEM125" s="41"/>
      <c r="NEN125" s="49"/>
      <c r="NEO125" s="41"/>
      <c r="NEP125" s="41"/>
      <c r="NER125" s="40"/>
      <c r="NES125" s="47"/>
      <c r="NET125" s="48"/>
      <c r="NEU125" s="49"/>
      <c r="NEV125" s="50"/>
      <c r="NEW125" s="50"/>
      <c r="NEX125" s="41"/>
      <c r="NEY125" s="41"/>
      <c r="NEZ125" s="49"/>
      <c r="NFA125" s="41"/>
      <c r="NFB125" s="41"/>
      <c r="NFD125" s="40"/>
      <c r="NFE125" s="47"/>
      <c r="NFF125" s="48"/>
      <c r="NFG125" s="49"/>
      <c r="NFH125" s="50"/>
      <c r="NFI125" s="50"/>
      <c r="NFJ125" s="41"/>
      <c r="NFK125" s="41"/>
      <c r="NFL125" s="49"/>
      <c r="NFM125" s="41"/>
      <c r="NFN125" s="41"/>
      <c r="NFP125" s="40"/>
      <c r="NFQ125" s="47"/>
      <c r="NFR125" s="48"/>
      <c r="NFS125" s="49"/>
      <c r="NFT125" s="50"/>
      <c r="NFU125" s="50"/>
      <c r="NFV125" s="41"/>
      <c r="NFW125" s="41"/>
      <c r="NFX125" s="49"/>
      <c r="NFY125" s="41"/>
      <c r="NFZ125" s="41"/>
      <c r="NGB125" s="40"/>
      <c r="NGC125" s="47"/>
      <c r="NGD125" s="48"/>
      <c r="NGE125" s="49"/>
      <c r="NGF125" s="50"/>
      <c r="NGG125" s="50"/>
      <c r="NGH125" s="41"/>
      <c r="NGI125" s="41"/>
      <c r="NGJ125" s="49"/>
      <c r="NGK125" s="41"/>
      <c r="NGL125" s="41"/>
      <c r="NGN125" s="40"/>
      <c r="NGO125" s="47"/>
      <c r="NGP125" s="48"/>
      <c r="NGQ125" s="49"/>
      <c r="NGR125" s="50"/>
      <c r="NGS125" s="50"/>
      <c r="NGT125" s="41"/>
      <c r="NGU125" s="41"/>
      <c r="NGV125" s="49"/>
      <c r="NGW125" s="41"/>
      <c r="NGX125" s="41"/>
      <c r="NGZ125" s="40"/>
      <c r="NHA125" s="47"/>
      <c r="NHB125" s="48"/>
      <c r="NHC125" s="49"/>
      <c r="NHD125" s="50"/>
      <c r="NHE125" s="50"/>
      <c r="NHF125" s="41"/>
      <c r="NHG125" s="41"/>
      <c r="NHH125" s="49"/>
      <c r="NHI125" s="41"/>
      <c r="NHJ125" s="41"/>
      <c r="NHL125" s="40"/>
      <c r="NHM125" s="47"/>
      <c r="NHN125" s="48"/>
      <c r="NHO125" s="49"/>
      <c r="NHP125" s="50"/>
      <c r="NHQ125" s="50"/>
      <c r="NHR125" s="41"/>
      <c r="NHS125" s="41"/>
      <c r="NHT125" s="49"/>
      <c r="NHU125" s="41"/>
      <c r="NHV125" s="41"/>
      <c r="NHX125" s="40"/>
      <c r="NHY125" s="47"/>
      <c r="NHZ125" s="48"/>
      <c r="NIA125" s="49"/>
      <c r="NIB125" s="50"/>
      <c r="NIC125" s="50"/>
      <c r="NID125" s="41"/>
      <c r="NIE125" s="41"/>
      <c r="NIF125" s="49"/>
      <c r="NIG125" s="41"/>
      <c r="NIH125" s="41"/>
      <c r="NIJ125" s="40"/>
      <c r="NIK125" s="47"/>
      <c r="NIL125" s="48"/>
      <c r="NIM125" s="49"/>
      <c r="NIN125" s="50"/>
      <c r="NIO125" s="50"/>
      <c r="NIP125" s="41"/>
      <c r="NIQ125" s="41"/>
      <c r="NIR125" s="49"/>
      <c r="NIS125" s="41"/>
      <c r="NIT125" s="41"/>
      <c r="NIV125" s="40"/>
      <c r="NIW125" s="47"/>
      <c r="NIX125" s="48"/>
      <c r="NIY125" s="49"/>
      <c r="NIZ125" s="50"/>
      <c r="NJA125" s="50"/>
      <c r="NJB125" s="41"/>
      <c r="NJC125" s="41"/>
      <c r="NJD125" s="49"/>
      <c r="NJE125" s="41"/>
      <c r="NJF125" s="41"/>
      <c r="NJH125" s="40"/>
      <c r="NJI125" s="47"/>
      <c r="NJJ125" s="48"/>
      <c r="NJK125" s="49"/>
      <c r="NJL125" s="50"/>
      <c r="NJM125" s="50"/>
      <c r="NJN125" s="41"/>
      <c r="NJO125" s="41"/>
      <c r="NJP125" s="49"/>
      <c r="NJQ125" s="41"/>
      <c r="NJR125" s="41"/>
      <c r="NJT125" s="40"/>
      <c r="NJU125" s="47"/>
      <c r="NJV125" s="48"/>
      <c r="NJW125" s="49"/>
      <c r="NJX125" s="50"/>
      <c r="NJY125" s="50"/>
      <c r="NJZ125" s="41"/>
      <c r="NKA125" s="41"/>
      <c r="NKB125" s="49"/>
      <c r="NKC125" s="41"/>
      <c r="NKD125" s="41"/>
      <c r="NKF125" s="40"/>
      <c r="NKG125" s="47"/>
      <c r="NKH125" s="48"/>
      <c r="NKI125" s="49"/>
      <c r="NKJ125" s="50"/>
      <c r="NKK125" s="50"/>
      <c r="NKL125" s="41"/>
      <c r="NKM125" s="41"/>
      <c r="NKN125" s="49"/>
      <c r="NKO125" s="41"/>
      <c r="NKP125" s="41"/>
      <c r="NKR125" s="40"/>
      <c r="NKS125" s="47"/>
      <c r="NKT125" s="48"/>
      <c r="NKU125" s="49"/>
      <c r="NKV125" s="50"/>
      <c r="NKW125" s="50"/>
      <c r="NKX125" s="41"/>
      <c r="NKY125" s="41"/>
      <c r="NKZ125" s="49"/>
      <c r="NLA125" s="41"/>
      <c r="NLB125" s="41"/>
      <c r="NLD125" s="40"/>
      <c r="NLE125" s="47"/>
      <c r="NLF125" s="48"/>
      <c r="NLG125" s="49"/>
      <c r="NLH125" s="50"/>
      <c r="NLI125" s="50"/>
      <c r="NLJ125" s="41"/>
      <c r="NLK125" s="41"/>
      <c r="NLL125" s="49"/>
      <c r="NLM125" s="41"/>
      <c r="NLN125" s="41"/>
      <c r="NLP125" s="40"/>
      <c r="NLQ125" s="47"/>
      <c r="NLR125" s="48"/>
      <c r="NLS125" s="49"/>
      <c r="NLT125" s="50"/>
      <c r="NLU125" s="50"/>
      <c r="NLV125" s="41"/>
      <c r="NLW125" s="41"/>
      <c r="NLX125" s="49"/>
      <c r="NLY125" s="41"/>
      <c r="NLZ125" s="41"/>
      <c r="NMB125" s="40"/>
      <c r="NMC125" s="47"/>
      <c r="NMD125" s="48"/>
      <c r="NME125" s="49"/>
      <c r="NMF125" s="50"/>
      <c r="NMG125" s="50"/>
      <c r="NMH125" s="41"/>
      <c r="NMI125" s="41"/>
      <c r="NMJ125" s="49"/>
      <c r="NMK125" s="41"/>
      <c r="NML125" s="41"/>
      <c r="NMN125" s="40"/>
      <c r="NMO125" s="47"/>
      <c r="NMP125" s="48"/>
      <c r="NMQ125" s="49"/>
      <c r="NMR125" s="50"/>
      <c r="NMS125" s="50"/>
      <c r="NMT125" s="41"/>
      <c r="NMU125" s="41"/>
      <c r="NMV125" s="49"/>
      <c r="NMW125" s="41"/>
      <c r="NMX125" s="41"/>
      <c r="NMZ125" s="40"/>
      <c r="NNA125" s="47"/>
      <c r="NNB125" s="48"/>
      <c r="NNC125" s="49"/>
      <c r="NND125" s="50"/>
      <c r="NNE125" s="50"/>
      <c r="NNF125" s="41"/>
      <c r="NNG125" s="41"/>
      <c r="NNH125" s="49"/>
      <c r="NNI125" s="41"/>
      <c r="NNJ125" s="41"/>
      <c r="NNL125" s="40"/>
      <c r="NNM125" s="47"/>
      <c r="NNN125" s="48"/>
      <c r="NNO125" s="49"/>
      <c r="NNP125" s="50"/>
      <c r="NNQ125" s="50"/>
      <c r="NNR125" s="41"/>
      <c r="NNS125" s="41"/>
      <c r="NNT125" s="49"/>
      <c r="NNU125" s="41"/>
      <c r="NNV125" s="41"/>
      <c r="NNX125" s="40"/>
      <c r="NNY125" s="47"/>
      <c r="NNZ125" s="48"/>
      <c r="NOA125" s="49"/>
      <c r="NOB125" s="50"/>
      <c r="NOC125" s="50"/>
      <c r="NOD125" s="41"/>
      <c r="NOE125" s="41"/>
      <c r="NOF125" s="49"/>
      <c r="NOG125" s="41"/>
      <c r="NOH125" s="41"/>
      <c r="NOJ125" s="40"/>
      <c r="NOK125" s="47"/>
      <c r="NOL125" s="48"/>
      <c r="NOM125" s="49"/>
      <c r="NON125" s="50"/>
      <c r="NOO125" s="50"/>
      <c r="NOP125" s="41"/>
      <c r="NOQ125" s="41"/>
      <c r="NOR125" s="49"/>
      <c r="NOS125" s="41"/>
      <c r="NOT125" s="41"/>
      <c r="NOV125" s="40"/>
      <c r="NOW125" s="47"/>
      <c r="NOX125" s="48"/>
      <c r="NOY125" s="49"/>
      <c r="NOZ125" s="50"/>
      <c r="NPA125" s="50"/>
      <c r="NPB125" s="41"/>
      <c r="NPC125" s="41"/>
      <c r="NPD125" s="49"/>
      <c r="NPE125" s="41"/>
      <c r="NPF125" s="41"/>
      <c r="NPH125" s="40"/>
      <c r="NPI125" s="47"/>
      <c r="NPJ125" s="48"/>
      <c r="NPK125" s="49"/>
      <c r="NPL125" s="50"/>
      <c r="NPM125" s="50"/>
      <c r="NPN125" s="41"/>
      <c r="NPO125" s="41"/>
      <c r="NPP125" s="49"/>
      <c r="NPQ125" s="41"/>
      <c r="NPR125" s="41"/>
      <c r="NPT125" s="40"/>
      <c r="NPU125" s="47"/>
      <c r="NPV125" s="48"/>
      <c r="NPW125" s="49"/>
      <c r="NPX125" s="50"/>
      <c r="NPY125" s="50"/>
      <c r="NPZ125" s="41"/>
      <c r="NQA125" s="41"/>
      <c r="NQB125" s="49"/>
      <c r="NQC125" s="41"/>
      <c r="NQD125" s="41"/>
      <c r="NQF125" s="40"/>
      <c r="NQG125" s="47"/>
      <c r="NQH125" s="48"/>
      <c r="NQI125" s="49"/>
      <c r="NQJ125" s="50"/>
      <c r="NQK125" s="50"/>
      <c r="NQL125" s="41"/>
      <c r="NQM125" s="41"/>
      <c r="NQN125" s="49"/>
      <c r="NQO125" s="41"/>
      <c r="NQP125" s="41"/>
      <c r="NQR125" s="40"/>
      <c r="NQS125" s="47"/>
      <c r="NQT125" s="48"/>
      <c r="NQU125" s="49"/>
      <c r="NQV125" s="50"/>
      <c r="NQW125" s="50"/>
      <c r="NQX125" s="41"/>
      <c r="NQY125" s="41"/>
      <c r="NQZ125" s="49"/>
      <c r="NRA125" s="41"/>
      <c r="NRB125" s="41"/>
      <c r="NRD125" s="40"/>
      <c r="NRE125" s="47"/>
      <c r="NRF125" s="48"/>
      <c r="NRG125" s="49"/>
      <c r="NRH125" s="50"/>
      <c r="NRI125" s="50"/>
      <c r="NRJ125" s="41"/>
      <c r="NRK125" s="41"/>
      <c r="NRL125" s="49"/>
      <c r="NRM125" s="41"/>
      <c r="NRN125" s="41"/>
      <c r="NRP125" s="40"/>
      <c r="NRQ125" s="47"/>
      <c r="NRR125" s="48"/>
      <c r="NRS125" s="49"/>
      <c r="NRT125" s="50"/>
      <c r="NRU125" s="50"/>
      <c r="NRV125" s="41"/>
      <c r="NRW125" s="41"/>
      <c r="NRX125" s="49"/>
      <c r="NRY125" s="41"/>
      <c r="NRZ125" s="41"/>
      <c r="NSB125" s="40"/>
      <c r="NSC125" s="47"/>
      <c r="NSD125" s="48"/>
      <c r="NSE125" s="49"/>
      <c r="NSF125" s="50"/>
      <c r="NSG125" s="50"/>
      <c r="NSH125" s="41"/>
      <c r="NSI125" s="41"/>
      <c r="NSJ125" s="49"/>
      <c r="NSK125" s="41"/>
      <c r="NSL125" s="41"/>
      <c r="NSN125" s="40"/>
      <c r="NSO125" s="47"/>
      <c r="NSP125" s="48"/>
      <c r="NSQ125" s="49"/>
      <c r="NSR125" s="50"/>
      <c r="NSS125" s="50"/>
      <c r="NST125" s="41"/>
      <c r="NSU125" s="41"/>
      <c r="NSV125" s="49"/>
      <c r="NSW125" s="41"/>
      <c r="NSX125" s="41"/>
      <c r="NSZ125" s="40"/>
      <c r="NTA125" s="47"/>
      <c r="NTB125" s="48"/>
      <c r="NTC125" s="49"/>
      <c r="NTD125" s="50"/>
      <c r="NTE125" s="50"/>
      <c r="NTF125" s="41"/>
      <c r="NTG125" s="41"/>
      <c r="NTH125" s="49"/>
      <c r="NTI125" s="41"/>
      <c r="NTJ125" s="41"/>
      <c r="NTL125" s="40"/>
      <c r="NTM125" s="47"/>
      <c r="NTN125" s="48"/>
      <c r="NTO125" s="49"/>
      <c r="NTP125" s="50"/>
      <c r="NTQ125" s="50"/>
      <c r="NTR125" s="41"/>
      <c r="NTS125" s="41"/>
      <c r="NTT125" s="49"/>
      <c r="NTU125" s="41"/>
      <c r="NTV125" s="41"/>
      <c r="NTX125" s="40"/>
      <c r="NTY125" s="47"/>
      <c r="NTZ125" s="48"/>
      <c r="NUA125" s="49"/>
      <c r="NUB125" s="50"/>
      <c r="NUC125" s="50"/>
      <c r="NUD125" s="41"/>
      <c r="NUE125" s="41"/>
      <c r="NUF125" s="49"/>
      <c r="NUG125" s="41"/>
      <c r="NUH125" s="41"/>
      <c r="NUJ125" s="40"/>
      <c r="NUK125" s="47"/>
      <c r="NUL125" s="48"/>
      <c r="NUM125" s="49"/>
      <c r="NUN125" s="50"/>
      <c r="NUO125" s="50"/>
      <c r="NUP125" s="41"/>
      <c r="NUQ125" s="41"/>
      <c r="NUR125" s="49"/>
      <c r="NUS125" s="41"/>
      <c r="NUT125" s="41"/>
      <c r="NUV125" s="40"/>
      <c r="NUW125" s="47"/>
      <c r="NUX125" s="48"/>
      <c r="NUY125" s="49"/>
      <c r="NUZ125" s="50"/>
      <c r="NVA125" s="50"/>
      <c r="NVB125" s="41"/>
      <c r="NVC125" s="41"/>
      <c r="NVD125" s="49"/>
      <c r="NVE125" s="41"/>
      <c r="NVF125" s="41"/>
      <c r="NVH125" s="40"/>
      <c r="NVI125" s="47"/>
      <c r="NVJ125" s="48"/>
      <c r="NVK125" s="49"/>
      <c r="NVL125" s="50"/>
      <c r="NVM125" s="50"/>
      <c r="NVN125" s="41"/>
      <c r="NVO125" s="41"/>
      <c r="NVP125" s="49"/>
      <c r="NVQ125" s="41"/>
      <c r="NVR125" s="41"/>
      <c r="NVT125" s="40"/>
      <c r="NVU125" s="47"/>
      <c r="NVV125" s="48"/>
      <c r="NVW125" s="49"/>
      <c r="NVX125" s="50"/>
      <c r="NVY125" s="50"/>
      <c r="NVZ125" s="41"/>
      <c r="NWA125" s="41"/>
      <c r="NWB125" s="49"/>
      <c r="NWC125" s="41"/>
      <c r="NWD125" s="41"/>
      <c r="NWF125" s="40"/>
      <c r="NWG125" s="47"/>
      <c r="NWH125" s="48"/>
      <c r="NWI125" s="49"/>
      <c r="NWJ125" s="50"/>
      <c r="NWK125" s="50"/>
      <c r="NWL125" s="41"/>
      <c r="NWM125" s="41"/>
      <c r="NWN125" s="49"/>
      <c r="NWO125" s="41"/>
      <c r="NWP125" s="41"/>
      <c r="NWR125" s="40"/>
      <c r="NWS125" s="47"/>
      <c r="NWT125" s="48"/>
      <c r="NWU125" s="49"/>
      <c r="NWV125" s="50"/>
      <c r="NWW125" s="50"/>
      <c r="NWX125" s="41"/>
      <c r="NWY125" s="41"/>
      <c r="NWZ125" s="49"/>
      <c r="NXA125" s="41"/>
      <c r="NXB125" s="41"/>
      <c r="NXD125" s="40"/>
      <c r="NXE125" s="47"/>
      <c r="NXF125" s="48"/>
      <c r="NXG125" s="49"/>
      <c r="NXH125" s="50"/>
      <c r="NXI125" s="50"/>
      <c r="NXJ125" s="41"/>
      <c r="NXK125" s="41"/>
      <c r="NXL125" s="49"/>
      <c r="NXM125" s="41"/>
      <c r="NXN125" s="41"/>
      <c r="NXP125" s="40"/>
      <c r="NXQ125" s="47"/>
      <c r="NXR125" s="48"/>
      <c r="NXS125" s="49"/>
      <c r="NXT125" s="50"/>
      <c r="NXU125" s="50"/>
      <c r="NXV125" s="41"/>
      <c r="NXW125" s="41"/>
      <c r="NXX125" s="49"/>
      <c r="NXY125" s="41"/>
      <c r="NXZ125" s="41"/>
      <c r="NYB125" s="40"/>
      <c r="NYC125" s="47"/>
      <c r="NYD125" s="48"/>
      <c r="NYE125" s="49"/>
      <c r="NYF125" s="50"/>
      <c r="NYG125" s="50"/>
      <c r="NYH125" s="41"/>
      <c r="NYI125" s="41"/>
      <c r="NYJ125" s="49"/>
      <c r="NYK125" s="41"/>
      <c r="NYL125" s="41"/>
      <c r="NYN125" s="40"/>
      <c r="NYO125" s="47"/>
      <c r="NYP125" s="48"/>
      <c r="NYQ125" s="49"/>
      <c r="NYR125" s="50"/>
      <c r="NYS125" s="50"/>
      <c r="NYT125" s="41"/>
      <c r="NYU125" s="41"/>
      <c r="NYV125" s="49"/>
      <c r="NYW125" s="41"/>
      <c r="NYX125" s="41"/>
      <c r="NYZ125" s="40"/>
      <c r="NZA125" s="47"/>
      <c r="NZB125" s="48"/>
      <c r="NZC125" s="49"/>
      <c r="NZD125" s="50"/>
      <c r="NZE125" s="50"/>
      <c r="NZF125" s="41"/>
      <c r="NZG125" s="41"/>
      <c r="NZH125" s="49"/>
      <c r="NZI125" s="41"/>
      <c r="NZJ125" s="41"/>
      <c r="NZL125" s="40"/>
      <c r="NZM125" s="47"/>
      <c r="NZN125" s="48"/>
      <c r="NZO125" s="49"/>
      <c r="NZP125" s="50"/>
      <c r="NZQ125" s="50"/>
      <c r="NZR125" s="41"/>
      <c r="NZS125" s="41"/>
      <c r="NZT125" s="49"/>
      <c r="NZU125" s="41"/>
      <c r="NZV125" s="41"/>
      <c r="NZX125" s="40"/>
      <c r="NZY125" s="47"/>
      <c r="NZZ125" s="48"/>
      <c r="OAA125" s="49"/>
      <c r="OAB125" s="50"/>
      <c r="OAC125" s="50"/>
      <c r="OAD125" s="41"/>
      <c r="OAE125" s="41"/>
      <c r="OAF125" s="49"/>
      <c r="OAG125" s="41"/>
      <c r="OAH125" s="41"/>
      <c r="OAJ125" s="40"/>
      <c r="OAK125" s="47"/>
      <c r="OAL125" s="48"/>
      <c r="OAM125" s="49"/>
      <c r="OAN125" s="50"/>
      <c r="OAO125" s="50"/>
      <c r="OAP125" s="41"/>
      <c r="OAQ125" s="41"/>
      <c r="OAR125" s="49"/>
      <c r="OAS125" s="41"/>
      <c r="OAT125" s="41"/>
      <c r="OAV125" s="40"/>
      <c r="OAW125" s="47"/>
      <c r="OAX125" s="48"/>
      <c r="OAY125" s="49"/>
      <c r="OAZ125" s="50"/>
      <c r="OBA125" s="50"/>
      <c r="OBB125" s="41"/>
      <c r="OBC125" s="41"/>
      <c r="OBD125" s="49"/>
      <c r="OBE125" s="41"/>
      <c r="OBF125" s="41"/>
      <c r="OBH125" s="40"/>
      <c r="OBI125" s="47"/>
      <c r="OBJ125" s="48"/>
      <c r="OBK125" s="49"/>
      <c r="OBL125" s="50"/>
      <c r="OBM125" s="50"/>
      <c r="OBN125" s="41"/>
      <c r="OBO125" s="41"/>
      <c r="OBP125" s="49"/>
      <c r="OBQ125" s="41"/>
      <c r="OBR125" s="41"/>
      <c r="OBT125" s="40"/>
      <c r="OBU125" s="47"/>
      <c r="OBV125" s="48"/>
      <c r="OBW125" s="49"/>
      <c r="OBX125" s="50"/>
      <c r="OBY125" s="50"/>
      <c r="OBZ125" s="41"/>
      <c r="OCA125" s="41"/>
      <c r="OCB125" s="49"/>
      <c r="OCC125" s="41"/>
      <c r="OCD125" s="41"/>
      <c r="OCF125" s="40"/>
      <c r="OCG125" s="47"/>
      <c r="OCH125" s="48"/>
      <c r="OCI125" s="49"/>
      <c r="OCJ125" s="50"/>
      <c r="OCK125" s="50"/>
      <c r="OCL125" s="41"/>
      <c r="OCM125" s="41"/>
      <c r="OCN125" s="49"/>
      <c r="OCO125" s="41"/>
      <c r="OCP125" s="41"/>
      <c r="OCR125" s="40"/>
      <c r="OCS125" s="47"/>
      <c r="OCT125" s="48"/>
      <c r="OCU125" s="49"/>
      <c r="OCV125" s="50"/>
      <c r="OCW125" s="50"/>
      <c r="OCX125" s="41"/>
      <c r="OCY125" s="41"/>
      <c r="OCZ125" s="49"/>
      <c r="ODA125" s="41"/>
      <c r="ODB125" s="41"/>
      <c r="ODD125" s="40"/>
      <c r="ODE125" s="47"/>
      <c r="ODF125" s="48"/>
      <c r="ODG125" s="49"/>
      <c r="ODH125" s="50"/>
      <c r="ODI125" s="50"/>
      <c r="ODJ125" s="41"/>
      <c r="ODK125" s="41"/>
      <c r="ODL125" s="49"/>
      <c r="ODM125" s="41"/>
      <c r="ODN125" s="41"/>
      <c r="ODP125" s="40"/>
      <c r="ODQ125" s="47"/>
      <c r="ODR125" s="48"/>
      <c r="ODS125" s="49"/>
      <c r="ODT125" s="50"/>
      <c r="ODU125" s="50"/>
      <c r="ODV125" s="41"/>
      <c r="ODW125" s="41"/>
      <c r="ODX125" s="49"/>
      <c r="ODY125" s="41"/>
      <c r="ODZ125" s="41"/>
      <c r="OEB125" s="40"/>
      <c r="OEC125" s="47"/>
      <c r="OED125" s="48"/>
      <c r="OEE125" s="49"/>
      <c r="OEF125" s="50"/>
      <c r="OEG125" s="50"/>
      <c r="OEH125" s="41"/>
      <c r="OEI125" s="41"/>
      <c r="OEJ125" s="49"/>
      <c r="OEK125" s="41"/>
      <c r="OEL125" s="41"/>
      <c r="OEN125" s="40"/>
      <c r="OEO125" s="47"/>
      <c r="OEP125" s="48"/>
      <c r="OEQ125" s="49"/>
      <c r="OER125" s="50"/>
      <c r="OES125" s="50"/>
      <c r="OET125" s="41"/>
      <c r="OEU125" s="41"/>
      <c r="OEV125" s="49"/>
      <c r="OEW125" s="41"/>
      <c r="OEX125" s="41"/>
      <c r="OEZ125" s="40"/>
      <c r="OFA125" s="47"/>
      <c r="OFB125" s="48"/>
      <c r="OFC125" s="49"/>
      <c r="OFD125" s="50"/>
      <c r="OFE125" s="50"/>
      <c r="OFF125" s="41"/>
      <c r="OFG125" s="41"/>
      <c r="OFH125" s="49"/>
      <c r="OFI125" s="41"/>
      <c r="OFJ125" s="41"/>
      <c r="OFL125" s="40"/>
      <c r="OFM125" s="47"/>
      <c r="OFN125" s="48"/>
      <c r="OFO125" s="49"/>
      <c r="OFP125" s="50"/>
      <c r="OFQ125" s="50"/>
      <c r="OFR125" s="41"/>
      <c r="OFS125" s="41"/>
      <c r="OFT125" s="49"/>
      <c r="OFU125" s="41"/>
      <c r="OFV125" s="41"/>
      <c r="OFX125" s="40"/>
      <c r="OFY125" s="47"/>
      <c r="OFZ125" s="48"/>
      <c r="OGA125" s="49"/>
      <c r="OGB125" s="50"/>
      <c r="OGC125" s="50"/>
      <c r="OGD125" s="41"/>
      <c r="OGE125" s="41"/>
      <c r="OGF125" s="49"/>
      <c r="OGG125" s="41"/>
      <c r="OGH125" s="41"/>
      <c r="OGJ125" s="40"/>
      <c r="OGK125" s="47"/>
      <c r="OGL125" s="48"/>
      <c r="OGM125" s="49"/>
      <c r="OGN125" s="50"/>
      <c r="OGO125" s="50"/>
      <c r="OGP125" s="41"/>
      <c r="OGQ125" s="41"/>
      <c r="OGR125" s="49"/>
      <c r="OGS125" s="41"/>
      <c r="OGT125" s="41"/>
      <c r="OGV125" s="40"/>
      <c r="OGW125" s="47"/>
      <c r="OGX125" s="48"/>
      <c r="OGY125" s="49"/>
      <c r="OGZ125" s="50"/>
      <c r="OHA125" s="50"/>
      <c r="OHB125" s="41"/>
      <c r="OHC125" s="41"/>
      <c r="OHD125" s="49"/>
      <c r="OHE125" s="41"/>
      <c r="OHF125" s="41"/>
      <c r="OHH125" s="40"/>
      <c r="OHI125" s="47"/>
      <c r="OHJ125" s="48"/>
      <c r="OHK125" s="49"/>
      <c r="OHL125" s="50"/>
      <c r="OHM125" s="50"/>
      <c r="OHN125" s="41"/>
      <c r="OHO125" s="41"/>
      <c r="OHP125" s="49"/>
      <c r="OHQ125" s="41"/>
      <c r="OHR125" s="41"/>
      <c r="OHT125" s="40"/>
      <c r="OHU125" s="47"/>
      <c r="OHV125" s="48"/>
      <c r="OHW125" s="49"/>
      <c r="OHX125" s="50"/>
      <c r="OHY125" s="50"/>
      <c r="OHZ125" s="41"/>
      <c r="OIA125" s="41"/>
      <c r="OIB125" s="49"/>
      <c r="OIC125" s="41"/>
      <c r="OID125" s="41"/>
      <c r="OIF125" s="40"/>
      <c r="OIG125" s="47"/>
      <c r="OIH125" s="48"/>
      <c r="OII125" s="49"/>
      <c r="OIJ125" s="50"/>
      <c r="OIK125" s="50"/>
      <c r="OIL125" s="41"/>
      <c r="OIM125" s="41"/>
      <c r="OIN125" s="49"/>
      <c r="OIO125" s="41"/>
      <c r="OIP125" s="41"/>
      <c r="OIR125" s="40"/>
      <c r="OIS125" s="47"/>
      <c r="OIT125" s="48"/>
      <c r="OIU125" s="49"/>
      <c r="OIV125" s="50"/>
      <c r="OIW125" s="50"/>
      <c r="OIX125" s="41"/>
      <c r="OIY125" s="41"/>
      <c r="OIZ125" s="49"/>
      <c r="OJA125" s="41"/>
      <c r="OJB125" s="41"/>
      <c r="OJD125" s="40"/>
      <c r="OJE125" s="47"/>
      <c r="OJF125" s="48"/>
      <c r="OJG125" s="49"/>
      <c r="OJH125" s="50"/>
      <c r="OJI125" s="50"/>
      <c r="OJJ125" s="41"/>
      <c r="OJK125" s="41"/>
      <c r="OJL125" s="49"/>
      <c r="OJM125" s="41"/>
      <c r="OJN125" s="41"/>
      <c r="OJP125" s="40"/>
      <c r="OJQ125" s="47"/>
      <c r="OJR125" s="48"/>
      <c r="OJS125" s="49"/>
      <c r="OJT125" s="50"/>
      <c r="OJU125" s="50"/>
      <c r="OJV125" s="41"/>
      <c r="OJW125" s="41"/>
      <c r="OJX125" s="49"/>
      <c r="OJY125" s="41"/>
      <c r="OJZ125" s="41"/>
      <c r="OKB125" s="40"/>
      <c r="OKC125" s="47"/>
      <c r="OKD125" s="48"/>
      <c r="OKE125" s="49"/>
      <c r="OKF125" s="50"/>
      <c r="OKG125" s="50"/>
      <c r="OKH125" s="41"/>
      <c r="OKI125" s="41"/>
      <c r="OKJ125" s="49"/>
      <c r="OKK125" s="41"/>
      <c r="OKL125" s="41"/>
      <c r="OKN125" s="40"/>
      <c r="OKO125" s="47"/>
      <c r="OKP125" s="48"/>
      <c r="OKQ125" s="49"/>
      <c r="OKR125" s="50"/>
      <c r="OKS125" s="50"/>
      <c r="OKT125" s="41"/>
      <c r="OKU125" s="41"/>
      <c r="OKV125" s="49"/>
      <c r="OKW125" s="41"/>
      <c r="OKX125" s="41"/>
      <c r="OKZ125" s="40"/>
      <c r="OLA125" s="47"/>
      <c r="OLB125" s="48"/>
      <c r="OLC125" s="49"/>
      <c r="OLD125" s="50"/>
      <c r="OLE125" s="50"/>
      <c r="OLF125" s="41"/>
      <c r="OLG125" s="41"/>
      <c r="OLH125" s="49"/>
      <c r="OLI125" s="41"/>
      <c r="OLJ125" s="41"/>
      <c r="OLL125" s="40"/>
      <c r="OLM125" s="47"/>
      <c r="OLN125" s="48"/>
      <c r="OLO125" s="49"/>
      <c r="OLP125" s="50"/>
      <c r="OLQ125" s="50"/>
      <c r="OLR125" s="41"/>
      <c r="OLS125" s="41"/>
      <c r="OLT125" s="49"/>
      <c r="OLU125" s="41"/>
      <c r="OLV125" s="41"/>
      <c r="OLX125" s="40"/>
      <c r="OLY125" s="47"/>
      <c r="OLZ125" s="48"/>
      <c r="OMA125" s="49"/>
      <c r="OMB125" s="50"/>
      <c r="OMC125" s="50"/>
      <c r="OMD125" s="41"/>
      <c r="OME125" s="41"/>
      <c r="OMF125" s="49"/>
      <c r="OMG125" s="41"/>
      <c r="OMH125" s="41"/>
      <c r="OMJ125" s="40"/>
      <c r="OMK125" s="47"/>
      <c r="OML125" s="48"/>
      <c r="OMM125" s="49"/>
      <c r="OMN125" s="50"/>
      <c r="OMO125" s="50"/>
      <c r="OMP125" s="41"/>
      <c r="OMQ125" s="41"/>
      <c r="OMR125" s="49"/>
      <c r="OMS125" s="41"/>
      <c r="OMT125" s="41"/>
      <c r="OMV125" s="40"/>
      <c r="OMW125" s="47"/>
      <c r="OMX125" s="48"/>
      <c r="OMY125" s="49"/>
      <c r="OMZ125" s="50"/>
      <c r="ONA125" s="50"/>
      <c r="ONB125" s="41"/>
      <c r="ONC125" s="41"/>
      <c r="OND125" s="49"/>
      <c r="ONE125" s="41"/>
      <c r="ONF125" s="41"/>
      <c r="ONH125" s="40"/>
      <c r="ONI125" s="47"/>
      <c r="ONJ125" s="48"/>
      <c r="ONK125" s="49"/>
      <c r="ONL125" s="50"/>
      <c r="ONM125" s="50"/>
      <c r="ONN125" s="41"/>
      <c r="ONO125" s="41"/>
      <c r="ONP125" s="49"/>
      <c r="ONQ125" s="41"/>
      <c r="ONR125" s="41"/>
      <c r="ONT125" s="40"/>
      <c r="ONU125" s="47"/>
      <c r="ONV125" s="48"/>
      <c r="ONW125" s="49"/>
      <c r="ONX125" s="50"/>
      <c r="ONY125" s="50"/>
      <c r="ONZ125" s="41"/>
      <c r="OOA125" s="41"/>
      <c r="OOB125" s="49"/>
      <c r="OOC125" s="41"/>
      <c r="OOD125" s="41"/>
      <c r="OOF125" s="40"/>
      <c r="OOG125" s="47"/>
      <c r="OOH125" s="48"/>
      <c r="OOI125" s="49"/>
      <c r="OOJ125" s="50"/>
      <c r="OOK125" s="50"/>
      <c r="OOL125" s="41"/>
      <c r="OOM125" s="41"/>
      <c r="OON125" s="49"/>
      <c r="OOO125" s="41"/>
      <c r="OOP125" s="41"/>
      <c r="OOR125" s="40"/>
      <c r="OOS125" s="47"/>
      <c r="OOT125" s="48"/>
      <c r="OOU125" s="49"/>
      <c r="OOV125" s="50"/>
      <c r="OOW125" s="50"/>
      <c r="OOX125" s="41"/>
      <c r="OOY125" s="41"/>
      <c r="OOZ125" s="49"/>
      <c r="OPA125" s="41"/>
      <c r="OPB125" s="41"/>
      <c r="OPD125" s="40"/>
      <c r="OPE125" s="47"/>
      <c r="OPF125" s="48"/>
      <c r="OPG125" s="49"/>
      <c r="OPH125" s="50"/>
      <c r="OPI125" s="50"/>
      <c r="OPJ125" s="41"/>
      <c r="OPK125" s="41"/>
      <c r="OPL125" s="49"/>
      <c r="OPM125" s="41"/>
      <c r="OPN125" s="41"/>
      <c r="OPP125" s="40"/>
      <c r="OPQ125" s="47"/>
      <c r="OPR125" s="48"/>
      <c r="OPS125" s="49"/>
      <c r="OPT125" s="50"/>
      <c r="OPU125" s="50"/>
      <c r="OPV125" s="41"/>
      <c r="OPW125" s="41"/>
      <c r="OPX125" s="49"/>
      <c r="OPY125" s="41"/>
      <c r="OPZ125" s="41"/>
      <c r="OQB125" s="40"/>
      <c r="OQC125" s="47"/>
      <c r="OQD125" s="48"/>
      <c r="OQE125" s="49"/>
      <c r="OQF125" s="50"/>
      <c r="OQG125" s="50"/>
      <c r="OQH125" s="41"/>
      <c r="OQI125" s="41"/>
      <c r="OQJ125" s="49"/>
      <c r="OQK125" s="41"/>
      <c r="OQL125" s="41"/>
      <c r="OQN125" s="40"/>
      <c r="OQO125" s="47"/>
      <c r="OQP125" s="48"/>
      <c r="OQQ125" s="49"/>
      <c r="OQR125" s="50"/>
      <c r="OQS125" s="50"/>
      <c r="OQT125" s="41"/>
      <c r="OQU125" s="41"/>
      <c r="OQV125" s="49"/>
      <c r="OQW125" s="41"/>
      <c r="OQX125" s="41"/>
      <c r="OQZ125" s="40"/>
      <c r="ORA125" s="47"/>
      <c r="ORB125" s="48"/>
      <c r="ORC125" s="49"/>
      <c r="ORD125" s="50"/>
      <c r="ORE125" s="50"/>
      <c r="ORF125" s="41"/>
      <c r="ORG125" s="41"/>
      <c r="ORH125" s="49"/>
      <c r="ORI125" s="41"/>
      <c r="ORJ125" s="41"/>
      <c r="ORL125" s="40"/>
      <c r="ORM125" s="47"/>
      <c r="ORN125" s="48"/>
      <c r="ORO125" s="49"/>
      <c r="ORP125" s="50"/>
      <c r="ORQ125" s="50"/>
      <c r="ORR125" s="41"/>
      <c r="ORS125" s="41"/>
      <c r="ORT125" s="49"/>
      <c r="ORU125" s="41"/>
      <c r="ORV125" s="41"/>
      <c r="ORX125" s="40"/>
      <c r="ORY125" s="47"/>
      <c r="ORZ125" s="48"/>
      <c r="OSA125" s="49"/>
      <c r="OSB125" s="50"/>
      <c r="OSC125" s="50"/>
      <c r="OSD125" s="41"/>
      <c r="OSE125" s="41"/>
      <c r="OSF125" s="49"/>
      <c r="OSG125" s="41"/>
      <c r="OSH125" s="41"/>
      <c r="OSJ125" s="40"/>
      <c r="OSK125" s="47"/>
      <c r="OSL125" s="48"/>
      <c r="OSM125" s="49"/>
      <c r="OSN125" s="50"/>
      <c r="OSO125" s="50"/>
      <c r="OSP125" s="41"/>
      <c r="OSQ125" s="41"/>
      <c r="OSR125" s="49"/>
      <c r="OSS125" s="41"/>
      <c r="OST125" s="41"/>
      <c r="OSV125" s="40"/>
      <c r="OSW125" s="47"/>
      <c r="OSX125" s="48"/>
      <c r="OSY125" s="49"/>
      <c r="OSZ125" s="50"/>
      <c r="OTA125" s="50"/>
      <c r="OTB125" s="41"/>
      <c r="OTC125" s="41"/>
      <c r="OTD125" s="49"/>
      <c r="OTE125" s="41"/>
      <c r="OTF125" s="41"/>
      <c r="OTH125" s="40"/>
      <c r="OTI125" s="47"/>
      <c r="OTJ125" s="48"/>
      <c r="OTK125" s="49"/>
      <c r="OTL125" s="50"/>
      <c r="OTM125" s="50"/>
      <c r="OTN125" s="41"/>
      <c r="OTO125" s="41"/>
      <c r="OTP125" s="49"/>
      <c r="OTQ125" s="41"/>
      <c r="OTR125" s="41"/>
      <c r="OTT125" s="40"/>
      <c r="OTU125" s="47"/>
      <c r="OTV125" s="48"/>
      <c r="OTW125" s="49"/>
      <c r="OTX125" s="50"/>
      <c r="OTY125" s="50"/>
      <c r="OTZ125" s="41"/>
      <c r="OUA125" s="41"/>
      <c r="OUB125" s="49"/>
      <c r="OUC125" s="41"/>
      <c r="OUD125" s="41"/>
      <c r="OUF125" s="40"/>
      <c r="OUG125" s="47"/>
      <c r="OUH125" s="48"/>
      <c r="OUI125" s="49"/>
      <c r="OUJ125" s="50"/>
      <c r="OUK125" s="50"/>
      <c r="OUL125" s="41"/>
      <c r="OUM125" s="41"/>
      <c r="OUN125" s="49"/>
      <c r="OUO125" s="41"/>
      <c r="OUP125" s="41"/>
      <c r="OUR125" s="40"/>
      <c r="OUS125" s="47"/>
      <c r="OUT125" s="48"/>
      <c r="OUU125" s="49"/>
      <c r="OUV125" s="50"/>
      <c r="OUW125" s="50"/>
      <c r="OUX125" s="41"/>
      <c r="OUY125" s="41"/>
      <c r="OUZ125" s="49"/>
      <c r="OVA125" s="41"/>
      <c r="OVB125" s="41"/>
      <c r="OVD125" s="40"/>
      <c r="OVE125" s="47"/>
      <c r="OVF125" s="48"/>
      <c r="OVG125" s="49"/>
      <c r="OVH125" s="50"/>
      <c r="OVI125" s="50"/>
      <c r="OVJ125" s="41"/>
      <c r="OVK125" s="41"/>
      <c r="OVL125" s="49"/>
      <c r="OVM125" s="41"/>
      <c r="OVN125" s="41"/>
      <c r="OVP125" s="40"/>
      <c r="OVQ125" s="47"/>
      <c r="OVR125" s="48"/>
      <c r="OVS125" s="49"/>
      <c r="OVT125" s="50"/>
      <c r="OVU125" s="50"/>
      <c r="OVV125" s="41"/>
      <c r="OVW125" s="41"/>
      <c r="OVX125" s="49"/>
      <c r="OVY125" s="41"/>
      <c r="OVZ125" s="41"/>
      <c r="OWB125" s="40"/>
      <c r="OWC125" s="47"/>
      <c r="OWD125" s="48"/>
      <c r="OWE125" s="49"/>
      <c r="OWF125" s="50"/>
      <c r="OWG125" s="50"/>
      <c r="OWH125" s="41"/>
      <c r="OWI125" s="41"/>
      <c r="OWJ125" s="49"/>
      <c r="OWK125" s="41"/>
      <c r="OWL125" s="41"/>
      <c r="OWN125" s="40"/>
      <c r="OWO125" s="47"/>
      <c r="OWP125" s="48"/>
      <c r="OWQ125" s="49"/>
      <c r="OWR125" s="50"/>
      <c r="OWS125" s="50"/>
      <c r="OWT125" s="41"/>
      <c r="OWU125" s="41"/>
      <c r="OWV125" s="49"/>
      <c r="OWW125" s="41"/>
      <c r="OWX125" s="41"/>
      <c r="OWZ125" s="40"/>
      <c r="OXA125" s="47"/>
      <c r="OXB125" s="48"/>
      <c r="OXC125" s="49"/>
      <c r="OXD125" s="50"/>
      <c r="OXE125" s="50"/>
      <c r="OXF125" s="41"/>
      <c r="OXG125" s="41"/>
      <c r="OXH125" s="49"/>
      <c r="OXI125" s="41"/>
      <c r="OXJ125" s="41"/>
      <c r="OXL125" s="40"/>
      <c r="OXM125" s="47"/>
      <c r="OXN125" s="48"/>
      <c r="OXO125" s="49"/>
      <c r="OXP125" s="50"/>
      <c r="OXQ125" s="50"/>
      <c r="OXR125" s="41"/>
      <c r="OXS125" s="41"/>
      <c r="OXT125" s="49"/>
      <c r="OXU125" s="41"/>
      <c r="OXV125" s="41"/>
      <c r="OXX125" s="40"/>
      <c r="OXY125" s="47"/>
      <c r="OXZ125" s="48"/>
      <c r="OYA125" s="49"/>
      <c r="OYB125" s="50"/>
      <c r="OYC125" s="50"/>
      <c r="OYD125" s="41"/>
      <c r="OYE125" s="41"/>
      <c r="OYF125" s="49"/>
      <c r="OYG125" s="41"/>
      <c r="OYH125" s="41"/>
      <c r="OYJ125" s="40"/>
      <c r="OYK125" s="47"/>
      <c r="OYL125" s="48"/>
      <c r="OYM125" s="49"/>
      <c r="OYN125" s="50"/>
      <c r="OYO125" s="50"/>
      <c r="OYP125" s="41"/>
      <c r="OYQ125" s="41"/>
      <c r="OYR125" s="49"/>
      <c r="OYS125" s="41"/>
      <c r="OYT125" s="41"/>
      <c r="OYV125" s="40"/>
      <c r="OYW125" s="47"/>
      <c r="OYX125" s="48"/>
      <c r="OYY125" s="49"/>
      <c r="OYZ125" s="50"/>
      <c r="OZA125" s="50"/>
      <c r="OZB125" s="41"/>
      <c r="OZC125" s="41"/>
      <c r="OZD125" s="49"/>
      <c r="OZE125" s="41"/>
      <c r="OZF125" s="41"/>
      <c r="OZH125" s="40"/>
      <c r="OZI125" s="47"/>
      <c r="OZJ125" s="48"/>
      <c r="OZK125" s="49"/>
      <c r="OZL125" s="50"/>
      <c r="OZM125" s="50"/>
      <c r="OZN125" s="41"/>
      <c r="OZO125" s="41"/>
      <c r="OZP125" s="49"/>
      <c r="OZQ125" s="41"/>
      <c r="OZR125" s="41"/>
      <c r="OZT125" s="40"/>
      <c r="OZU125" s="47"/>
      <c r="OZV125" s="48"/>
      <c r="OZW125" s="49"/>
      <c r="OZX125" s="50"/>
      <c r="OZY125" s="50"/>
      <c r="OZZ125" s="41"/>
      <c r="PAA125" s="41"/>
      <c r="PAB125" s="49"/>
      <c r="PAC125" s="41"/>
      <c r="PAD125" s="41"/>
      <c r="PAF125" s="40"/>
      <c r="PAG125" s="47"/>
      <c r="PAH125" s="48"/>
      <c r="PAI125" s="49"/>
      <c r="PAJ125" s="50"/>
      <c r="PAK125" s="50"/>
      <c r="PAL125" s="41"/>
      <c r="PAM125" s="41"/>
      <c r="PAN125" s="49"/>
      <c r="PAO125" s="41"/>
      <c r="PAP125" s="41"/>
      <c r="PAR125" s="40"/>
      <c r="PAS125" s="47"/>
      <c r="PAT125" s="48"/>
      <c r="PAU125" s="49"/>
      <c r="PAV125" s="50"/>
      <c r="PAW125" s="50"/>
      <c r="PAX125" s="41"/>
      <c r="PAY125" s="41"/>
      <c r="PAZ125" s="49"/>
      <c r="PBA125" s="41"/>
      <c r="PBB125" s="41"/>
      <c r="PBD125" s="40"/>
      <c r="PBE125" s="47"/>
      <c r="PBF125" s="48"/>
      <c r="PBG125" s="49"/>
      <c r="PBH125" s="50"/>
      <c r="PBI125" s="50"/>
      <c r="PBJ125" s="41"/>
      <c r="PBK125" s="41"/>
      <c r="PBL125" s="49"/>
      <c r="PBM125" s="41"/>
      <c r="PBN125" s="41"/>
      <c r="PBP125" s="40"/>
      <c r="PBQ125" s="47"/>
      <c r="PBR125" s="48"/>
      <c r="PBS125" s="49"/>
      <c r="PBT125" s="50"/>
      <c r="PBU125" s="50"/>
      <c r="PBV125" s="41"/>
      <c r="PBW125" s="41"/>
      <c r="PBX125" s="49"/>
      <c r="PBY125" s="41"/>
      <c r="PBZ125" s="41"/>
      <c r="PCB125" s="40"/>
      <c r="PCC125" s="47"/>
      <c r="PCD125" s="48"/>
      <c r="PCE125" s="49"/>
      <c r="PCF125" s="50"/>
      <c r="PCG125" s="50"/>
      <c r="PCH125" s="41"/>
      <c r="PCI125" s="41"/>
      <c r="PCJ125" s="49"/>
      <c r="PCK125" s="41"/>
      <c r="PCL125" s="41"/>
      <c r="PCN125" s="40"/>
      <c r="PCO125" s="47"/>
      <c r="PCP125" s="48"/>
      <c r="PCQ125" s="49"/>
      <c r="PCR125" s="50"/>
      <c r="PCS125" s="50"/>
      <c r="PCT125" s="41"/>
      <c r="PCU125" s="41"/>
      <c r="PCV125" s="49"/>
      <c r="PCW125" s="41"/>
      <c r="PCX125" s="41"/>
      <c r="PCZ125" s="40"/>
      <c r="PDA125" s="47"/>
      <c r="PDB125" s="48"/>
      <c r="PDC125" s="49"/>
      <c r="PDD125" s="50"/>
      <c r="PDE125" s="50"/>
      <c r="PDF125" s="41"/>
      <c r="PDG125" s="41"/>
      <c r="PDH125" s="49"/>
      <c r="PDI125" s="41"/>
      <c r="PDJ125" s="41"/>
      <c r="PDL125" s="40"/>
      <c r="PDM125" s="47"/>
      <c r="PDN125" s="48"/>
      <c r="PDO125" s="49"/>
      <c r="PDP125" s="50"/>
      <c r="PDQ125" s="50"/>
      <c r="PDR125" s="41"/>
      <c r="PDS125" s="41"/>
      <c r="PDT125" s="49"/>
      <c r="PDU125" s="41"/>
      <c r="PDV125" s="41"/>
      <c r="PDX125" s="40"/>
      <c r="PDY125" s="47"/>
      <c r="PDZ125" s="48"/>
      <c r="PEA125" s="49"/>
      <c r="PEB125" s="50"/>
      <c r="PEC125" s="50"/>
      <c r="PED125" s="41"/>
      <c r="PEE125" s="41"/>
      <c r="PEF125" s="49"/>
      <c r="PEG125" s="41"/>
      <c r="PEH125" s="41"/>
      <c r="PEJ125" s="40"/>
      <c r="PEK125" s="47"/>
      <c r="PEL125" s="48"/>
      <c r="PEM125" s="49"/>
      <c r="PEN125" s="50"/>
      <c r="PEO125" s="50"/>
      <c r="PEP125" s="41"/>
      <c r="PEQ125" s="41"/>
      <c r="PER125" s="49"/>
      <c r="PES125" s="41"/>
      <c r="PET125" s="41"/>
      <c r="PEV125" s="40"/>
      <c r="PEW125" s="47"/>
      <c r="PEX125" s="48"/>
      <c r="PEY125" s="49"/>
      <c r="PEZ125" s="50"/>
      <c r="PFA125" s="50"/>
      <c r="PFB125" s="41"/>
      <c r="PFC125" s="41"/>
      <c r="PFD125" s="49"/>
      <c r="PFE125" s="41"/>
      <c r="PFF125" s="41"/>
      <c r="PFH125" s="40"/>
      <c r="PFI125" s="47"/>
      <c r="PFJ125" s="48"/>
      <c r="PFK125" s="49"/>
      <c r="PFL125" s="50"/>
      <c r="PFM125" s="50"/>
      <c r="PFN125" s="41"/>
      <c r="PFO125" s="41"/>
      <c r="PFP125" s="49"/>
      <c r="PFQ125" s="41"/>
      <c r="PFR125" s="41"/>
      <c r="PFT125" s="40"/>
      <c r="PFU125" s="47"/>
      <c r="PFV125" s="48"/>
      <c r="PFW125" s="49"/>
      <c r="PFX125" s="50"/>
      <c r="PFY125" s="50"/>
      <c r="PFZ125" s="41"/>
      <c r="PGA125" s="41"/>
      <c r="PGB125" s="49"/>
      <c r="PGC125" s="41"/>
      <c r="PGD125" s="41"/>
      <c r="PGF125" s="40"/>
      <c r="PGG125" s="47"/>
      <c r="PGH125" s="48"/>
      <c r="PGI125" s="49"/>
      <c r="PGJ125" s="50"/>
      <c r="PGK125" s="50"/>
      <c r="PGL125" s="41"/>
      <c r="PGM125" s="41"/>
      <c r="PGN125" s="49"/>
      <c r="PGO125" s="41"/>
      <c r="PGP125" s="41"/>
      <c r="PGR125" s="40"/>
      <c r="PGS125" s="47"/>
      <c r="PGT125" s="48"/>
      <c r="PGU125" s="49"/>
      <c r="PGV125" s="50"/>
      <c r="PGW125" s="50"/>
      <c r="PGX125" s="41"/>
      <c r="PGY125" s="41"/>
      <c r="PGZ125" s="49"/>
      <c r="PHA125" s="41"/>
      <c r="PHB125" s="41"/>
      <c r="PHD125" s="40"/>
      <c r="PHE125" s="47"/>
      <c r="PHF125" s="48"/>
      <c r="PHG125" s="49"/>
      <c r="PHH125" s="50"/>
      <c r="PHI125" s="50"/>
      <c r="PHJ125" s="41"/>
      <c r="PHK125" s="41"/>
      <c r="PHL125" s="49"/>
      <c r="PHM125" s="41"/>
      <c r="PHN125" s="41"/>
      <c r="PHP125" s="40"/>
      <c r="PHQ125" s="47"/>
      <c r="PHR125" s="48"/>
      <c r="PHS125" s="49"/>
      <c r="PHT125" s="50"/>
      <c r="PHU125" s="50"/>
      <c r="PHV125" s="41"/>
      <c r="PHW125" s="41"/>
      <c r="PHX125" s="49"/>
      <c r="PHY125" s="41"/>
      <c r="PHZ125" s="41"/>
      <c r="PIB125" s="40"/>
      <c r="PIC125" s="47"/>
      <c r="PID125" s="48"/>
      <c r="PIE125" s="49"/>
      <c r="PIF125" s="50"/>
      <c r="PIG125" s="50"/>
      <c r="PIH125" s="41"/>
      <c r="PII125" s="41"/>
      <c r="PIJ125" s="49"/>
      <c r="PIK125" s="41"/>
      <c r="PIL125" s="41"/>
      <c r="PIN125" s="40"/>
      <c r="PIO125" s="47"/>
      <c r="PIP125" s="48"/>
      <c r="PIQ125" s="49"/>
      <c r="PIR125" s="50"/>
      <c r="PIS125" s="50"/>
      <c r="PIT125" s="41"/>
      <c r="PIU125" s="41"/>
      <c r="PIV125" s="49"/>
      <c r="PIW125" s="41"/>
      <c r="PIX125" s="41"/>
      <c r="PIZ125" s="40"/>
      <c r="PJA125" s="47"/>
      <c r="PJB125" s="48"/>
      <c r="PJC125" s="49"/>
      <c r="PJD125" s="50"/>
      <c r="PJE125" s="50"/>
      <c r="PJF125" s="41"/>
      <c r="PJG125" s="41"/>
      <c r="PJH125" s="49"/>
      <c r="PJI125" s="41"/>
      <c r="PJJ125" s="41"/>
      <c r="PJL125" s="40"/>
      <c r="PJM125" s="47"/>
      <c r="PJN125" s="48"/>
      <c r="PJO125" s="49"/>
      <c r="PJP125" s="50"/>
      <c r="PJQ125" s="50"/>
      <c r="PJR125" s="41"/>
      <c r="PJS125" s="41"/>
      <c r="PJT125" s="49"/>
      <c r="PJU125" s="41"/>
      <c r="PJV125" s="41"/>
      <c r="PJX125" s="40"/>
      <c r="PJY125" s="47"/>
      <c r="PJZ125" s="48"/>
      <c r="PKA125" s="49"/>
      <c r="PKB125" s="50"/>
      <c r="PKC125" s="50"/>
      <c r="PKD125" s="41"/>
      <c r="PKE125" s="41"/>
      <c r="PKF125" s="49"/>
      <c r="PKG125" s="41"/>
      <c r="PKH125" s="41"/>
      <c r="PKJ125" s="40"/>
      <c r="PKK125" s="47"/>
      <c r="PKL125" s="48"/>
      <c r="PKM125" s="49"/>
      <c r="PKN125" s="50"/>
      <c r="PKO125" s="50"/>
      <c r="PKP125" s="41"/>
      <c r="PKQ125" s="41"/>
      <c r="PKR125" s="49"/>
      <c r="PKS125" s="41"/>
      <c r="PKT125" s="41"/>
      <c r="PKV125" s="40"/>
      <c r="PKW125" s="47"/>
      <c r="PKX125" s="48"/>
      <c r="PKY125" s="49"/>
      <c r="PKZ125" s="50"/>
      <c r="PLA125" s="50"/>
      <c r="PLB125" s="41"/>
      <c r="PLC125" s="41"/>
      <c r="PLD125" s="49"/>
      <c r="PLE125" s="41"/>
      <c r="PLF125" s="41"/>
      <c r="PLH125" s="40"/>
      <c r="PLI125" s="47"/>
      <c r="PLJ125" s="48"/>
      <c r="PLK125" s="49"/>
      <c r="PLL125" s="50"/>
      <c r="PLM125" s="50"/>
      <c r="PLN125" s="41"/>
      <c r="PLO125" s="41"/>
      <c r="PLP125" s="49"/>
      <c r="PLQ125" s="41"/>
      <c r="PLR125" s="41"/>
      <c r="PLT125" s="40"/>
      <c r="PLU125" s="47"/>
      <c r="PLV125" s="48"/>
      <c r="PLW125" s="49"/>
      <c r="PLX125" s="50"/>
      <c r="PLY125" s="50"/>
      <c r="PLZ125" s="41"/>
      <c r="PMA125" s="41"/>
      <c r="PMB125" s="49"/>
      <c r="PMC125" s="41"/>
      <c r="PMD125" s="41"/>
      <c r="PMF125" s="40"/>
      <c r="PMG125" s="47"/>
      <c r="PMH125" s="48"/>
      <c r="PMI125" s="49"/>
      <c r="PMJ125" s="50"/>
      <c r="PMK125" s="50"/>
      <c r="PML125" s="41"/>
      <c r="PMM125" s="41"/>
      <c r="PMN125" s="49"/>
      <c r="PMO125" s="41"/>
      <c r="PMP125" s="41"/>
      <c r="PMR125" s="40"/>
      <c r="PMS125" s="47"/>
      <c r="PMT125" s="48"/>
      <c r="PMU125" s="49"/>
      <c r="PMV125" s="50"/>
      <c r="PMW125" s="50"/>
      <c r="PMX125" s="41"/>
      <c r="PMY125" s="41"/>
      <c r="PMZ125" s="49"/>
      <c r="PNA125" s="41"/>
      <c r="PNB125" s="41"/>
      <c r="PND125" s="40"/>
      <c r="PNE125" s="47"/>
      <c r="PNF125" s="48"/>
      <c r="PNG125" s="49"/>
      <c r="PNH125" s="50"/>
      <c r="PNI125" s="50"/>
      <c r="PNJ125" s="41"/>
      <c r="PNK125" s="41"/>
      <c r="PNL125" s="49"/>
      <c r="PNM125" s="41"/>
      <c r="PNN125" s="41"/>
      <c r="PNP125" s="40"/>
      <c r="PNQ125" s="47"/>
      <c r="PNR125" s="48"/>
      <c r="PNS125" s="49"/>
      <c r="PNT125" s="50"/>
      <c r="PNU125" s="50"/>
      <c r="PNV125" s="41"/>
      <c r="PNW125" s="41"/>
      <c r="PNX125" s="49"/>
      <c r="PNY125" s="41"/>
      <c r="PNZ125" s="41"/>
      <c r="POB125" s="40"/>
      <c r="POC125" s="47"/>
      <c r="POD125" s="48"/>
      <c r="POE125" s="49"/>
      <c r="POF125" s="50"/>
      <c r="POG125" s="50"/>
      <c r="POH125" s="41"/>
      <c r="POI125" s="41"/>
      <c r="POJ125" s="49"/>
      <c r="POK125" s="41"/>
      <c r="POL125" s="41"/>
      <c r="PON125" s="40"/>
      <c r="POO125" s="47"/>
      <c r="POP125" s="48"/>
      <c r="POQ125" s="49"/>
      <c r="POR125" s="50"/>
      <c r="POS125" s="50"/>
      <c r="POT125" s="41"/>
      <c r="POU125" s="41"/>
      <c r="POV125" s="49"/>
      <c r="POW125" s="41"/>
      <c r="POX125" s="41"/>
      <c r="POZ125" s="40"/>
      <c r="PPA125" s="47"/>
      <c r="PPB125" s="48"/>
      <c r="PPC125" s="49"/>
      <c r="PPD125" s="50"/>
      <c r="PPE125" s="50"/>
      <c r="PPF125" s="41"/>
      <c r="PPG125" s="41"/>
      <c r="PPH125" s="49"/>
      <c r="PPI125" s="41"/>
      <c r="PPJ125" s="41"/>
      <c r="PPL125" s="40"/>
      <c r="PPM125" s="47"/>
      <c r="PPN125" s="48"/>
      <c r="PPO125" s="49"/>
      <c r="PPP125" s="50"/>
      <c r="PPQ125" s="50"/>
      <c r="PPR125" s="41"/>
      <c r="PPS125" s="41"/>
      <c r="PPT125" s="49"/>
      <c r="PPU125" s="41"/>
      <c r="PPV125" s="41"/>
      <c r="PPX125" s="40"/>
      <c r="PPY125" s="47"/>
      <c r="PPZ125" s="48"/>
      <c r="PQA125" s="49"/>
      <c r="PQB125" s="50"/>
      <c r="PQC125" s="50"/>
      <c r="PQD125" s="41"/>
      <c r="PQE125" s="41"/>
      <c r="PQF125" s="49"/>
      <c r="PQG125" s="41"/>
      <c r="PQH125" s="41"/>
      <c r="PQJ125" s="40"/>
      <c r="PQK125" s="47"/>
      <c r="PQL125" s="48"/>
      <c r="PQM125" s="49"/>
      <c r="PQN125" s="50"/>
      <c r="PQO125" s="50"/>
      <c r="PQP125" s="41"/>
      <c r="PQQ125" s="41"/>
      <c r="PQR125" s="49"/>
      <c r="PQS125" s="41"/>
      <c r="PQT125" s="41"/>
      <c r="PQV125" s="40"/>
      <c r="PQW125" s="47"/>
      <c r="PQX125" s="48"/>
      <c r="PQY125" s="49"/>
      <c r="PQZ125" s="50"/>
      <c r="PRA125" s="50"/>
      <c r="PRB125" s="41"/>
      <c r="PRC125" s="41"/>
      <c r="PRD125" s="49"/>
      <c r="PRE125" s="41"/>
      <c r="PRF125" s="41"/>
      <c r="PRH125" s="40"/>
      <c r="PRI125" s="47"/>
      <c r="PRJ125" s="48"/>
      <c r="PRK125" s="49"/>
      <c r="PRL125" s="50"/>
      <c r="PRM125" s="50"/>
      <c r="PRN125" s="41"/>
      <c r="PRO125" s="41"/>
      <c r="PRP125" s="49"/>
      <c r="PRQ125" s="41"/>
      <c r="PRR125" s="41"/>
      <c r="PRT125" s="40"/>
      <c r="PRU125" s="47"/>
      <c r="PRV125" s="48"/>
      <c r="PRW125" s="49"/>
      <c r="PRX125" s="50"/>
      <c r="PRY125" s="50"/>
      <c r="PRZ125" s="41"/>
      <c r="PSA125" s="41"/>
      <c r="PSB125" s="49"/>
      <c r="PSC125" s="41"/>
      <c r="PSD125" s="41"/>
      <c r="PSF125" s="40"/>
      <c r="PSG125" s="47"/>
      <c r="PSH125" s="48"/>
      <c r="PSI125" s="49"/>
      <c r="PSJ125" s="50"/>
      <c r="PSK125" s="50"/>
      <c r="PSL125" s="41"/>
      <c r="PSM125" s="41"/>
      <c r="PSN125" s="49"/>
      <c r="PSO125" s="41"/>
      <c r="PSP125" s="41"/>
      <c r="PSR125" s="40"/>
      <c r="PSS125" s="47"/>
      <c r="PST125" s="48"/>
      <c r="PSU125" s="49"/>
      <c r="PSV125" s="50"/>
      <c r="PSW125" s="50"/>
      <c r="PSX125" s="41"/>
      <c r="PSY125" s="41"/>
      <c r="PSZ125" s="49"/>
      <c r="PTA125" s="41"/>
      <c r="PTB125" s="41"/>
      <c r="PTD125" s="40"/>
      <c r="PTE125" s="47"/>
      <c r="PTF125" s="48"/>
      <c r="PTG125" s="49"/>
      <c r="PTH125" s="50"/>
      <c r="PTI125" s="50"/>
      <c r="PTJ125" s="41"/>
      <c r="PTK125" s="41"/>
      <c r="PTL125" s="49"/>
      <c r="PTM125" s="41"/>
      <c r="PTN125" s="41"/>
      <c r="PTP125" s="40"/>
      <c r="PTQ125" s="47"/>
      <c r="PTR125" s="48"/>
      <c r="PTS125" s="49"/>
      <c r="PTT125" s="50"/>
      <c r="PTU125" s="50"/>
      <c r="PTV125" s="41"/>
      <c r="PTW125" s="41"/>
      <c r="PTX125" s="49"/>
      <c r="PTY125" s="41"/>
      <c r="PTZ125" s="41"/>
      <c r="PUB125" s="40"/>
      <c r="PUC125" s="47"/>
      <c r="PUD125" s="48"/>
      <c r="PUE125" s="49"/>
      <c r="PUF125" s="50"/>
      <c r="PUG125" s="50"/>
      <c r="PUH125" s="41"/>
      <c r="PUI125" s="41"/>
      <c r="PUJ125" s="49"/>
      <c r="PUK125" s="41"/>
      <c r="PUL125" s="41"/>
      <c r="PUN125" s="40"/>
      <c r="PUO125" s="47"/>
      <c r="PUP125" s="48"/>
      <c r="PUQ125" s="49"/>
      <c r="PUR125" s="50"/>
      <c r="PUS125" s="50"/>
      <c r="PUT125" s="41"/>
      <c r="PUU125" s="41"/>
      <c r="PUV125" s="49"/>
      <c r="PUW125" s="41"/>
      <c r="PUX125" s="41"/>
      <c r="PUZ125" s="40"/>
      <c r="PVA125" s="47"/>
      <c r="PVB125" s="48"/>
      <c r="PVC125" s="49"/>
      <c r="PVD125" s="50"/>
      <c r="PVE125" s="50"/>
      <c r="PVF125" s="41"/>
      <c r="PVG125" s="41"/>
      <c r="PVH125" s="49"/>
      <c r="PVI125" s="41"/>
      <c r="PVJ125" s="41"/>
      <c r="PVL125" s="40"/>
      <c r="PVM125" s="47"/>
      <c r="PVN125" s="48"/>
      <c r="PVO125" s="49"/>
      <c r="PVP125" s="50"/>
      <c r="PVQ125" s="50"/>
      <c r="PVR125" s="41"/>
      <c r="PVS125" s="41"/>
      <c r="PVT125" s="49"/>
      <c r="PVU125" s="41"/>
      <c r="PVV125" s="41"/>
      <c r="PVX125" s="40"/>
      <c r="PVY125" s="47"/>
      <c r="PVZ125" s="48"/>
      <c r="PWA125" s="49"/>
      <c r="PWB125" s="50"/>
      <c r="PWC125" s="50"/>
      <c r="PWD125" s="41"/>
      <c r="PWE125" s="41"/>
      <c r="PWF125" s="49"/>
      <c r="PWG125" s="41"/>
      <c r="PWH125" s="41"/>
      <c r="PWJ125" s="40"/>
      <c r="PWK125" s="47"/>
      <c r="PWL125" s="48"/>
      <c r="PWM125" s="49"/>
      <c r="PWN125" s="50"/>
      <c r="PWO125" s="50"/>
      <c r="PWP125" s="41"/>
      <c r="PWQ125" s="41"/>
      <c r="PWR125" s="49"/>
      <c r="PWS125" s="41"/>
      <c r="PWT125" s="41"/>
      <c r="PWV125" s="40"/>
      <c r="PWW125" s="47"/>
      <c r="PWX125" s="48"/>
      <c r="PWY125" s="49"/>
      <c r="PWZ125" s="50"/>
      <c r="PXA125" s="50"/>
      <c r="PXB125" s="41"/>
      <c r="PXC125" s="41"/>
      <c r="PXD125" s="49"/>
      <c r="PXE125" s="41"/>
      <c r="PXF125" s="41"/>
      <c r="PXH125" s="40"/>
      <c r="PXI125" s="47"/>
      <c r="PXJ125" s="48"/>
      <c r="PXK125" s="49"/>
      <c r="PXL125" s="50"/>
      <c r="PXM125" s="50"/>
      <c r="PXN125" s="41"/>
      <c r="PXO125" s="41"/>
      <c r="PXP125" s="49"/>
      <c r="PXQ125" s="41"/>
      <c r="PXR125" s="41"/>
      <c r="PXT125" s="40"/>
      <c r="PXU125" s="47"/>
      <c r="PXV125" s="48"/>
      <c r="PXW125" s="49"/>
      <c r="PXX125" s="50"/>
      <c r="PXY125" s="50"/>
      <c r="PXZ125" s="41"/>
      <c r="PYA125" s="41"/>
      <c r="PYB125" s="49"/>
      <c r="PYC125" s="41"/>
      <c r="PYD125" s="41"/>
      <c r="PYF125" s="40"/>
      <c r="PYG125" s="47"/>
      <c r="PYH125" s="48"/>
      <c r="PYI125" s="49"/>
      <c r="PYJ125" s="50"/>
      <c r="PYK125" s="50"/>
      <c r="PYL125" s="41"/>
      <c r="PYM125" s="41"/>
      <c r="PYN125" s="49"/>
      <c r="PYO125" s="41"/>
      <c r="PYP125" s="41"/>
      <c r="PYR125" s="40"/>
      <c r="PYS125" s="47"/>
      <c r="PYT125" s="48"/>
      <c r="PYU125" s="49"/>
      <c r="PYV125" s="50"/>
      <c r="PYW125" s="50"/>
      <c r="PYX125" s="41"/>
      <c r="PYY125" s="41"/>
      <c r="PYZ125" s="49"/>
      <c r="PZA125" s="41"/>
      <c r="PZB125" s="41"/>
      <c r="PZD125" s="40"/>
      <c r="PZE125" s="47"/>
      <c r="PZF125" s="48"/>
      <c r="PZG125" s="49"/>
      <c r="PZH125" s="50"/>
      <c r="PZI125" s="50"/>
      <c r="PZJ125" s="41"/>
      <c r="PZK125" s="41"/>
      <c r="PZL125" s="49"/>
      <c r="PZM125" s="41"/>
      <c r="PZN125" s="41"/>
      <c r="PZP125" s="40"/>
      <c r="PZQ125" s="47"/>
      <c r="PZR125" s="48"/>
      <c r="PZS125" s="49"/>
      <c r="PZT125" s="50"/>
      <c r="PZU125" s="50"/>
      <c r="PZV125" s="41"/>
      <c r="PZW125" s="41"/>
      <c r="PZX125" s="49"/>
      <c r="PZY125" s="41"/>
      <c r="PZZ125" s="41"/>
      <c r="QAB125" s="40"/>
      <c r="QAC125" s="47"/>
      <c r="QAD125" s="48"/>
      <c r="QAE125" s="49"/>
      <c r="QAF125" s="50"/>
      <c r="QAG125" s="50"/>
      <c r="QAH125" s="41"/>
      <c r="QAI125" s="41"/>
      <c r="QAJ125" s="49"/>
      <c r="QAK125" s="41"/>
      <c r="QAL125" s="41"/>
      <c r="QAN125" s="40"/>
      <c r="QAO125" s="47"/>
      <c r="QAP125" s="48"/>
      <c r="QAQ125" s="49"/>
      <c r="QAR125" s="50"/>
      <c r="QAS125" s="50"/>
      <c r="QAT125" s="41"/>
      <c r="QAU125" s="41"/>
      <c r="QAV125" s="49"/>
      <c r="QAW125" s="41"/>
      <c r="QAX125" s="41"/>
      <c r="QAZ125" s="40"/>
      <c r="QBA125" s="47"/>
      <c r="QBB125" s="48"/>
      <c r="QBC125" s="49"/>
      <c r="QBD125" s="50"/>
      <c r="QBE125" s="50"/>
      <c r="QBF125" s="41"/>
      <c r="QBG125" s="41"/>
      <c r="QBH125" s="49"/>
      <c r="QBI125" s="41"/>
      <c r="QBJ125" s="41"/>
      <c r="QBL125" s="40"/>
      <c r="QBM125" s="47"/>
      <c r="QBN125" s="48"/>
      <c r="QBO125" s="49"/>
      <c r="QBP125" s="50"/>
      <c r="QBQ125" s="50"/>
      <c r="QBR125" s="41"/>
      <c r="QBS125" s="41"/>
      <c r="QBT125" s="49"/>
      <c r="QBU125" s="41"/>
      <c r="QBV125" s="41"/>
      <c r="QBX125" s="40"/>
      <c r="QBY125" s="47"/>
      <c r="QBZ125" s="48"/>
      <c r="QCA125" s="49"/>
      <c r="QCB125" s="50"/>
      <c r="QCC125" s="50"/>
      <c r="QCD125" s="41"/>
      <c r="QCE125" s="41"/>
      <c r="QCF125" s="49"/>
      <c r="QCG125" s="41"/>
      <c r="QCH125" s="41"/>
      <c r="QCJ125" s="40"/>
      <c r="QCK125" s="47"/>
      <c r="QCL125" s="48"/>
      <c r="QCM125" s="49"/>
      <c r="QCN125" s="50"/>
      <c r="QCO125" s="50"/>
      <c r="QCP125" s="41"/>
      <c r="QCQ125" s="41"/>
      <c r="QCR125" s="49"/>
      <c r="QCS125" s="41"/>
      <c r="QCT125" s="41"/>
      <c r="QCV125" s="40"/>
      <c r="QCW125" s="47"/>
      <c r="QCX125" s="48"/>
      <c r="QCY125" s="49"/>
      <c r="QCZ125" s="50"/>
      <c r="QDA125" s="50"/>
      <c r="QDB125" s="41"/>
      <c r="QDC125" s="41"/>
      <c r="QDD125" s="49"/>
      <c r="QDE125" s="41"/>
      <c r="QDF125" s="41"/>
      <c r="QDH125" s="40"/>
      <c r="QDI125" s="47"/>
      <c r="QDJ125" s="48"/>
      <c r="QDK125" s="49"/>
      <c r="QDL125" s="50"/>
      <c r="QDM125" s="50"/>
      <c r="QDN125" s="41"/>
      <c r="QDO125" s="41"/>
      <c r="QDP125" s="49"/>
      <c r="QDQ125" s="41"/>
      <c r="QDR125" s="41"/>
      <c r="QDT125" s="40"/>
      <c r="QDU125" s="47"/>
      <c r="QDV125" s="48"/>
      <c r="QDW125" s="49"/>
      <c r="QDX125" s="50"/>
      <c r="QDY125" s="50"/>
      <c r="QDZ125" s="41"/>
      <c r="QEA125" s="41"/>
      <c r="QEB125" s="49"/>
      <c r="QEC125" s="41"/>
      <c r="QED125" s="41"/>
      <c r="QEF125" s="40"/>
      <c r="QEG125" s="47"/>
      <c r="QEH125" s="48"/>
      <c r="QEI125" s="49"/>
      <c r="QEJ125" s="50"/>
      <c r="QEK125" s="50"/>
      <c r="QEL125" s="41"/>
      <c r="QEM125" s="41"/>
      <c r="QEN125" s="49"/>
      <c r="QEO125" s="41"/>
      <c r="QEP125" s="41"/>
      <c r="QER125" s="40"/>
      <c r="QES125" s="47"/>
      <c r="QET125" s="48"/>
      <c r="QEU125" s="49"/>
      <c r="QEV125" s="50"/>
      <c r="QEW125" s="50"/>
      <c r="QEX125" s="41"/>
      <c r="QEY125" s="41"/>
      <c r="QEZ125" s="49"/>
      <c r="QFA125" s="41"/>
      <c r="QFB125" s="41"/>
      <c r="QFD125" s="40"/>
      <c r="QFE125" s="47"/>
      <c r="QFF125" s="48"/>
      <c r="QFG125" s="49"/>
      <c r="QFH125" s="50"/>
      <c r="QFI125" s="50"/>
      <c r="QFJ125" s="41"/>
      <c r="QFK125" s="41"/>
      <c r="QFL125" s="49"/>
      <c r="QFM125" s="41"/>
      <c r="QFN125" s="41"/>
      <c r="QFP125" s="40"/>
      <c r="QFQ125" s="47"/>
      <c r="QFR125" s="48"/>
      <c r="QFS125" s="49"/>
      <c r="QFT125" s="50"/>
      <c r="QFU125" s="50"/>
      <c r="QFV125" s="41"/>
      <c r="QFW125" s="41"/>
      <c r="QFX125" s="49"/>
      <c r="QFY125" s="41"/>
      <c r="QFZ125" s="41"/>
      <c r="QGB125" s="40"/>
      <c r="QGC125" s="47"/>
      <c r="QGD125" s="48"/>
      <c r="QGE125" s="49"/>
      <c r="QGF125" s="50"/>
      <c r="QGG125" s="50"/>
      <c r="QGH125" s="41"/>
      <c r="QGI125" s="41"/>
      <c r="QGJ125" s="49"/>
      <c r="QGK125" s="41"/>
      <c r="QGL125" s="41"/>
      <c r="QGN125" s="40"/>
      <c r="QGO125" s="47"/>
      <c r="QGP125" s="48"/>
      <c r="QGQ125" s="49"/>
      <c r="QGR125" s="50"/>
      <c r="QGS125" s="50"/>
      <c r="QGT125" s="41"/>
      <c r="QGU125" s="41"/>
      <c r="QGV125" s="49"/>
      <c r="QGW125" s="41"/>
      <c r="QGX125" s="41"/>
      <c r="QGZ125" s="40"/>
      <c r="QHA125" s="47"/>
      <c r="QHB125" s="48"/>
      <c r="QHC125" s="49"/>
      <c r="QHD125" s="50"/>
      <c r="QHE125" s="50"/>
      <c r="QHF125" s="41"/>
      <c r="QHG125" s="41"/>
      <c r="QHH125" s="49"/>
      <c r="QHI125" s="41"/>
      <c r="QHJ125" s="41"/>
      <c r="QHL125" s="40"/>
      <c r="QHM125" s="47"/>
      <c r="QHN125" s="48"/>
      <c r="QHO125" s="49"/>
      <c r="QHP125" s="50"/>
      <c r="QHQ125" s="50"/>
      <c r="QHR125" s="41"/>
      <c r="QHS125" s="41"/>
      <c r="QHT125" s="49"/>
      <c r="QHU125" s="41"/>
      <c r="QHV125" s="41"/>
      <c r="QHX125" s="40"/>
      <c r="QHY125" s="47"/>
      <c r="QHZ125" s="48"/>
      <c r="QIA125" s="49"/>
      <c r="QIB125" s="50"/>
      <c r="QIC125" s="50"/>
      <c r="QID125" s="41"/>
      <c r="QIE125" s="41"/>
      <c r="QIF125" s="49"/>
      <c r="QIG125" s="41"/>
      <c r="QIH125" s="41"/>
      <c r="QIJ125" s="40"/>
      <c r="QIK125" s="47"/>
      <c r="QIL125" s="48"/>
      <c r="QIM125" s="49"/>
      <c r="QIN125" s="50"/>
      <c r="QIO125" s="50"/>
      <c r="QIP125" s="41"/>
      <c r="QIQ125" s="41"/>
      <c r="QIR125" s="49"/>
      <c r="QIS125" s="41"/>
      <c r="QIT125" s="41"/>
      <c r="QIV125" s="40"/>
      <c r="QIW125" s="47"/>
      <c r="QIX125" s="48"/>
      <c r="QIY125" s="49"/>
      <c r="QIZ125" s="50"/>
      <c r="QJA125" s="50"/>
      <c r="QJB125" s="41"/>
      <c r="QJC125" s="41"/>
      <c r="QJD125" s="49"/>
      <c r="QJE125" s="41"/>
      <c r="QJF125" s="41"/>
      <c r="QJH125" s="40"/>
      <c r="QJI125" s="47"/>
      <c r="QJJ125" s="48"/>
      <c r="QJK125" s="49"/>
      <c r="QJL125" s="50"/>
      <c r="QJM125" s="50"/>
      <c r="QJN125" s="41"/>
      <c r="QJO125" s="41"/>
      <c r="QJP125" s="49"/>
      <c r="QJQ125" s="41"/>
      <c r="QJR125" s="41"/>
      <c r="QJT125" s="40"/>
      <c r="QJU125" s="47"/>
      <c r="QJV125" s="48"/>
      <c r="QJW125" s="49"/>
      <c r="QJX125" s="50"/>
      <c r="QJY125" s="50"/>
      <c r="QJZ125" s="41"/>
      <c r="QKA125" s="41"/>
      <c r="QKB125" s="49"/>
      <c r="QKC125" s="41"/>
      <c r="QKD125" s="41"/>
      <c r="QKF125" s="40"/>
      <c r="QKG125" s="47"/>
      <c r="QKH125" s="48"/>
      <c r="QKI125" s="49"/>
      <c r="QKJ125" s="50"/>
      <c r="QKK125" s="50"/>
      <c r="QKL125" s="41"/>
      <c r="QKM125" s="41"/>
      <c r="QKN125" s="49"/>
      <c r="QKO125" s="41"/>
      <c r="QKP125" s="41"/>
      <c r="QKR125" s="40"/>
      <c r="QKS125" s="47"/>
      <c r="QKT125" s="48"/>
      <c r="QKU125" s="49"/>
      <c r="QKV125" s="50"/>
      <c r="QKW125" s="50"/>
      <c r="QKX125" s="41"/>
      <c r="QKY125" s="41"/>
      <c r="QKZ125" s="49"/>
      <c r="QLA125" s="41"/>
      <c r="QLB125" s="41"/>
      <c r="QLD125" s="40"/>
      <c r="QLE125" s="47"/>
      <c r="QLF125" s="48"/>
      <c r="QLG125" s="49"/>
      <c r="QLH125" s="50"/>
      <c r="QLI125" s="50"/>
      <c r="QLJ125" s="41"/>
      <c r="QLK125" s="41"/>
      <c r="QLL125" s="49"/>
      <c r="QLM125" s="41"/>
      <c r="QLN125" s="41"/>
      <c r="QLP125" s="40"/>
      <c r="QLQ125" s="47"/>
      <c r="QLR125" s="48"/>
      <c r="QLS125" s="49"/>
      <c r="QLT125" s="50"/>
      <c r="QLU125" s="50"/>
      <c r="QLV125" s="41"/>
      <c r="QLW125" s="41"/>
      <c r="QLX125" s="49"/>
      <c r="QLY125" s="41"/>
      <c r="QLZ125" s="41"/>
      <c r="QMB125" s="40"/>
      <c r="QMC125" s="47"/>
      <c r="QMD125" s="48"/>
      <c r="QME125" s="49"/>
      <c r="QMF125" s="50"/>
      <c r="QMG125" s="50"/>
      <c r="QMH125" s="41"/>
      <c r="QMI125" s="41"/>
      <c r="QMJ125" s="49"/>
      <c r="QMK125" s="41"/>
      <c r="QML125" s="41"/>
      <c r="QMN125" s="40"/>
      <c r="QMO125" s="47"/>
      <c r="QMP125" s="48"/>
      <c r="QMQ125" s="49"/>
      <c r="QMR125" s="50"/>
      <c r="QMS125" s="50"/>
      <c r="QMT125" s="41"/>
      <c r="QMU125" s="41"/>
      <c r="QMV125" s="49"/>
      <c r="QMW125" s="41"/>
      <c r="QMX125" s="41"/>
      <c r="QMZ125" s="40"/>
      <c r="QNA125" s="47"/>
      <c r="QNB125" s="48"/>
      <c r="QNC125" s="49"/>
      <c r="QND125" s="50"/>
      <c r="QNE125" s="50"/>
      <c r="QNF125" s="41"/>
      <c r="QNG125" s="41"/>
      <c r="QNH125" s="49"/>
      <c r="QNI125" s="41"/>
      <c r="QNJ125" s="41"/>
      <c r="QNL125" s="40"/>
      <c r="QNM125" s="47"/>
      <c r="QNN125" s="48"/>
      <c r="QNO125" s="49"/>
      <c r="QNP125" s="50"/>
      <c r="QNQ125" s="50"/>
      <c r="QNR125" s="41"/>
      <c r="QNS125" s="41"/>
      <c r="QNT125" s="49"/>
      <c r="QNU125" s="41"/>
      <c r="QNV125" s="41"/>
      <c r="QNX125" s="40"/>
      <c r="QNY125" s="47"/>
      <c r="QNZ125" s="48"/>
      <c r="QOA125" s="49"/>
      <c r="QOB125" s="50"/>
      <c r="QOC125" s="50"/>
      <c r="QOD125" s="41"/>
      <c r="QOE125" s="41"/>
      <c r="QOF125" s="49"/>
      <c r="QOG125" s="41"/>
      <c r="QOH125" s="41"/>
      <c r="QOJ125" s="40"/>
      <c r="QOK125" s="47"/>
      <c r="QOL125" s="48"/>
      <c r="QOM125" s="49"/>
      <c r="QON125" s="50"/>
      <c r="QOO125" s="50"/>
      <c r="QOP125" s="41"/>
      <c r="QOQ125" s="41"/>
      <c r="QOR125" s="49"/>
      <c r="QOS125" s="41"/>
      <c r="QOT125" s="41"/>
      <c r="QOV125" s="40"/>
      <c r="QOW125" s="47"/>
      <c r="QOX125" s="48"/>
      <c r="QOY125" s="49"/>
      <c r="QOZ125" s="50"/>
      <c r="QPA125" s="50"/>
      <c r="QPB125" s="41"/>
      <c r="QPC125" s="41"/>
      <c r="QPD125" s="49"/>
      <c r="QPE125" s="41"/>
      <c r="QPF125" s="41"/>
      <c r="QPH125" s="40"/>
      <c r="QPI125" s="47"/>
      <c r="QPJ125" s="48"/>
      <c r="QPK125" s="49"/>
      <c r="QPL125" s="50"/>
      <c r="QPM125" s="50"/>
      <c r="QPN125" s="41"/>
      <c r="QPO125" s="41"/>
      <c r="QPP125" s="49"/>
      <c r="QPQ125" s="41"/>
      <c r="QPR125" s="41"/>
      <c r="QPT125" s="40"/>
      <c r="QPU125" s="47"/>
      <c r="QPV125" s="48"/>
      <c r="QPW125" s="49"/>
      <c r="QPX125" s="50"/>
      <c r="QPY125" s="50"/>
      <c r="QPZ125" s="41"/>
      <c r="QQA125" s="41"/>
      <c r="QQB125" s="49"/>
      <c r="QQC125" s="41"/>
      <c r="QQD125" s="41"/>
      <c r="QQF125" s="40"/>
      <c r="QQG125" s="47"/>
      <c r="QQH125" s="48"/>
      <c r="QQI125" s="49"/>
      <c r="QQJ125" s="50"/>
      <c r="QQK125" s="50"/>
      <c r="QQL125" s="41"/>
      <c r="QQM125" s="41"/>
      <c r="QQN125" s="49"/>
      <c r="QQO125" s="41"/>
      <c r="QQP125" s="41"/>
      <c r="QQR125" s="40"/>
      <c r="QQS125" s="47"/>
      <c r="QQT125" s="48"/>
      <c r="QQU125" s="49"/>
      <c r="QQV125" s="50"/>
      <c r="QQW125" s="50"/>
      <c r="QQX125" s="41"/>
      <c r="QQY125" s="41"/>
      <c r="QQZ125" s="49"/>
      <c r="QRA125" s="41"/>
      <c r="QRB125" s="41"/>
      <c r="QRD125" s="40"/>
      <c r="QRE125" s="47"/>
      <c r="QRF125" s="48"/>
      <c r="QRG125" s="49"/>
      <c r="QRH125" s="50"/>
      <c r="QRI125" s="50"/>
      <c r="QRJ125" s="41"/>
      <c r="QRK125" s="41"/>
      <c r="QRL125" s="49"/>
      <c r="QRM125" s="41"/>
      <c r="QRN125" s="41"/>
      <c r="QRP125" s="40"/>
      <c r="QRQ125" s="47"/>
      <c r="QRR125" s="48"/>
      <c r="QRS125" s="49"/>
      <c r="QRT125" s="50"/>
      <c r="QRU125" s="50"/>
      <c r="QRV125" s="41"/>
      <c r="QRW125" s="41"/>
      <c r="QRX125" s="49"/>
      <c r="QRY125" s="41"/>
      <c r="QRZ125" s="41"/>
      <c r="QSB125" s="40"/>
      <c r="QSC125" s="47"/>
      <c r="QSD125" s="48"/>
      <c r="QSE125" s="49"/>
      <c r="QSF125" s="50"/>
      <c r="QSG125" s="50"/>
      <c r="QSH125" s="41"/>
      <c r="QSI125" s="41"/>
      <c r="QSJ125" s="49"/>
      <c r="QSK125" s="41"/>
      <c r="QSL125" s="41"/>
      <c r="QSN125" s="40"/>
      <c r="QSO125" s="47"/>
      <c r="QSP125" s="48"/>
      <c r="QSQ125" s="49"/>
      <c r="QSR125" s="50"/>
      <c r="QSS125" s="50"/>
      <c r="QST125" s="41"/>
      <c r="QSU125" s="41"/>
      <c r="QSV125" s="49"/>
      <c r="QSW125" s="41"/>
      <c r="QSX125" s="41"/>
      <c r="QSZ125" s="40"/>
      <c r="QTA125" s="47"/>
      <c r="QTB125" s="48"/>
      <c r="QTC125" s="49"/>
      <c r="QTD125" s="50"/>
      <c r="QTE125" s="50"/>
      <c r="QTF125" s="41"/>
      <c r="QTG125" s="41"/>
      <c r="QTH125" s="49"/>
      <c r="QTI125" s="41"/>
      <c r="QTJ125" s="41"/>
      <c r="QTL125" s="40"/>
      <c r="QTM125" s="47"/>
      <c r="QTN125" s="48"/>
      <c r="QTO125" s="49"/>
      <c r="QTP125" s="50"/>
      <c r="QTQ125" s="50"/>
      <c r="QTR125" s="41"/>
      <c r="QTS125" s="41"/>
      <c r="QTT125" s="49"/>
      <c r="QTU125" s="41"/>
      <c r="QTV125" s="41"/>
      <c r="QTX125" s="40"/>
      <c r="QTY125" s="47"/>
      <c r="QTZ125" s="48"/>
      <c r="QUA125" s="49"/>
      <c r="QUB125" s="50"/>
      <c r="QUC125" s="50"/>
      <c r="QUD125" s="41"/>
      <c r="QUE125" s="41"/>
      <c r="QUF125" s="49"/>
      <c r="QUG125" s="41"/>
      <c r="QUH125" s="41"/>
      <c r="QUJ125" s="40"/>
      <c r="QUK125" s="47"/>
      <c r="QUL125" s="48"/>
      <c r="QUM125" s="49"/>
      <c r="QUN125" s="50"/>
      <c r="QUO125" s="50"/>
      <c r="QUP125" s="41"/>
      <c r="QUQ125" s="41"/>
      <c r="QUR125" s="49"/>
      <c r="QUS125" s="41"/>
      <c r="QUT125" s="41"/>
      <c r="QUV125" s="40"/>
      <c r="QUW125" s="47"/>
      <c r="QUX125" s="48"/>
      <c r="QUY125" s="49"/>
      <c r="QUZ125" s="50"/>
      <c r="QVA125" s="50"/>
      <c r="QVB125" s="41"/>
      <c r="QVC125" s="41"/>
      <c r="QVD125" s="49"/>
      <c r="QVE125" s="41"/>
      <c r="QVF125" s="41"/>
      <c r="QVH125" s="40"/>
      <c r="QVI125" s="47"/>
      <c r="QVJ125" s="48"/>
      <c r="QVK125" s="49"/>
      <c r="QVL125" s="50"/>
      <c r="QVM125" s="50"/>
      <c r="QVN125" s="41"/>
      <c r="QVO125" s="41"/>
      <c r="QVP125" s="49"/>
      <c r="QVQ125" s="41"/>
      <c r="QVR125" s="41"/>
      <c r="QVT125" s="40"/>
      <c r="QVU125" s="47"/>
      <c r="QVV125" s="48"/>
      <c r="QVW125" s="49"/>
      <c r="QVX125" s="50"/>
      <c r="QVY125" s="50"/>
      <c r="QVZ125" s="41"/>
      <c r="QWA125" s="41"/>
      <c r="QWB125" s="49"/>
      <c r="QWC125" s="41"/>
      <c r="QWD125" s="41"/>
      <c r="QWF125" s="40"/>
      <c r="QWG125" s="47"/>
      <c r="QWH125" s="48"/>
      <c r="QWI125" s="49"/>
      <c r="QWJ125" s="50"/>
      <c r="QWK125" s="50"/>
      <c r="QWL125" s="41"/>
      <c r="QWM125" s="41"/>
      <c r="QWN125" s="49"/>
      <c r="QWO125" s="41"/>
      <c r="QWP125" s="41"/>
      <c r="QWR125" s="40"/>
      <c r="QWS125" s="47"/>
      <c r="QWT125" s="48"/>
      <c r="QWU125" s="49"/>
      <c r="QWV125" s="50"/>
      <c r="QWW125" s="50"/>
      <c r="QWX125" s="41"/>
      <c r="QWY125" s="41"/>
      <c r="QWZ125" s="49"/>
      <c r="QXA125" s="41"/>
      <c r="QXB125" s="41"/>
      <c r="QXD125" s="40"/>
      <c r="QXE125" s="47"/>
      <c r="QXF125" s="48"/>
      <c r="QXG125" s="49"/>
      <c r="QXH125" s="50"/>
      <c r="QXI125" s="50"/>
      <c r="QXJ125" s="41"/>
      <c r="QXK125" s="41"/>
      <c r="QXL125" s="49"/>
      <c r="QXM125" s="41"/>
      <c r="QXN125" s="41"/>
      <c r="QXP125" s="40"/>
      <c r="QXQ125" s="47"/>
      <c r="QXR125" s="48"/>
      <c r="QXS125" s="49"/>
      <c r="QXT125" s="50"/>
      <c r="QXU125" s="50"/>
      <c r="QXV125" s="41"/>
      <c r="QXW125" s="41"/>
      <c r="QXX125" s="49"/>
      <c r="QXY125" s="41"/>
      <c r="QXZ125" s="41"/>
      <c r="QYB125" s="40"/>
      <c r="QYC125" s="47"/>
      <c r="QYD125" s="48"/>
      <c r="QYE125" s="49"/>
      <c r="QYF125" s="50"/>
      <c r="QYG125" s="50"/>
      <c r="QYH125" s="41"/>
      <c r="QYI125" s="41"/>
      <c r="QYJ125" s="49"/>
      <c r="QYK125" s="41"/>
      <c r="QYL125" s="41"/>
      <c r="QYN125" s="40"/>
      <c r="QYO125" s="47"/>
      <c r="QYP125" s="48"/>
      <c r="QYQ125" s="49"/>
      <c r="QYR125" s="50"/>
      <c r="QYS125" s="50"/>
      <c r="QYT125" s="41"/>
      <c r="QYU125" s="41"/>
      <c r="QYV125" s="49"/>
      <c r="QYW125" s="41"/>
      <c r="QYX125" s="41"/>
      <c r="QYZ125" s="40"/>
      <c r="QZA125" s="47"/>
      <c r="QZB125" s="48"/>
      <c r="QZC125" s="49"/>
      <c r="QZD125" s="50"/>
      <c r="QZE125" s="50"/>
      <c r="QZF125" s="41"/>
      <c r="QZG125" s="41"/>
      <c r="QZH125" s="49"/>
      <c r="QZI125" s="41"/>
      <c r="QZJ125" s="41"/>
      <c r="QZL125" s="40"/>
      <c r="QZM125" s="47"/>
      <c r="QZN125" s="48"/>
      <c r="QZO125" s="49"/>
      <c r="QZP125" s="50"/>
      <c r="QZQ125" s="50"/>
      <c r="QZR125" s="41"/>
      <c r="QZS125" s="41"/>
      <c r="QZT125" s="49"/>
      <c r="QZU125" s="41"/>
      <c r="QZV125" s="41"/>
      <c r="QZX125" s="40"/>
      <c r="QZY125" s="47"/>
      <c r="QZZ125" s="48"/>
      <c r="RAA125" s="49"/>
      <c r="RAB125" s="50"/>
      <c r="RAC125" s="50"/>
      <c r="RAD125" s="41"/>
      <c r="RAE125" s="41"/>
      <c r="RAF125" s="49"/>
      <c r="RAG125" s="41"/>
      <c r="RAH125" s="41"/>
      <c r="RAJ125" s="40"/>
      <c r="RAK125" s="47"/>
      <c r="RAL125" s="48"/>
      <c r="RAM125" s="49"/>
      <c r="RAN125" s="50"/>
      <c r="RAO125" s="50"/>
      <c r="RAP125" s="41"/>
      <c r="RAQ125" s="41"/>
      <c r="RAR125" s="49"/>
      <c r="RAS125" s="41"/>
      <c r="RAT125" s="41"/>
      <c r="RAV125" s="40"/>
      <c r="RAW125" s="47"/>
      <c r="RAX125" s="48"/>
      <c r="RAY125" s="49"/>
      <c r="RAZ125" s="50"/>
      <c r="RBA125" s="50"/>
      <c r="RBB125" s="41"/>
      <c r="RBC125" s="41"/>
      <c r="RBD125" s="49"/>
      <c r="RBE125" s="41"/>
      <c r="RBF125" s="41"/>
      <c r="RBH125" s="40"/>
      <c r="RBI125" s="47"/>
      <c r="RBJ125" s="48"/>
      <c r="RBK125" s="49"/>
      <c r="RBL125" s="50"/>
      <c r="RBM125" s="50"/>
      <c r="RBN125" s="41"/>
      <c r="RBO125" s="41"/>
      <c r="RBP125" s="49"/>
      <c r="RBQ125" s="41"/>
      <c r="RBR125" s="41"/>
      <c r="RBT125" s="40"/>
      <c r="RBU125" s="47"/>
      <c r="RBV125" s="48"/>
      <c r="RBW125" s="49"/>
      <c r="RBX125" s="50"/>
      <c r="RBY125" s="50"/>
      <c r="RBZ125" s="41"/>
      <c r="RCA125" s="41"/>
      <c r="RCB125" s="49"/>
      <c r="RCC125" s="41"/>
      <c r="RCD125" s="41"/>
      <c r="RCF125" s="40"/>
      <c r="RCG125" s="47"/>
      <c r="RCH125" s="48"/>
      <c r="RCI125" s="49"/>
      <c r="RCJ125" s="50"/>
      <c r="RCK125" s="50"/>
      <c r="RCL125" s="41"/>
      <c r="RCM125" s="41"/>
      <c r="RCN125" s="49"/>
      <c r="RCO125" s="41"/>
      <c r="RCP125" s="41"/>
      <c r="RCR125" s="40"/>
      <c r="RCS125" s="47"/>
      <c r="RCT125" s="48"/>
      <c r="RCU125" s="49"/>
      <c r="RCV125" s="50"/>
      <c r="RCW125" s="50"/>
      <c r="RCX125" s="41"/>
      <c r="RCY125" s="41"/>
      <c r="RCZ125" s="49"/>
      <c r="RDA125" s="41"/>
      <c r="RDB125" s="41"/>
      <c r="RDD125" s="40"/>
      <c r="RDE125" s="47"/>
      <c r="RDF125" s="48"/>
      <c r="RDG125" s="49"/>
      <c r="RDH125" s="50"/>
      <c r="RDI125" s="50"/>
      <c r="RDJ125" s="41"/>
      <c r="RDK125" s="41"/>
      <c r="RDL125" s="49"/>
      <c r="RDM125" s="41"/>
      <c r="RDN125" s="41"/>
      <c r="RDP125" s="40"/>
      <c r="RDQ125" s="47"/>
      <c r="RDR125" s="48"/>
      <c r="RDS125" s="49"/>
      <c r="RDT125" s="50"/>
      <c r="RDU125" s="50"/>
      <c r="RDV125" s="41"/>
      <c r="RDW125" s="41"/>
      <c r="RDX125" s="49"/>
      <c r="RDY125" s="41"/>
      <c r="RDZ125" s="41"/>
      <c r="REB125" s="40"/>
      <c r="REC125" s="47"/>
      <c r="RED125" s="48"/>
      <c r="REE125" s="49"/>
      <c r="REF125" s="50"/>
      <c r="REG125" s="50"/>
      <c r="REH125" s="41"/>
      <c r="REI125" s="41"/>
      <c r="REJ125" s="49"/>
      <c r="REK125" s="41"/>
      <c r="REL125" s="41"/>
      <c r="REN125" s="40"/>
      <c r="REO125" s="47"/>
      <c r="REP125" s="48"/>
      <c r="REQ125" s="49"/>
      <c r="RER125" s="50"/>
      <c r="RES125" s="50"/>
      <c r="RET125" s="41"/>
      <c r="REU125" s="41"/>
      <c r="REV125" s="49"/>
      <c r="REW125" s="41"/>
      <c r="REX125" s="41"/>
      <c r="REZ125" s="40"/>
      <c r="RFA125" s="47"/>
      <c r="RFB125" s="48"/>
      <c r="RFC125" s="49"/>
      <c r="RFD125" s="50"/>
      <c r="RFE125" s="50"/>
      <c r="RFF125" s="41"/>
      <c r="RFG125" s="41"/>
      <c r="RFH125" s="49"/>
      <c r="RFI125" s="41"/>
      <c r="RFJ125" s="41"/>
      <c r="RFL125" s="40"/>
      <c r="RFM125" s="47"/>
      <c r="RFN125" s="48"/>
      <c r="RFO125" s="49"/>
      <c r="RFP125" s="50"/>
      <c r="RFQ125" s="50"/>
      <c r="RFR125" s="41"/>
      <c r="RFS125" s="41"/>
      <c r="RFT125" s="49"/>
      <c r="RFU125" s="41"/>
      <c r="RFV125" s="41"/>
      <c r="RFX125" s="40"/>
      <c r="RFY125" s="47"/>
      <c r="RFZ125" s="48"/>
      <c r="RGA125" s="49"/>
      <c r="RGB125" s="50"/>
      <c r="RGC125" s="50"/>
      <c r="RGD125" s="41"/>
      <c r="RGE125" s="41"/>
      <c r="RGF125" s="49"/>
      <c r="RGG125" s="41"/>
      <c r="RGH125" s="41"/>
      <c r="RGJ125" s="40"/>
      <c r="RGK125" s="47"/>
      <c r="RGL125" s="48"/>
      <c r="RGM125" s="49"/>
      <c r="RGN125" s="50"/>
      <c r="RGO125" s="50"/>
      <c r="RGP125" s="41"/>
      <c r="RGQ125" s="41"/>
      <c r="RGR125" s="49"/>
      <c r="RGS125" s="41"/>
      <c r="RGT125" s="41"/>
      <c r="RGV125" s="40"/>
      <c r="RGW125" s="47"/>
      <c r="RGX125" s="48"/>
      <c r="RGY125" s="49"/>
      <c r="RGZ125" s="50"/>
      <c r="RHA125" s="50"/>
      <c r="RHB125" s="41"/>
      <c r="RHC125" s="41"/>
      <c r="RHD125" s="49"/>
      <c r="RHE125" s="41"/>
      <c r="RHF125" s="41"/>
      <c r="RHH125" s="40"/>
      <c r="RHI125" s="47"/>
      <c r="RHJ125" s="48"/>
      <c r="RHK125" s="49"/>
      <c r="RHL125" s="50"/>
      <c r="RHM125" s="50"/>
      <c r="RHN125" s="41"/>
      <c r="RHO125" s="41"/>
      <c r="RHP125" s="49"/>
      <c r="RHQ125" s="41"/>
      <c r="RHR125" s="41"/>
      <c r="RHT125" s="40"/>
      <c r="RHU125" s="47"/>
      <c r="RHV125" s="48"/>
      <c r="RHW125" s="49"/>
      <c r="RHX125" s="50"/>
      <c r="RHY125" s="50"/>
      <c r="RHZ125" s="41"/>
      <c r="RIA125" s="41"/>
      <c r="RIB125" s="49"/>
      <c r="RIC125" s="41"/>
      <c r="RID125" s="41"/>
      <c r="RIF125" s="40"/>
      <c r="RIG125" s="47"/>
      <c r="RIH125" s="48"/>
      <c r="RII125" s="49"/>
      <c r="RIJ125" s="50"/>
      <c r="RIK125" s="50"/>
      <c r="RIL125" s="41"/>
      <c r="RIM125" s="41"/>
      <c r="RIN125" s="49"/>
      <c r="RIO125" s="41"/>
      <c r="RIP125" s="41"/>
      <c r="RIR125" s="40"/>
      <c r="RIS125" s="47"/>
      <c r="RIT125" s="48"/>
      <c r="RIU125" s="49"/>
      <c r="RIV125" s="50"/>
      <c r="RIW125" s="50"/>
      <c r="RIX125" s="41"/>
      <c r="RIY125" s="41"/>
      <c r="RIZ125" s="49"/>
      <c r="RJA125" s="41"/>
      <c r="RJB125" s="41"/>
      <c r="RJD125" s="40"/>
      <c r="RJE125" s="47"/>
      <c r="RJF125" s="48"/>
      <c r="RJG125" s="49"/>
      <c r="RJH125" s="50"/>
      <c r="RJI125" s="50"/>
      <c r="RJJ125" s="41"/>
      <c r="RJK125" s="41"/>
      <c r="RJL125" s="49"/>
      <c r="RJM125" s="41"/>
      <c r="RJN125" s="41"/>
      <c r="RJP125" s="40"/>
      <c r="RJQ125" s="47"/>
      <c r="RJR125" s="48"/>
      <c r="RJS125" s="49"/>
      <c r="RJT125" s="50"/>
      <c r="RJU125" s="50"/>
      <c r="RJV125" s="41"/>
      <c r="RJW125" s="41"/>
      <c r="RJX125" s="49"/>
      <c r="RJY125" s="41"/>
      <c r="RJZ125" s="41"/>
      <c r="RKB125" s="40"/>
      <c r="RKC125" s="47"/>
      <c r="RKD125" s="48"/>
      <c r="RKE125" s="49"/>
      <c r="RKF125" s="50"/>
      <c r="RKG125" s="50"/>
      <c r="RKH125" s="41"/>
      <c r="RKI125" s="41"/>
      <c r="RKJ125" s="49"/>
      <c r="RKK125" s="41"/>
      <c r="RKL125" s="41"/>
      <c r="RKN125" s="40"/>
      <c r="RKO125" s="47"/>
      <c r="RKP125" s="48"/>
      <c r="RKQ125" s="49"/>
      <c r="RKR125" s="50"/>
      <c r="RKS125" s="50"/>
      <c r="RKT125" s="41"/>
      <c r="RKU125" s="41"/>
      <c r="RKV125" s="49"/>
      <c r="RKW125" s="41"/>
      <c r="RKX125" s="41"/>
      <c r="RKZ125" s="40"/>
      <c r="RLA125" s="47"/>
      <c r="RLB125" s="48"/>
      <c r="RLC125" s="49"/>
      <c r="RLD125" s="50"/>
      <c r="RLE125" s="50"/>
      <c r="RLF125" s="41"/>
      <c r="RLG125" s="41"/>
      <c r="RLH125" s="49"/>
      <c r="RLI125" s="41"/>
      <c r="RLJ125" s="41"/>
      <c r="RLL125" s="40"/>
      <c r="RLM125" s="47"/>
      <c r="RLN125" s="48"/>
      <c r="RLO125" s="49"/>
      <c r="RLP125" s="50"/>
      <c r="RLQ125" s="50"/>
      <c r="RLR125" s="41"/>
      <c r="RLS125" s="41"/>
      <c r="RLT125" s="49"/>
      <c r="RLU125" s="41"/>
      <c r="RLV125" s="41"/>
      <c r="RLX125" s="40"/>
      <c r="RLY125" s="47"/>
      <c r="RLZ125" s="48"/>
      <c r="RMA125" s="49"/>
      <c r="RMB125" s="50"/>
      <c r="RMC125" s="50"/>
      <c r="RMD125" s="41"/>
      <c r="RME125" s="41"/>
      <c r="RMF125" s="49"/>
      <c r="RMG125" s="41"/>
      <c r="RMH125" s="41"/>
      <c r="RMJ125" s="40"/>
      <c r="RMK125" s="47"/>
      <c r="RML125" s="48"/>
      <c r="RMM125" s="49"/>
      <c r="RMN125" s="50"/>
      <c r="RMO125" s="50"/>
      <c r="RMP125" s="41"/>
      <c r="RMQ125" s="41"/>
      <c r="RMR125" s="49"/>
      <c r="RMS125" s="41"/>
      <c r="RMT125" s="41"/>
      <c r="RMV125" s="40"/>
      <c r="RMW125" s="47"/>
      <c r="RMX125" s="48"/>
      <c r="RMY125" s="49"/>
      <c r="RMZ125" s="50"/>
      <c r="RNA125" s="50"/>
      <c r="RNB125" s="41"/>
      <c r="RNC125" s="41"/>
      <c r="RND125" s="49"/>
      <c r="RNE125" s="41"/>
      <c r="RNF125" s="41"/>
      <c r="RNH125" s="40"/>
      <c r="RNI125" s="47"/>
      <c r="RNJ125" s="48"/>
      <c r="RNK125" s="49"/>
      <c r="RNL125" s="50"/>
      <c r="RNM125" s="50"/>
      <c r="RNN125" s="41"/>
      <c r="RNO125" s="41"/>
      <c r="RNP125" s="49"/>
      <c r="RNQ125" s="41"/>
      <c r="RNR125" s="41"/>
      <c r="RNT125" s="40"/>
      <c r="RNU125" s="47"/>
      <c r="RNV125" s="48"/>
      <c r="RNW125" s="49"/>
      <c r="RNX125" s="50"/>
      <c r="RNY125" s="50"/>
      <c r="RNZ125" s="41"/>
      <c r="ROA125" s="41"/>
      <c r="ROB125" s="49"/>
      <c r="ROC125" s="41"/>
      <c r="ROD125" s="41"/>
      <c r="ROF125" s="40"/>
      <c r="ROG125" s="47"/>
      <c r="ROH125" s="48"/>
      <c r="ROI125" s="49"/>
      <c r="ROJ125" s="50"/>
      <c r="ROK125" s="50"/>
      <c r="ROL125" s="41"/>
      <c r="ROM125" s="41"/>
      <c r="RON125" s="49"/>
      <c r="ROO125" s="41"/>
      <c r="ROP125" s="41"/>
      <c r="ROR125" s="40"/>
      <c r="ROS125" s="47"/>
      <c r="ROT125" s="48"/>
      <c r="ROU125" s="49"/>
      <c r="ROV125" s="50"/>
      <c r="ROW125" s="50"/>
      <c r="ROX125" s="41"/>
      <c r="ROY125" s="41"/>
      <c r="ROZ125" s="49"/>
      <c r="RPA125" s="41"/>
      <c r="RPB125" s="41"/>
      <c r="RPD125" s="40"/>
      <c r="RPE125" s="47"/>
      <c r="RPF125" s="48"/>
      <c r="RPG125" s="49"/>
      <c r="RPH125" s="50"/>
      <c r="RPI125" s="50"/>
      <c r="RPJ125" s="41"/>
      <c r="RPK125" s="41"/>
      <c r="RPL125" s="49"/>
      <c r="RPM125" s="41"/>
      <c r="RPN125" s="41"/>
      <c r="RPP125" s="40"/>
      <c r="RPQ125" s="47"/>
      <c r="RPR125" s="48"/>
      <c r="RPS125" s="49"/>
      <c r="RPT125" s="50"/>
      <c r="RPU125" s="50"/>
      <c r="RPV125" s="41"/>
      <c r="RPW125" s="41"/>
      <c r="RPX125" s="49"/>
      <c r="RPY125" s="41"/>
      <c r="RPZ125" s="41"/>
      <c r="RQB125" s="40"/>
      <c r="RQC125" s="47"/>
      <c r="RQD125" s="48"/>
      <c r="RQE125" s="49"/>
      <c r="RQF125" s="50"/>
      <c r="RQG125" s="50"/>
      <c r="RQH125" s="41"/>
      <c r="RQI125" s="41"/>
      <c r="RQJ125" s="49"/>
      <c r="RQK125" s="41"/>
      <c r="RQL125" s="41"/>
      <c r="RQN125" s="40"/>
      <c r="RQO125" s="47"/>
      <c r="RQP125" s="48"/>
      <c r="RQQ125" s="49"/>
      <c r="RQR125" s="50"/>
      <c r="RQS125" s="50"/>
      <c r="RQT125" s="41"/>
      <c r="RQU125" s="41"/>
      <c r="RQV125" s="49"/>
      <c r="RQW125" s="41"/>
      <c r="RQX125" s="41"/>
      <c r="RQZ125" s="40"/>
      <c r="RRA125" s="47"/>
      <c r="RRB125" s="48"/>
      <c r="RRC125" s="49"/>
      <c r="RRD125" s="50"/>
      <c r="RRE125" s="50"/>
      <c r="RRF125" s="41"/>
      <c r="RRG125" s="41"/>
      <c r="RRH125" s="49"/>
      <c r="RRI125" s="41"/>
      <c r="RRJ125" s="41"/>
      <c r="RRL125" s="40"/>
      <c r="RRM125" s="47"/>
      <c r="RRN125" s="48"/>
      <c r="RRO125" s="49"/>
      <c r="RRP125" s="50"/>
      <c r="RRQ125" s="50"/>
      <c r="RRR125" s="41"/>
      <c r="RRS125" s="41"/>
      <c r="RRT125" s="49"/>
      <c r="RRU125" s="41"/>
      <c r="RRV125" s="41"/>
      <c r="RRX125" s="40"/>
      <c r="RRY125" s="47"/>
      <c r="RRZ125" s="48"/>
      <c r="RSA125" s="49"/>
      <c r="RSB125" s="50"/>
      <c r="RSC125" s="50"/>
      <c r="RSD125" s="41"/>
      <c r="RSE125" s="41"/>
      <c r="RSF125" s="49"/>
      <c r="RSG125" s="41"/>
      <c r="RSH125" s="41"/>
      <c r="RSJ125" s="40"/>
      <c r="RSK125" s="47"/>
      <c r="RSL125" s="48"/>
      <c r="RSM125" s="49"/>
      <c r="RSN125" s="50"/>
      <c r="RSO125" s="50"/>
      <c r="RSP125" s="41"/>
      <c r="RSQ125" s="41"/>
      <c r="RSR125" s="49"/>
      <c r="RSS125" s="41"/>
      <c r="RST125" s="41"/>
      <c r="RSV125" s="40"/>
      <c r="RSW125" s="47"/>
      <c r="RSX125" s="48"/>
      <c r="RSY125" s="49"/>
      <c r="RSZ125" s="50"/>
      <c r="RTA125" s="50"/>
      <c r="RTB125" s="41"/>
      <c r="RTC125" s="41"/>
      <c r="RTD125" s="49"/>
      <c r="RTE125" s="41"/>
      <c r="RTF125" s="41"/>
      <c r="RTH125" s="40"/>
      <c r="RTI125" s="47"/>
      <c r="RTJ125" s="48"/>
      <c r="RTK125" s="49"/>
      <c r="RTL125" s="50"/>
      <c r="RTM125" s="50"/>
      <c r="RTN125" s="41"/>
      <c r="RTO125" s="41"/>
      <c r="RTP125" s="49"/>
      <c r="RTQ125" s="41"/>
      <c r="RTR125" s="41"/>
      <c r="RTT125" s="40"/>
      <c r="RTU125" s="47"/>
      <c r="RTV125" s="48"/>
      <c r="RTW125" s="49"/>
      <c r="RTX125" s="50"/>
      <c r="RTY125" s="50"/>
      <c r="RTZ125" s="41"/>
      <c r="RUA125" s="41"/>
      <c r="RUB125" s="49"/>
      <c r="RUC125" s="41"/>
      <c r="RUD125" s="41"/>
      <c r="RUF125" s="40"/>
      <c r="RUG125" s="47"/>
      <c r="RUH125" s="48"/>
      <c r="RUI125" s="49"/>
      <c r="RUJ125" s="50"/>
      <c r="RUK125" s="50"/>
      <c r="RUL125" s="41"/>
      <c r="RUM125" s="41"/>
      <c r="RUN125" s="49"/>
      <c r="RUO125" s="41"/>
      <c r="RUP125" s="41"/>
      <c r="RUR125" s="40"/>
      <c r="RUS125" s="47"/>
      <c r="RUT125" s="48"/>
      <c r="RUU125" s="49"/>
      <c r="RUV125" s="50"/>
      <c r="RUW125" s="50"/>
      <c r="RUX125" s="41"/>
      <c r="RUY125" s="41"/>
      <c r="RUZ125" s="49"/>
      <c r="RVA125" s="41"/>
      <c r="RVB125" s="41"/>
      <c r="RVD125" s="40"/>
      <c r="RVE125" s="47"/>
      <c r="RVF125" s="48"/>
      <c r="RVG125" s="49"/>
      <c r="RVH125" s="50"/>
      <c r="RVI125" s="50"/>
      <c r="RVJ125" s="41"/>
      <c r="RVK125" s="41"/>
      <c r="RVL125" s="49"/>
      <c r="RVM125" s="41"/>
      <c r="RVN125" s="41"/>
      <c r="RVP125" s="40"/>
      <c r="RVQ125" s="47"/>
      <c r="RVR125" s="48"/>
      <c r="RVS125" s="49"/>
      <c r="RVT125" s="50"/>
      <c r="RVU125" s="50"/>
      <c r="RVV125" s="41"/>
      <c r="RVW125" s="41"/>
      <c r="RVX125" s="49"/>
      <c r="RVY125" s="41"/>
      <c r="RVZ125" s="41"/>
      <c r="RWB125" s="40"/>
      <c r="RWC125" s="47"/>
      <c r="RWD125" s="48"/>
      <c r="RWE125" s="49"/>
      <c r="RWF125" s="50"/>
      <c r="RWG125" s="50"/>
      <c r="RWH125" s="41"/>
      <c r="RWI125" s="41"/>
      <c r="RWJ125" s="49"/>
      <c r="RWK125" s="41"/>
      <c r="RWL125" s="41"/>
      <c r="RWN125" s="40"/>
      <c r="RWO125" s="47"/>
      <c r="RWP125" s="48"/>
      <c r="RWQ125" s="49"/>
      <c r="RWR125" s="50"/>
      <c r="RWS125" s="50"/>
      <c r="RWT125" s="41"/>
      <c r="RWU125" s="41"/>
      <c r="RWV125" s="49"/>
      <c r="RWW125" s="41"/>
      <c r="RWX125" s="41"/>
      <c r="RWZ125" s="40"/>
      <c r="RXA125" s="47"/>
      <c r="RXB125" s="48"/>
      <c r="RXC125" s="49"/>
      <c r="RXD125" s="50"/>
      <c r="RXE125" s="50"/>
      <c r="RXF125" s="41"/>
      <c r="RXG125" s="41"/>
      <c r="RXH125" s="49"/>
      <c r="RXI125" s="41"/>
      <c r="RXJ125" s="41"/>
      <c r="RXL125" s="40"/>
      <c r="RXM125" s="47"/>
      <c r="RXN125" s="48"/>
      <c r="RXO125" s="49"/>
      <c r="RXP125" s="50"/>
      <c r="RXQ125" s="50"/>
      <c r="RXR125" s="41"/>
      <c r="RXS125" s="41"/>
      <c r="RXT125" s="49"/>
      <c r="RXU125" s="41"/>
      <c r="RXV125" s="41"/>
      <c r="RXX125" s="40"/>
      <c r="RXY125" s="47"/>
      <c r="RXZ125" s="48"/>
      <c r="RYA125" s="49"/>
      <c r="RYB125" s="50"/>
      <c r="RYC125" s="50"/>
      <c r="RYD125" s="41"/>
      <c r="RYE125" s="41"/>
      <c r="RYF125" s="49"/>
      <c r="RYG125" s="41"/>
      <c r="RYH125" s="41"/>
      <c r="RYJ125" s="40"/>
      <c r="RYK125" s="47"/>
      <c r="RYL125" s="48"/>
      <c r="RYM125" s="49"/>
      <c r="RYN125" s="50"/>
      <c r="RYO125" s="50"/>
      <c r="RYP125" s="41"/>
      <c r="RYQ125" s="41"/>
      <c r="RYR125" s="49"/>
      <c r="RYS125" s="41"/>
      <c r="RYT125" s="41"/>
      <c r="RYV125" s="40"/>
      <c r="RYW125" s="47"/>
      <c r="RYX125" s="48"/>
      <c r="RYY125" s="49"/>
      <c r="RYZ125" s="50"/>
      <c r="RZA125" s="50"/>
      <c r="RZB125" s="41"/>
      <c r="RZC125" s="41"/>
      <c r="RZD125" s="49"/>
      <c r="RZE125" s="41"/>
      <c r="RZF125" s="41"/>
      <c r="RZH125" s="40"/>
      <c r="RZI125" s="47"/>
      <c r="RZJ125" s="48"/>
      <c r="RZK125" s="49"/>
      <c r="RZL125" s="50"/>
      <c r="RZM125" s="50"/>
      <c r="RZN125" s="41"/>
      <c r="RZO125" s="41"/>
      <c r="RZP125" s="49"/>
      <c r="RZQ125" s="41"/>
      <c r="RZR125" s="41"/>
      <c r="RZT125" s="40"/>
      <c r="RZU125" s="47"/>
      <c r="RZV125" s="48"/>
      <c r="RZW125" s="49"/>
      <c r="RZX125" s="50"/>
      <c r="RZY125" s="50"/>
      <c r="RZZ125" s="41"/>
      <c r="SAA125" s="41"/>
      <c r="SAB125" s="49"/>
      <c r="SAC125" s="41"/>
      <c r="SAD125" s="41"/>
      <c r="SAF125" s="40"/>
      <c r="SAG125" s="47"/>
      <c r="SAH125" s="48"/>
      <c r="SAI125" s="49"/>
      <c r="SAJ125" s="50"/>
      <c r="SAK125" s="50"/>
      <c r="SAL125" s="41"/>
      <c r="SAM125" s="41"/>
      <c r="SAN125" s="49"/>
      <c r="SAO125" s="41"/>
      <c r="SAP125" s="41"/>
      <c r="SAR125" s="40"/>
      <c r="SAS125" s="47"/>
      <c r="SAT125" s="48"/>
      <c r="SAU125" s="49"/>
      <c r="SAV125" s="50"/>
      <c r="SAW125" s="50"/>
      <c r="SAX125" s="41"/>
      <c r="SAY125" s="41"/>
      <c r="SAZ125" s="49"/>
      <c r="SBA125" s="41"/>
      <c r="SBB125" s="41"/>
      <c r="SBD125" s="40"/>
      <c r="SBE125" s="47"/>
      <c r="SBF125" s="48"/>
      <c r="SBG125" s="49"/>
      <c r="SBH125" s="50"/>
      <c r="SBI125" s="50"/>
      <c r="SBJ125" s="41"/>
      <c r="SBK125" s="41"/>
      <c r="SBL125" s="49"/>
      <c r="SBM125" s="41"/>
      <c r="SBN125" s="41"/>
      <c r="SBP125" s="40"/>
      <c r="SBQ125" s="47"/>
      <c r="SBR125" s="48"/>
      <c r="SBS125" s="49"/>
      <c r="SBT125" s="50"/>
      <c r="SBU125" s="50"/>
      <c r="SBV125" s="41"/>
      <c r="SBW125" s="41"/>
      <c r="SBX125" s="49"/>
      <c r="SBY125" s="41"/>
      <c r="SBZ125" s="41"/>
      <c r="SCB125" s="40"/>
      <c r="SCC125" s="47"/>
      <c r="SCD125" s="48"/>
      <c r="SCE125" s="49"/>
      <c r="SCF125" s="50"/>
      <c r="SCG125" s="50"/>
      <c r="SCH125" s="41"/>
      <c r="SCI125" s="41"/>
      <c r="SCJ125" s="49"/>
      <c r="SCK125" s="41"/>
      <c r="SCL125" s="41"/>
      <c r="SCN125" s="40"/>
      <c r="SCO125" s="47"/>
      <c r="SCP125" s="48"/>
      <c r="SCQ125" s="49"/>
      <c r="SCR125" s="50"/>
      <c r="SCS125" s="50"/>
      <c r="SCT125" s="41"/>
      <c r="SCU125" s="41"/>
      <c r="SCV125" s="49"/>
      <c r="SCW125" s="41"/>
      <c r="SCX125" s="41"/>
      <c r="SCZ125" s="40"/>
      <c r="SDA125" s="47"/>
      <c r="SDB125" s="48"/>
      <c r="SDC125" s="49"/>
      <c r="SDD125" s="50"/>
      <c r="SDE125" s="50"/>
      <c r="SDF125" s="41"/>
      <c r="SDG125" s="41"/>
      <c r="SDH125" s="49"/>
      <c r="SDI125" s="41"/>
      <c r="SDJ125" s="41"/>
      <c r="SDL125" s="40"/>
      <c r="SDM125" s="47"/>
      <c r="SDN125" s="48"/>
      <c r="SDO125" s="49"/>
      <c r="SDP125" s="50"/>
      <c r="SDQ125" s="50"/>
      <c r="SDR125" s="41"/>
      <c r="SDS125" s="41"/>
      <c r="SDT125" s="49"/>
      <c r="SDU125" s="41"/>
      <c r="SDV125" s="41"/>
      <c r="SDX125" s="40"/>
      <c r="SDY125" s="47"/>
      <c r="SDZ125" s="48"/>
      <c r="SEA125" s="49"/>
      <c r="SEB125" s="50"/>
      <c r="SEC125" s="50"/>
      <c r="SED125" s="41"/>
      <c r="SEE125" s="41"/>
      <c r="SEF125" s="49"/>
      <c r="SEG125" s="41"/>
      <c r="SEH125" s="41"/>
      <c r="SEJ125" s="40"/>
      <c r="SEK125" s="47"/>
      <c r="SEL125" s="48"/>
      <c r="SEM125" s="49"/>
      <c r="SEN125" s="50"/>
      <c r="SEO125" s="50"/>
      <c r="SEP125" s="41"/>
      <c r="SEQ125" s="41"/>
      <c r="SER125" s="49"/>
      <c r="SES125" s="41"/>
      <c r="SET125" s="41"/>
      <c r="SEV125" s="40"/>
      <c r="SEW125" s="47"/>
      <c r="SEX125" s="48"/>
      <c r="SEY125" s="49"/>
      <c r="SEZ125" s="50"/>
      <c r="SFA125" s="50"/>
      <c r="SFB125" s="41"/>
      <c r="SFC125" s="41"/>
      <c r="SFD125" s="49"/>
      <c r="SFE125" s="41"/>
      <c r="SFF125" s="41"/>
      <c r="SFH125" s="40"/>
      <c r="SFI125" s="47"/>
      <c r="SFJ125" s="48"/>
      <c r="SFK125" s="49"/>
      <c r="SFL125" s="50"/>
      <c r="SFM125" s="50"/>
      <c r="SFN125" s="41"/>
      <c r="SFO125" s="41"/>
      <c r="SFP125" s="49"/>
      <c r="SFQ125" s="41"/>
      <c r="SFR125" s="41"/>
      <c r="SFT125" s="40"/>
      <c r="SFU125" s="47"/>
      <c r="SFV125" s="48"/>
      <c r="SFW125" s="49"/>
      <c r="SFX125" s="50"/>
      <c r="SFY125" s="50"/>
      <c r="SFZ125" s="41"/>
      <c r="SGA125" s="41"/>
      <c r="SGB125" s="49"/>
      <c r="SGC125" s="41"/>
      <c r="SGD125" s="41"/>
      <c r="SGF125" s="40"/>
      <c r="SGG125" s="47"/>
      <c r="SGH125" s="48"/>
      <c r="SGI125" s="49"/>
      <c r="SGJ125" s="50"/>
      <c r="SGK125" s="50"/>
      <c r="SGL125" s="41"/>
      <c r="SGM125" s="41"/>
      <c r="SGN125" s="49"/>
      <c r="SGO125" s="41"/>
      <c r="SGP125" s="41"/>
      <c r="SGR125" s="40"/>
      <c r="SGS125" s="47"/>
      <c r="SGT125" s="48"/>
      <c r="SGU125" s="49"/>
      <c r="SGV125" s="50"/>
      <c r="SGW125" s="50"/>
      <c r="SGX125" s="41"/>
      <c r="SGY125" s="41"/>
      <c r="SGZ125" s="49"/>
      <c r="SHA125" s="41"/>
      <c r="SHB125" s="41"/>
      <c r="SHD125" s="40"/>
      <c r="SHE125" s="47"/>
      <c r="SHF125" s="48"/>
      <c r="SHG125" s="49"/>
      <c r="SHH125" s="50"/>
      <c r="SHI125" s="50"/>
      <c r="SHJ125" s="41"/>
      <c r="SHK125" s="41"/>
      <c r="SHL125" s="49"/>
      <c r="SHM125" s="41"/>
      <c r="SHN125" s="41"/>
      <c r="SHP125" s="40"/>
      <c r="SHQ125" s="47"/>
      <c r="SHR125" s="48"/>
      <c r="SHS125" s="49"/>
      <c r="SHT125" s="50"/>
      <c r="SHU125" s="50"/>
      <c r="SHV125" s="41"/>
      <c r="SHW125" s="41"/>
      <c r="SHX125" s="49"/>
      <c r="SHY125" s="41"/>
      <c r="SHZ125" s="41"/>
      <c r="SIB125" s="40"/>
      <c r="SIC125" s="47"/>
      <c r="SID125" s="48"/>
      <c r="SIE125" s="49"/>
      <c r="SIF125" s="50"/>
      <c r="SIG125" s="50"/>
      <c r="SIH125" s="41"/>
      <c r="SII125" s="41"/>
      <c r="SIJ125" s="49"/>
      <c r="SIK125" s="41"/>
      <c r="SIL125" s="41"/>
      <c r="SIN125" s="40"/>
      <c r="SIO125" s="47"/>
      <c r="SIP125" s="48"/>
      <c r="SIQ125" s="49"/>
      <c r="SIR125" s="50"/>
      <c r="SIS125" s="50"/>
      <c r="SIT125" s="41"/>
      <c r="SIU125" s="41"/>
      <c r="SIV125" s="49"/>
      <c r="SIW125" s="41"/>
      <c r="SIX125" s="41"/>
      <c r="SIZ125" s="40"/>
      <c r="SJA125" s="47"/>
      <c r="SJB125" s="48"/>
      <c r="SJC125" s="49"/>
      <c r="SJD125" s="50"/>
      <c r="SJE125" s="50"/>
      <c r="SJF125" s="41"/>
      <c r="SJG125" s="41"/>
      <c r="SJH125" s="49"/>
      <c r="SJI125" s="41"/>
      <c r="SJJ125" s="41"/>
      <c r="SJL125" s="40"/>
      <c r="SJM125" s="47"/>
      <c r="SJN125" s="48"/>
      <c r="SJO125" s="49"/>
      <c r="SJP125" s="50"/>
      <c r="SJQ125" s="50"/>
      <c r="SJR125" s="41"/>
      <c r="SJS125" s="41"/>
      <c r="SJT125" s="49"/>
      <c r="SJU125" s="41"/>
      <c r="SJV125" s="41"/>
      <c r="SJX125" s="40"/>
      <c r="SJY125" s="47"/>
      <c r="SJZ125" s="48"/>
      <c r="SKA125" s="49"/>
      <c r="SKB125" s="50"/>
      <c r="SKC125" s="50"/>
      <c r="SKD125" s="41"/>
      <c r="SKE125" s="41"/>
      <c r="SKF125" s="49"/>
      <c r="SKG125" s="41"/>
      <c r="SKH125" s="41"/>
      <c r="SKJ125" s="40"/>
      <c r="SKK125" s="47"/>
      <c r="SKL125" s="48"/>
      <c r="SKM125" s="49"/>
      <c r="SKN125" s="50"/>
      <c r="SKO125" s="50"/>
      <c r="SKP125" s="41"/>
      <c r="SKQ125" s="41"/>
      <c r="SKR125" s="49"/>
      <c r="SKS125" s="41"/>
      <c r="SKT125" s="41"/>
      <c r="SKV125" s="40"/>
      <c r="SKW125" s="47"/>
      <c r="SKX125" s="48"/>
      <c r="SKY125" s="49"/>
      <c r="SKZ125" s="50"/>
      <c r="SLA125" s="50"/>
      <c r="SLB125" s="41"/>
      <c r="SLC125" s="41"/>
      <c r="SLD125" s="49"/>
      <c r="SLE125" s="41"/>
      <c r="SLF125" s="41"/>
      <c r="SLH125" s="40"/>
      <c r="SLI125" s="47"/>
      <c r="SLJ125" s="48"/>
      <c r="SLK125" s="49"/>
      <c r="SLL125" s="50"/>
      <c r="SLM125" s="50"/>
      <c r="SLN125" s="41"/>
      <c r="SLO125" s="41"/>
      <c r="SLP125" s="49"/>
      <c r="SLQ125" s="41"/>
      <c r="SLR125" s="41"/>
      <c r="SLT125" s="40"/>
      <c r="SLU125" s="47"/>
      <c r="SLV125" s="48"/>
      <c r="SLW125" s="49"/>
      <c r="SLX125" s="50"/>
      <c r="SLY125" s="50"/>
      <c r="SLZ125" s="41"/>
      <c r="SMA125" s="41"/>
      <c r="SMB125" s="49"/>
      <c r="SMC125" s="41"/>
      <c r="SMD125" s="41"/>
      <c r="SMF125" s="40"/>
      <c r="SMG125" s="47"/>
      <c r="SMH125" s="48"/>
      <c r="SMI125" s="49"/>
      <c r="SMJ125" s="50"/>
      <c r="SMK125" s="50"/>
      <c r="SML125" s="41"/>
      <c r="SMM125" s="41"/>
      <c r="SMN125" s="49"/>
      <c r="SMO125" s="41"/>
      <c r="SMP125" s="41"/>
      <c r="SMR125" s="40"/>
      <c r="SMS125" s="47"/>
      <c r="SMT125" s="48"/>
      <c r="SMU125" s="49"/>
      <c r="SMV125" s="50"/>
      <c r="SMW125" s="50"/>
      <c r="SMX125" s="41"/>
      <c r="SMY125" s="41"/>
      <c r="SMZ125" s="49"/>
      <c r="SNA125" s="41"/>
      <c r="SNB125" s="41"/>
      <c r="SND125" s="40"/>
      <c r="SNE125" s="47"/>
      <c r="SNF125" s="48"/>
      <c r="SNG125" s="49"/>
      <c r="SNH125" s="50"/>
      <c r="SNI125" s="50"/>
      <c r="SNJ125" s="41"/>
      <c r="SNK125" s="41"/>
      <c r="SNL125" s="49"/>
      <c r="SNM125" s="41"/>
      <c r="SNN125" s="41"/>
      <c r="SNP125" s="40"/>
      <c r="SNQ125" s="47"/>
      <c r="SNR125" s="48"/>
      <c r="SNS125" s="49"/>
      <c r="SNT125" s="50"/>
      <c r="SNU125" s="50"/>
      <c r="SNV125" s="41"/>
      <c r="SNW125" s="41"/>
      <c r="SNX125" s="49"/>
      <c r="SNY125" s="41"/>
      <c r="SNZ125" s="41"/>
      <c r="SOB125" s="40"/>
      <c r="SOC125" s="47"/>
      <c r="SOD125" s="48"/>
      <c r="SOE125" s="49"/>
      <c r="SOF125" s="50"/>
      <c r="SOG125" s="50"/>
      <c r="SOH125" s="41"/>
      <c r="SOI125" s="41"/>
      <c r="SOJ125" s="49"/>
      <c r="SOK125" s="41"/>
      <c r="SOL125" s="41"/>
      <c r="SON125" s="40"/>
      <c r="SOO125" s="47"/>
      <c r="SOP125" s="48"/>
      <c r="SOQ125" s="49"/>
      <c r="SOR125" s="50"/>
      <c r="SOS125" s="50"/>
      <c r="SOT125" s="41"/>
      <c r="SOU125" s="41"/>
      <c r="SOV125" s="49"/>
      <c r="SOW125" s="41"/>
      <c r="SOX125" s="41"/>
      <c r="SOZ125" s="40"/>
      <c r="SPA125" s="47"/>
      <c r="SPB125" s="48"/>
      <c r="SPC125" s="49"/>
      <c r="SPD125" s="50"/>
      <c r="SPE125" s="50"/>
      <c r="SPF125" s="41"/>
      <c r="SPG125" s="41"/>
      <c r="SPH125" s="49"/>
      <c r="SPI125" s="41"/>
      <c r="SPJ125" s="41"/>
      <c r="SPL125" s="40"/>
      <c r="SPM125" s="47"/>
      <c r="SPN125" s="48"/>
      <c r="SPO125" s="49"/>
      <c r="SPP125" s="50"/>
      <c r="SPQ125" s="50"/>
      <c r="SPR125" s="41"/>
      <c r="SPS125" s="41"/>
      <c r="SPT125" s="49"/>
      <c r="SPU125" s="41"/>
      <c r="SPV125" s="41"/>
      <c r="SPX125" s="40"/>
      <c r="SPY125" s="47"/>
      <c r="SPZ125" s="48"/>
      <c r="SQA125" s="49"/>
      <c r="SQB125" s="50"/>
      <c r="SQC125" s="50"/>
      <c r="SQD125" s="41"/>
      <c r="SQE125" s="41"/>
      <c r="SQF125" s="49"/>
      <c r="SQG125" s="41"/>
      <c r="SQH125" s="41"/>
      <c r="SQJ125" s="40"/>
      <c r="SQK125" s="47"/>
      <c r="SQL125" s="48"/>
      <c r="SQM125" s="49"/>
      <c r="SQN125" s="50"/>
      <c r="SQO125" s="50"/>
      <c r="SQP125" s="41"/>
      <c r="SQQ125" s="41"/>
      <c r="SQR125" s="49"/>
      <c r="SQS125" s="41"/>
      <c r="SQT125" s="41"/>
      <c r="SQV125" s="40"/>
      <c r="SQW125" s="47"/>
      <c r="SQX125" s="48"/>
      <c r="SQY125" s="49"/>
      <c r="SQZ125" s="50"/>
      <c r="SRA125" s="50"/>
      <c r="SRB125" s="41"/>
      <c r="SRC125" s="41"/>
      <c r="SRD125" s="49"/>
      <c r="SRE125" s="41"/>
      <c r="SRF125" s="41"/>
      <c r="SRH125" s="40"/>
      <c r="SRI125" s="47"/>
      <c r="SRJ125" s="48"/>
      <c r="SRK125" s="49"/>
      <c r="SRL125" s="50"/>
      <c r="SRM125" s="50"/>
      <c r="SRN125" s="41"/>
      <c r="SRO125" s="41"/>
      <c r="SRP125" s="49"/>
      <c r="SRQ125" s="41"/>
      <c r="SRR125" s="41"/>
      <c r="SRT125" s="40"/>
      <c r="SRU125" s="47"/>
      <c r="SRV125" s="48"/>
      <c r="SRW125" s="49"/>
      <c r="SRX125" s="50"/>
      <c r="SRY125" s="50"/>
      <c r="SRZ125" s="41"/>
      <c r="SSA125" s="41"/>
      <c r="SSB125" s="49"/>
      <c r="SSC125" s="41"/>
      <c r="SSD125" s="41"/>
      <c r="SSF125" s="40"/>
      <c r="SSG125" s="47"/>
      <c r="SSH125" s="48"/>
      <c r="SSI125" s="49"/>
      <c r="SSJ125" s="50"/>
      <c r="SSK125" s="50"/>
      <c r="SSL125" s="41"/>
      <c r="SSM125" s="41"/>
      <c r="SSN125" s="49"/>
      <c r="SSO125" s="41"/>
      <c r="SSP125" s="41"/>
      <c r="SSR125" s="40"/>
      <c r="SSS125" s="47"/>
      <c r="SST125" s="48"/>
      <c r="SSU125" s="49"/>
      <c r="SSV125" s="50"/>
      <c r="SSW125" s="50"/>
      <c r="SSX125" s="41"/>
      <c r="SSY125" s="41"/>
      <c r="SSZ125" s="49"/>
      <c r="STA125" s="41"/>
      <c r="STB125" s="41"/>
      <c r="STD125" s="40"/>
      <c r="STE125" s="47"/>
      <c r="STF125" s="48"/>
      <c r="STG125" s="49"/>
      <c r="STH125" s="50"/>
      <c r="STI125" s="50"/>
      <c r="STJ125" s="41"/>
      <c r="STK125" s="41"/>
      <c r="STL125" s="49"/>
      <c r="STM125" s="41"/>
      <c r="STN125" s="41"/>
      <c r="STP125" s="40"/>
      <c r="STQ125" s="47"/>
      <c r="STR125" s="48"/>
      <c r="STS125" s="49"/>
      <c r="STT125" s="50"/>
      <c r="STU125" s="50"/>
      <c r="STV125" s="41"/>
      <c r="STW125" s="41"/>
      <c r="STX125" s="49"/>
      <c r="STY125" s="41"/>
      <c r="STZ125" s="41"/>
      <c r="SUB125" s="40"/>
      <c r="SUC125" s="47"/>
      <c r="SUD125" s="48"/>
      <c r="SUE125" s="49"/>
      <c r="SUF125" s="50"/>
      <c r="SUG125" s="50"/>
      <c r="SUH125" s="41"/>
      <c r="SUI125" s="41"/>
      <c r="SUJ125" s="49"/>
      <c r="SUK125" s="41"/>
      <c r="SUL125" s="41"/>
      <c r="SUN125" s="40"/>
      <c r="SUO125" s="47"/>
      <c r="SUP125" s="48"/>
      <c r="SUQ125" s="49"/>
      <c r="SUR125" s="50"/>
      <c r="SUS125" s="50"/>
      <c r="SUT125" s="41"/>
      <c r="SUU125" s="41"/>
      <c r="SUV125" s="49"/>
      <c r="SUW125" s="41"/>
      <c r="SUX125" s="41"/>
      <c r="SUZ125" s="40"/>
      <c r="SVA125" s="47"/>
      <c r="SVB125" s="48"/>
      <c r="SVC125" s="49"/>
      <c r="SVD125" s="50"/>
      <c r="SVE125" s="50"/>
      <c r="SVF125" s="41"/>
      <c r="SVG125" s="41"/>
      <c r="SVH125" s="49"/>
      <c r="SVI125" s="41"/>
      <c r="SVJ125" s="41"/>
      <c r="SVL125" s="40"/>
      <c r="SVM125" s="47"/>
      <c r="SVN125" s="48"/>
      <c r="SVO125" s="49"/>
      <c r="SVP125" s="50"/>
      <c r="SVQ125" s="50"/>
      <c r="SVR125" s="41"/>
      <c r="SVS125" s="41"/>
      <c r="SVT125" s="49"/>
      <c r="SVU125" s="41"/>
      <c r="SVV125" s="41"/>
      <c r="SVX125" s="40"/>
      <c r="SVY125" s="47"/>
      <c r="SVZ125" s="48"/>
      <c r="SWA125" s="49"/>
      <c r="SWB125" s="50"/>
      <c r="SWC125" s="50"/>
      <c r="SWD125" s="41"/>
      <c r="SWE125" s="41"/>
      <c r="SWF125" s="49"/>
      <c r="SWG125" s="41"/>
      <c r="SWH125" s="41"/>
      <c r="SWJ125" s="40"/>
      <c r="SWK125" s="47"/>
      <c r="SWL125" s="48"/>
      <c r="SWM125" s="49"/>
      <c r="SWN125" s="50"/>
      <c r="SWO125" s="50"/>
      <c r="SWP125" s="41"/>
      <c r="SWQ125" s="41"/>
      <c r="SWR125" s="49"/>
      <c r="SWS125" s="41"/>
      <c r="SWT125" s="41"/>
      <c r="SWV125" s="40"/>
      <c r="SWW125" s="47"/>
      <c r="SWX125" s="48"/>
      <c r="SWY125" s="49"/>
      <c r="SWZ125" s="50"/>
      <c r="SXA125" s="50"/>
      <c r="SXB125" s="41"/>
      <c r="SXC125" s="41"/>
      <c r="SXD125" s="49"/>
      <c r="SXE125" s="41"/>
      <c r="SXF125" s="41"/>
      <c r="SXH125" s="40"/>
      <c r="SXI125" s="47"/>
      <c r="SXJ125" s="48"/>
      <c r="SXK125" s="49"/>
      <c r="SXL125" s="50"/>
      <c r="SXM125" s="50"/>
      <c r="SXN125" s="41"/>
      <c r="SXO125" s="41"/>
      <c r="SXP125" s="49"/>
      <c r="SXQ125" s="41"/>
      <c r="SXR125" s="41"/>
      <c r="SXT125" s="40"/>
      <c r="SXU125" s="47"/>
      <c r="SXV125" s="48"/>
      <c r="SXW125" s="49"/>
      <c r="SXX125" s="50"/>
      <c r="SXY125" s="50"/>
      <c r="SXZ125" s="41"/>
      <c r="SYA125" s="41"/>
      <c r="SYB125" s="49"/>
      <c r="SYC125" s="41"/>
      <c r="SYD125" s="41"/>
      <c r="SYF125" s="40"/>
      <c r="SYG125" s="47"/>
      <c r="SYH125" s="48"/>
      <c r="SYI125" s="49"/>
      <c r="SYJ125" s="50"/>
      <c r="SYK125" s="50"/>
      <c r="SYL125" s="41"/>
      <c r="SYM125" s="41"/>
      <c r="SYN125" s="49"/>
      <c r="SYO125" s="41"/>
      <c r="SYP125" s="41"/>
      <c r="SYR125" s="40"/>
      <c r="SYS125" s="47"/>
      <c r="SYT125" s="48"/>
      <c r="SYU125" s="49"/>
      <c r="SYV125" s="50"/>
      <c r="SYW125" s="50"/>
      <c r="SYX125" s="41"/>
      <c r="SYY125" s="41"/>
      <c r="SYZ125" s="49"/>
      <c r="SZA125" s="41"/>
      <c r="SZB125" s="41"/>
      <c r="SZD125" s="40"/>
      <c r="SZE125" s="47"/>
      <c r="SZF125" s="48"/>
      <c r="SZG125" s="49"/>
      <c r="SZH125" s="50"/>
      <c r="SZI125" s="50"/>
      <c r="SZJ125" s="41"/>
      <c r="SZK125" s="41"/>
      <c r="SZL125" s="49"/>
      <c r="SZM125" s="41"/>
      <c r="SZN125" s="41"/>
      <c r="SZP125" s="40"/>
      <c r="SZQ125" s="47"/>
      <c r="SZR125" s="48"/>
      <c r="SZS125" s="49"/>
      <c r="SZT125" s="50"/>
      <c r="SZU125" s="50"/>
      <c r="SZV125" s="41"/>
      <c r="SZW125" s="41"/>
      <c r="SZX125" s="49"/>
      <c r="SZY125" s="41"/>
      <c r="SZZ125" s="41"/>
      <c r="TAB125" s="40"/>
      <c r="TAC125" s="47"/>
      <c r="TAD125" s="48"/>
      <c r="TAE125" s="49"/>
      <c r="TAF125" s="50"/>
      <c r="TAG125" s="50"/>
      <c r="TAH125" s="41"/>
      <c r="TAI125" s="41"/>
      <c r="TAJ125" s="49"/>
      <c r="TAK125" s="41"/>
      <c r="TAL125" s="41"/>
      <c r="TAN125" s="40"/>
      <c r="TAO125" s="47"/>
      <c r="TAP125" s="48"/>
      <c r="TAQ125" s="49"/>
      <c r="TAR125" s="50"/>
      <c r="TAS125" s="50"/>
      <c r="TAT125" s="41"/>
      <c r="TAU125" s="41"/>
      <c r="TAV125" s="49"/>
      <c r="TAW125" s="41"/>
      <c r="TAX125" s="41"/>
      <c r="TAZ125" s="40"/>
      <c r="TBA125" s="47"/>
      <c r="TBB125" s="48"/>
      <c r="TBC125" s="49"/>
      <c r="TBD125" s="50"/>
      <c r="TBE125" s="50"/>
      <c r="TBF125" s="41"/>
      <c r="TBG125" s="41"/>
      <c r="TBH125" s="49"/>
      <c r="TBI125" s="41"/>
      <c r="TBJ125" s="41"/>
      <c r="TBL125" s="40"/>
      <c r="TBM125" s="47"/>
      <c r="TBN125" s="48"/>
      <c r="TBO125" s="49"/>
      <c r="TBP125" s="50"/>
      <c r="TBQ125" s="50"/>
      <c r="TBR125" s="41"/>
      <c r="TBS125" s="41"/>
      <c r="TBT125" s="49"/>
      <c r="TBU125" s="41"/>
      <c r="TBV125" s="41"/>
      <c r="TBX125" s="40"/>
      <c r="TBY125" s="47"/>
      <c r="TBZ125" s="48"/>
      <c r="TCA125" s="49"/>
      <c r="TCB125" s="50"/>
      <c r="TCC125" s="50"/>
      <c r="TCD125" s="41"/>
      <c r="TCE125" s="41"/>
      <c r="TCF125" s="49"/>
      <c r="TCG125" s="41"/>
      <c r="TCH125" s="41"/>
      <c r="TCJ125" s="40"/>
      <c r="TCK125" s="47"/>
      <c r="TCL125" s="48"/>
      <c r="TCM125" s="49"/>
      <c r="TCN125" s="50"/>
      <c r="TCO125" s="50"/>
      <c r="TCP125" s="41"/>
      <c r="TCQ125" s="41"/>
      <c r="TCR125" s="49"/>
      <c r="TCS125" s="41"/>
      <c r="TCT125" s="41"/>
      <c r="TCV125" s="40"/>
      <c r="TCW125" s="47"/>
      <c r="TCX125" s="48"/>
      <c r="TCY125" s="49"/>
      <c r="TCZ125" s="50"/>
      <c r="TDA125" s="50"/>
      <c r="TDB125" s="41"/>
      <c r="TDC125" s="41"/>
      <c r="TDD125" s="49"/>
      <c r="TDE125" s="41"/>
      <c r="TDF125" s="41"/>
      <c r="TDH125" s="40"/>
      <c r="TDI125" s="47"/>
      <c r="TDJ125" s="48"/>
      <c r="TDK125" s="49"/>
      <c r="TDL125" s="50"/>
      <c r="TDM125" s="50"/>
      <c r="TDN125" s="41"/>
      <c r="TDO125" s="41"/>
      <c r="TDP125" s="49"/>
      <c r="TDQ125" s="41"/>
      <c r="TDR125" s="41"/>
      <c r="TDT125" s="40"/>
      <c r="TDU125" s="47"/>
      <c r="TDV125" s="48"/>
      <c r="TDW125" s="49"/>
      <c r="TDX125" s="50"/>
      <c r="TDY125" s="50"/>
      <c r="TDZ125" s="41"/>
      <c r="TEA125" s="41"/>
      <c r="TEB125" s="49"/>
      <c r="TEC125" s="41"/>
      <c r="TED125" s="41"/>
      <c r="TEF125" s="40"/>
      <c r="TEG125" s="47"/>
      <c r="TEH125" s="48"/>
      <c r="TEI125" s="49"/>
      <c r="TEJ125" s="50"/>
      <c r="TEK125" s="50"/>
      <c r="TEL125" s="41"/>
      <c r="TEM125" s="41"/>
      <c r="TEN125" s="49"/>
      <c r="TEO125" s="41"/>
      <c r="TEP125" s="41"/>
      <c r="TER125" s="40"/>
      <c r="TES125" s="47"/>
      <c r="TET125" s="48"/>
      <c r="TEU125" s="49"/>
      <c r="TEV125" s="50"/>
      <c r="TEW125" s="50"/>
      <c r="TEX125" s="41"/>
      <c r="TEY125" s="41"/>
      <c r="TEZ125" s="49"/>
      <c r="TFA125" s="41"/>
      <c r="TFB125" s="41"/>
      <c r="TFD125" s="40"/>
      <c r="TFE125" s="47"/>
      <c r="TFF125" s="48"/>
      <c r="TFG125" s="49"/>
      <c r="TFH125" s="50"/>
      <c r="TFI125" s="50"/>
      <c r="TFJ125" s="41"/>
      <c r="TFK125" s="41"/>
      <c r="TFL125" s="49"/>
      <c r="TFM125" s="41"/>
      <c r="TFN125" s="41"/>
      <c r="TFP125" s="40"/>
      <c r="TFQ125" s="47"/>
      <c r="TFR125" s="48"/>
      <c r="TFS125" s="49"/>
      <c r="TFT125" s="50"/>
      <c r="TFU125" s="50"/>
      <c r="TFV125" s="41"/>
      <c r="TFW125" s="41"/>
      <c r="TFX125" s="49"/>
      <c r="TFY125" s="41"/>
      <c r="TFZ125" s="41"/>
      <c r="TGB125" s="40"/>
      <c r="TGC125" s="47"/>
      <c r="TGD125" s="48"/>
      <c r="TGE125" s="49"/>
      <c r="TGF125" s="50"/>
      <c r="TGG125" s="50"/>
      <c r="TGH125" s="41"/>
      <c r="TGI125" s="41"/>
      <c r="TGJ125" s="49"/>
      <c r="TGK125" s="41"/>
      <c r="TGL125" s="41"/>
      <c r="TGN125" s="40"/>
      <c r="TGO125" s="47"/>
      <c r="TGP125" s="48"/>
      <c r="TGQ125" s="49"/>
      <c r="TGR125" s="50"/>
      <c r="TGS125" s="50"/>
      <c r="TGT125" s="41"/>
      <c r="TGU125" s="41"/>
      <c r="TGV125" s="49"/>
      <c r="TGW125" s="41"/>
      <c r="TGX125" s="41"/>
      <c r="TGZ125" s="40"/>
      <c r="THA125" s="47"/>
      <c r="THB125" s="48"/>
      <c r="THC125" s="49"/>
      <c r="THD125" s="50"/>
      <c r="THE125" s="50"/>
      <c r="THF125" s="41"/>
      <c r="THG125" s="41"/>
      <c r="THH125" s="49"/>
      <c r="THI125" s="41"/>
      <c r="THJ125" s="41"/>
      <c r="THL125" s="40"/>
      <c r="THM125" s="47"/>
      <c r="THN125" s="48"/>
      <c r="THO125" s="49"/>
      <c r="THP125" s="50"/>
      <c r="THQ125" s="50"/>
      <c r="THR125" s="41"/>
      <c r="THS125" s="41"/>
      <c r="THT125" s="49"/>
      <c r="THU125" s="41"/>
      <c r="THV125" s="41"/>
      <c r="THX125" s="40"/>
      <c r="THY125" s="47"/>
      <c r="THZ125" s="48"/>
      <c r="TIA125" s="49"/>
      <c r="TIB125" s="50"/>
      <c r="TIC125" s="50"/>
      <c r="TID125" s="41"/>
      <c r="TIE125" s="41"/>
      <c r="TIF125" s="49"/>
      <c r="TIG125" s="41"/>
      <c r="TIH125" s="41"/>
      <c r="TIJ125" s="40"/>
      <c r="TIK125" s="47"/>
      <c r="TIL125" s="48"/>
      <c r="TIM125" s="49"/>
      <c r="TIN125" s="50"/>
      <c r="TIO125" s="50"/>
      <c r="TIP125" s="41"/>
      <c r="TIQ125" s="41"/>
      <c r="TIR125" s="49"/>
      <c r="TIS125" s="41"/>
      <c r="TIT125" s="41"/>
      <c r="TIV125" s="40"/>
      <c r="TIW125" s="47"/>
      <c r="TIX125" s="48"/>
      <c r="TIY125" s="49"/>
      <c r="TIZ125" s="50"/>
      <c r="TJA125" s="50"/>
      <c r="TJB125" s="41"/>
      <c r="TJC125" s="41"/>
      <c r="TJD125" s="49"/>
      <c r="TJE125" s="41"/>
      <c r="TJF125" s="41"/>
      <c r="TJH125" s="40"/>
      <c r="TJI125" s="47"/>
      <c r="TJJ125" s="48"/>
      <c r="TJK125" s="49"/>
      <c r="TJL125" s="50"/>
      <c r="TJM125" s="50"/>
      <c r="TJN125" s="41"/>
      <c r="TJO125" s="41"/>
      <c r="TJP125" s="49"/>
      <c r="TJQ125" s="41"/>
      <c r="TJR125" s="41"/>
      <c r="TJT125" s="40"/>
      <c r="TJU125" s="47"/>
      <c r="TJV125" s="48"/>
      <c r="TJW125" s="49"/>
      <c r="TJX125" s="50"/>
      <c r="TJY125" s="50"/>
      <c r="TJZ125" s="41"/>
      <c r="TKA125" s="41"/>
      <c r="TKB125" s="49"/>
      <c r="TKC125" s="41"/>
      <c r="TKD125" s="41"/>
      <c r="TKF125" s="40"/>
      <c r="TKG125" s="47"/>
      <c r="TKH125" s="48"/>
      <c r="TKI125" s="49"/>
      <c r="TKJ125" s="50"/>
      <c r="TKK125" s="50"/>
      <c r="TKL125" s="41"/>
      <c r="TKM125" s="41"/>
      <c r="TKN125" s="49"/>
      <c r="TKO125" s="41"/>
      <c r="TKP125" s="41"/>
      <c r="TKR125" s="40"/>
      <c r="TKS125" s="47"/>
      <c r="TKT125" s="48"/>
      <c r="TKU125" s="49"/>
      <c r="TKV125" s="50"/>
      <c r="TKW125" s="50"/>
      <c r="TKX125" s="41"/>
      <c r="TKY125" s="41"/>
      <c r="TKZ125" s="49"/>
      <c r="TLA125" s="41"/>
      <c r="TLB125" s="41"/>
      <c r="TLD125" s="40"/>
      <c r="TLE125" s="47"/>
      <c r="TLF125" s="48"/>
      <c r="TLG125" s="49"/>
      <c r="TLH125" s="50"/>
      <c r="TLI125" s="50"/>
      <c r="TLJ125" s="41"/>
      <c r="TLK125" s="41"/>
      <c r="TLL125" s="49"/>
      <c r="TLM125" s="41"/>
      <c r="TLN125" s="41"/>
      <c r="TLP125" s="40"/>
      <c r="TLQ125" s="47"/>
      <c r="TLR125" s="48"/>
      <c r="TLS125" s="49"/>
      <c r="TLT125" s="50"/>
      <c r="TLU125" s="50"/>
      <c r="TLV125" s="41"/>
      <c r="TLW125" s="41"/>
      <c r="TLX125" s="49"/>
      <c r="TLY125" s="41"/>
      <c r="TLZ125" s="41"/>
      <c r="TMB125" s="40"/>
      <c r="TMC125" s="47"/>
      <c r="TMD125" s="48"/>
      <c r="TME125" s="49"/>
      <c r="TMF125" s="50"/>
      <c r="TMG125" s="50"/>
      <c r="TMH125" s="41"/>
      <c r="TMI125" s="41"/>
      <c r="TMJ125" s="49"/>
      <c r="TMK125" s="41"/>
      <c r="TML125" s="41"/>
      <c r="TMN125" s="40"/>
      <c r="TMO125" s="47"/>
      <c r="TMP125" s="48"/>
      <c r="TMQ125" s="49"/>
      <c r="TMR125" s="50"/>
      <c r="TMS125" s="50"/>
      <c r="TMT125" s="41"/>
      <c r="TMU125" s="41"/>
      <c r="TMV125" s="49"/>
      <c r="TMW125" s="41"/>
      <c r="TMX125" s="41"/>
      <c r="TMZ125" s="40"/>
      <c r="TNA125" s="47"/>
      <c r="TNB125" s="48"/>
      <c r="TNC125" s="49"/>
      <c r="TND125" s="50"/>
      <c r="TNE125" s="50"/>
      <c r="TNF125" s="41"/>
      <c r="TNG125" s="41"/>
      <c r="TNH125" s="49"/>
      <c r="TNI125" s="41"/>
      <c r="TNJ125" s="41"/>
      <c r="TNL125" s="40"/>
      <c r="TNM125" s="47"/>
      <c r="TNN125" s="48"/>
      <c r="TNO125" s="49"/>
      <c r="TNP125" s="50"/>
      <c r="TNQ125" s="50"/>
      <c r="TNR125" s="41"/>
      <c r="TNS125" s="41"/>
      <c r="TNT125" s="49"/>
      <c r="TNU125" s="41"/>
      <c r="TNV125" s="41"/>
      <c r="TNX125" s="40"/>
      <c r="TNY125" s="47"/>
      <c r="TNZ125" s="48"/>
      <c r="TOA125" s="49"/>
      <c r="TOB125" s="50"/>
      <c r="TOC125" s="50"/>
      <c r="TOD125" s="41"/>
      <c r="TOE125" s="41"/>
      <c r="TOF125" s="49"/>
      <c r="TOG125" s="41"/>
      <c r="TOH125" s="41"/>
      <c r="TOJ125" s="40"/>
      <c r="TOK125" s="47"/>
      <c r="TOL125" s="48"/>
      <c r="TOM125" s="49"/>
      <c r="TON125" s="50"/>
      <c r="TOO125" s="50"/>
      <c r="TOP125" s="41"/>
      <c r="TOQ125" s="41"/>
      <c r="TOR125" s="49"/>
      <c r="TOS125" s="41"/>
      <c r="TOT125" s="41"/>
      <c r="TOV125" s="40"/>
      <c r="TOW125" s="47"/>
      <c r="TOX125" s="48"/>
      <c r="TOY125" s="49"/>
      <c r="TOZ125" s="50"/>
      <c r="TPA125" s="50"/>
      <c r="TPB125" s="41"/>
      <c r="TPC125" s="41"/>
      <c r="TPD125" s="49"/>
      <c r="TPE125" s="41"/>
      <c r="TPF125" s="41"/>
      <c r="TPH125" s="40"/>
      <c r="TPI125" s="47"/>
      <c r="TPJ125" s="48"/>
      <c r="TPK125" s="49"/>
      <c r="TPL125" s="50"/>
      <c r="TPM125" s="50"/>
      <c r="TPN125" s="41"/>
      <c r="TPO125" s="41"/>
      <c r="TPP125" s="49"/>
      <c r="TPQ125" s="41"/>
      <c r="TPR125" s="41"/>
      <c r="TPT125" s="40"/>
      <c r="TPU125" s="47"/>
      <c r="TPV125" s="48"/>
      <c r="TPW125" s="49"/>
      <c r="TPX125" s="50"/>
      <c r="TPY125" s="50"/>
      <c r="TPZ125" s="41"/>
      <c r="TQA125" s="41"/>
      <c r="TQB125" s="49"/>
      <c r="TQC125" s="41"/>
      <c r="TQD125" s="41"/>
      <c r="TQF125" s="40"/>
      <c r="TQG125" s="47"/>
      <c r="TQH125" s="48"/>
      <c r="TQI125" s="49"/>
      <c r="TQJ125" s="50"/>
      <c r="TQK125" s="50"/>
      <c r="TQL125" s="41"/>
      <c r="TQM125" s="41"/>
      <c r="TQN125" s="49"/>
      <c r="TQO125" s="41"/>
      <c r="TQP125" s="41"/>
      <c r="TQR125" s="40"/>
      <c r="TQS125" s="47"/>
      <c r="TQT125" s="48"/>
      <c r="TQU125" s="49"/>
      <c r="TQV125" s="50"/>
      <c r="TQW125" s="50"/>
      <c r="TQX125" s="41"/>
      <c r="TQY125" s="41"/>
      <c r="TQZ125" s="49"/>
      <c r="TRA125" s="41"/>
      <c r="TRB125" s="41"/>
      <c r="TRD125" s="40"/>
      <c r="TRE125" s="47"/>
      <c r="TRF125" s="48"/>
      <c r="TRG125" s="49"/>
      <c r="TRH125" s="50"/>
      <c r="TRI125" s="50"/>
      <c r="TRJ125" s="41"/>
      <c r="TRK125" s="41"/>
      <c r="TRL125" s="49"/>
      <c r="TRM125" s="41"/>
      <c r="TRN125" s="41"/>
      <c r="TRP125" s="40"/>
      <c r="TRQ125" s="47"/>
      <c r="TRR125" s="48"/>
      <c r="TRS125" s="49"/>
      <c r="TRT125" s="50"/>
      <c r="TRU125" s="50"/>
      <c r="TRV125" s="41"/>
      <c r="TRW125" s="41"/>
      <c r="TRX125" s="49"/>
      <c r="TRY125" s="41"/>
      <c r="TRZ125" s="41"/>
      <c r="TSB125" s="40"/>
      <c r="TSC125" s="47"/>
      <c r="TSD125" s="48"/>
      <c r="TSE125" s="49"/>
      <c r="TSF125" s="50"/>
      <c r="TSG125" s="50"/>
      <c r="TSH125" s="41"/>
      <c r="TSI125" s="41"/>
      <c r="TSJ125" s="49"/>
      <c r="TSK125" s="41"/>
      <c r="TSL125" s="41"/>
      <c r="TSN125" s="40"/>
      <c r="TSO125" s="47"/>
      <c r="TSP125" s="48"/>
      <c r="TSQ125" s="49"/>
      <c r="TSR125" s="50"/>
      <c r="TSS125" s="50"/>
      <c r="TST125" s="41"/>
      <c r="TSU125" s="41"/>
      <c r="TSV125" s="49"/>
      <c r="TSW125" s="41"/>
      <c r="TSX125" s="41"/>
      <c r="TSZ125" s="40"/>
      <c r="TTA125" s="47"/>
      <c r="TTB125" s="48"/>
      <c r="TTC125" s="49"/>
      <c r="TTD125" s="50"/>
      <c r="TTE125" s="50"/>
      <c r="TTF125" s="41"/>
      <c r="TTG125" s="41"/>
      <c r="TTH125" s="49"/>
      <c r="TTI125" s="41"/>
      <c r="TTJ125" s="41"/>
      <c r="TTL125" s="40"/>
      <c r="TTM125" s="47"/>
      <c r="TTN125" s="48"/>
      <c r="TTO125" s="49"/>
      <c r="TTP125" s="50"/>
      <c r="TTQ125" s="50"/>
      <c r="TTR125" s="41"/>
      <c r="TTS125" s="41"/>
      <c r="TTT125" s="49"/>
      <c r="TTU125" s="41"/>
      <c r="TTV125" s="41"/>
      <c r="TTX125" s="40"/>
      <c r="TTY125" s="47"/>
      <c r="TTZ125" s="48"/>
      <c r="TUA125" s="49"/>
      <c r="TUB125" s="50"/>
      <c r="TUC125" s="50"/>
      <c r="TUD125" s="41"/>
      <c r="TUE125" s="41"/>
      <c r="TUF125" s="49"/>
      <c r="TUG125" s="41"/>
      <c r="TUH125" s="41"/>
      <c r="TUJ125" s="40"/>
      <c r="TUK125" s="47"/>
      <c r="TUL125" s="48"/>
      <c r="TUM125" s="49"/>
      <c r="TUN125" s="50"/>
      <c r="TUO125" s="50"/>
      <c r="TUP125" s="41"/>
      <c r="TUQ125" s="41"/>
      <c r="TUR125" s="49"/>
      <c r="TUS125" s="41"/>
      <c r="TUT125" s="41"/>
      <c r="TUV125" s="40"/>
      <c r="TUW125" s="47"/>
      <c r="TUX125" s="48"/>
      <c r="TUY125" s="49"/>
      <c r="TUZ125" s="50"/>
      <c r="TVA125" s="50"/>
      <c r="TVB125" s="41"/>
      <c r="TVC125" s="41"/>
      <c r="TVD125" s="49"/>
      <c r="TVE125" s="41"/>
      <c r="TVF125" s="41"/>
      <c r="TVH125" s="40"/>
      <c r="TVI125" s="47"/>
      <c r="TVJ125" s="48"/>
      <c r="TVK125" s="49"/>
      <c r="TVL125" s="50"/>
      <c r="TVM125" s="50"/>
      <c r="TVN125" s="41"/>
      <c r="TVO125" s="41"/>
      <c r="TVP125" s="49"/>
      <c r="TVQ125" s="41"/>
      <c r="TVR125" s="41"/>
      <c r="TVT125" s="40"/>
      <c r="TVU125" s="47"/>
      <c r="TVV125" s="48"/>
      <c r="TVW125" s="49"/>
      <c r="TVX125" s="50"/>
      <c r="TVY125" s="50"/>
      <c r="TVZ125" s="41"/>
      <c r="TWA125" s="41"/>
      <c r="TWB125" s="49"/>
      <c r="TWC125" s="41"/>
      <c r="TWD125" s="41"/>
      <c r="TWF125" s="40"/>
      <c r="TWG125" s="47"/>
      <c r="TWH125" s="48"/>
      <c r="TWI125" s="49"/>
      <c r="TWJ125" s="50"/>
      <c r="TWK125" s="50"/>
      <c r="TWL125" s="41"/>
      <c r="TWM125" s="41"/>
      <c r="TWN125" s="49"/>
      <c r="TWO125" s="41"/>
      <c r="TWP125" s="41"/>
      <c r="TWR125" s="40"/>
      <c r="TWS125" s="47"/>
      <c r="TWT125" s="48"/>
      <c r="TWU125" s="49"/>
      <c r="TWV125" s="50"/>
      <c r="TWW125" s="50"/>
      <c r="TWX125" s="41"/>
      <c r="TWY125" s="41"/>
      <c r="TWZ125" s="49"/>
      <c r="TXA125" s="41"/>
      <c r="TXB125" s="41"/>
      <c r="TXD125" s="40"/>
      <c r="TXE125" s="47"/>
      <c r="TXF125" s="48"/>
      <c r="TXG125" s="49"/>
      <c r="TXH125" s="50"/>
      <c r="TXI125" s="50"/>
      <c r="TXJ125" s="41"/>
      <c r="TXK125" s="41"/>
      <c r="TXL125" s="49"/>
      <c r="TXM125" s="41"/>
      <c r="TXN125" s="41"/>
      <c r="TXP125" s="40"/>
      <c r="TXQ125" s="47"/>
      <c r="TXR125" s="48"/>
      <c r="TXS125" s="49"/>
      <c r="TXT125" s="50"/>
      <c r="TXU125" s="50"/>
      <c r="TXV125" s="41"/>
      <c r="TXW125" s="41"/>
      <c r="TXX125" s="49"/>
      <c r="TXY125" s="41"/>
      <c r="TXZ125" s="41"/>
      <c r="TYB125" s="40"/>
      <c r="TYC125" s="47"/>
      <c r="TYD125" s="48"/>
      <c r="TYE125" s="49"/>
      <c r="TYF125" s="50"/>
      <c r="TYG125" s="50"/>
      <c r="TYH125" s="41"/>
      <c r="TYI125" s="41"/>
      <c r="TYJ125" s="49"/>
      <c r="TYK125" s="41"/>
      <c r="TYL125" s="41"/>
      <c r="TYN125" s="40"/>
      <c r="TYO125" s="47"/>
      <c r="TYP125" s="48"/>
      <c r="TYQ125" s="49"/>
      <c r="TYR125" s="50"/>
      <c r="TYS125" s="50"/>
      <c r="TYT125" s="41"/>
      <c r="TYU125" s="41"/>
      <c r="TYV125" s="49"/>
      <c r="TYW125" s="41"/>
      <c r="TYX125" s="41"/>
      <c r="TYZ125" s="40"/>
      <c r="TZA125" s="47"/>
      <c r="TZB125" s="48"/>
      <c r="TZC125" s="49"/>
      <c r="TZD125" s="50"/>
      <c r="TZE125" s="50"/>
      <c r="TZF125" s="41"/>
      <c r="TZG125" s="41"/>
      <c r="TZH125" s="49"/>
      <c r="TZI125" s="41"/>
      <c r="TZJ125" s="41"/>
      <c r="TZL125" s="40"/>
      <c r="TZM125" s="47"/>
      <c r="TZN125" s="48"/>
      <c r="TZO125" s="49"/>
      <c r="TZP125" s="50"/>
      <c r="TZQ125" s="50"/>
      <c r="TZR125" s="41"/>
      <c r="TZS125" s="41"/>
      <c r="TZT125" s="49"/>
      <c r="TZU125" s="41"/>
      <c r="TZV125" s="41"/>
      <c r="TZX125" s="40"/>
      <c r="TZY125" s="47"/>
      <c r="TZZ125" s="48"/>
      <c r="UAA125" s="49"/>
      <c r="UAB125" s="50"/>
      <c r="UAC125" s="50"/>
      <c r="UAD125" s="41"/>
      <c r="UAE125" s="41"/>
      <c r="UAF125" s="49"/>
      <c r="UAG125" s="41"/>
      <c r="UAH125" s="41"/>
      <c r="UAJ125" s="40"/>
      <c r="UAK125" s="47"/>
      <c r="UAL125" s="48"/>
      <c r="UAM125" s="49"/>
      <c r="UAN125" s="50"/>
      <c r="UAO125" s="50"/>
      <c r="UAP125" s="41"/>
      <c r="UAQ125" s="41"/>
      <c r="UAR125" s="49"/>
      <c r="UAS125" s="41"/>
      <c r="UAT125" s="41"/>
      <c r="UAV125" s="40"/>
      <c r="UAW125" s="47"/>
      <c r="UAX125" s="48"/>
      <c r="UAY125" s="49"/>
      <c r="UAZ125" s="50"/>
      <c r="UBA125" s="50"/>
      <c r="UBB125" s="41"/>
      <c r="UBC125" s="41"/>
      <c r="UBD125" s="49"/>
      <c r="UBE125" s="41"/>
      <c r="UBF125" s="41"/>
      <c r="UBH125" s="40"/>
      <c r="UBI125" s="47"/>
      <c r="UBJ125" s="48"/>
      <c r="UBK125" s="49"/>
      <c r="UBL125" s="50"/>
      <c r="UBM125" s="50"/>
      <c r="UBN125" s="41"/>
      <c r="UBO125" s="41"/>
      <c r="UBP125" s="49"/>
      <c r="UBQ125" s="41"/>
      <c r="UBR125" s="41"/>
      <c r="UBT125" s="40"/>
      <c r="UBU125" s="47"/>
      <c r="UBV125" s="48"/>
      <c r="UBW125" s="49"/>
      <c r="UBX125" s="50"/>
      <c r="UBY125" s="50"/>
      <c r="UBZ125" s="41"/>
      <c r="UCA125" s="41"/>
      <c r="UCB125" s="49"/>
      <c r="UCC125" s="41"/>
      <c r="UCD125" s="41"/>
      <c r="UCF125" s="40"/>
      <c r="UCG125" s="47"/>
      <c r="UCH125" s="48"/>
      <c r="UCI125" s="49"/>
      <c r="UCJ125" s="50"/>
      <c r="UCK125" s="50"/>
      <c r="UCL125" s="41"/>
      <c r="UCM125" s="41"/>
      <c r="UCN125" s="49"/>
      <c r="UCO125" s="41"/>
      <c r="UCP125" s="41"/>
      <c r="UCR125" s="40"/>
      <c r="UCS125" s="47"/>
      <c r="UCT125" s="48"/>
      <c r="UCU125" s="49"/>
      <c r="UCV125" s="50"/>
      <c r="UCW125" s="50"/>
      <c r="UCX125" s="41"/>
      <c r="UCY125" s="41"/>
      <c r="UCZ125" s="49"/>
      <c r="UDA125" s="41"/>
      <c r="UDB125" s="41"/>
      <c r="UDD125" s="40"/>
      <c r="UDE125" s="47"/>
      <c r="UDF125" s="48"/>
      <c r="UDG125" s="49"/>
      <c r="UDH125" s="50"/>
      <c r="UDI125" s="50"/>
      <c r="UDJ125" s="41"/>
      <c r="UDK125" s="41"/>
      <c r="UDL125" s="49"/>
      <c r="UDM125" s="41"/>
      <c r="UDN125" s="41"/>
      <c r="UDP125" s="40"/>
      <c r="UDQ125" s="47"/>
      <c r="UDR125" s="48"/>
      <c r="UDS125" s="49"/>
      <c r="UDT125" s="50"/>
      <c r="UDU125" s="50"/>
      <c r="UDV125" s="41"/>
      <c r="UDW125" s="41"/>
      <c r="UDX125" s="49"/>
      <c r="UDY125" s="41"/>
      <c r="UDZ125" s="41"/>
      <c r="UEB125" s="40"/>
      <c r="UEC125" s="47"/>
      <c r="UED125" s="48"/>
      <c r="UEE125" s="49"/>
      <c r="UEF125" s="50"/>
      <c r="UEG125" s="50"/>
      <c r="UEH125" s="41"/>
      <c r="UEI125" s="41"/>
      <c r="UEJ125" s="49"/>
      <c r="UEK125" s="41"/>
      <c r="UEL125" s="41"/>
      <c r="UEN125" s="40"/>
      <c r="UEO125" s="47"/>
      <c r="UEP125" s="48"/>
      <c r="UEQ125" s="49"/>
      <c r="UER125" s="50"/>
      <c r="UES125" s="50"/>
      <c r="UET125" s="41"/>
      <c r="UEU125" s="41"/>
      <c r="UEV125" s="49"/>
      <c r="UEW125" s="41"/>
      <c r="UEX125" s="41"/>
      <c r="UEZ125" s="40"/>
      <c r="UFA125" s="47"/>
      <c r="UFB125" s="48"/>
      <c r="UFC125" s="49"/>
      <c r="UFD125" s="50"/>
      <c r="UFE125" s="50"/>
      <c r="UFF125" s="41"/>
      <c r="UFG125" s="41"/>
      <c r="UFH125" s="49"/>
      <c r="UFI125" s="41"/>
      <c r="UFJ125" s="41"/>
      <c r="UFL125" s="40"/>
      <c r="UFM125" s="47"/>
      <c r="UFN125" s="48"/>
      <c r="UFO125" s="49"/>
      <c r="UFP125" s="50"/>
      <c r="UFQ125" s="50"/>
      <c r="UFR125" s="41"/>
      <c r="UFS125" s="41"/>
      <c r="UFT125" s="49"/>
      <c r="UFU125" s="41"/>
      <c r="UFV125" s="41"/>
      <c r="UFX125" s="40"/>
      <c r="UFY125" s="47"/>
      <c r="UFZ125" s="48"/>
      <c r="UGA125" s="49"/>
      <c r="UGB125" s="50"/>
      <c r="UGC125" s="50"/>
      <c r="UGD125" s="41"/>
      <c r="UGE125" s="41"/>
      <c r="UGF125" s="49"/>
      <c r="UGG125" s="41"/>
      <c r="UGH125" s="41"/>
      <c r="UGJ125" s="40"/>
      <c r="UGK125" s="47"/>
      <c r="UGL125" s="48"/>
      <c r="UGM125" s="49"/>
      <c r="UGN125" s="50"/>
      <c r="UGO125" s="50"/>
      <c r="UGP125" s="41"/>
      <c r="UGQ125" s="41"/>
      <c r="UGR125" s="49"/>
      <c r="UGS125" s="41"/>
      <c r="UGT125" s="41"/>
      <c r="UGV125" s="40"/>
      <c r="UGW125" s="47"/>
      <c r="UGX125" s="48"/>
      <c r="UGY125" s="49"/>
      <c r="UGZ125" s="50"/>
      <c r="UHA125" s="50"/>
      <c r="UHB125" s="41"/>
      <c r="UHC125" s="41"/>
      <c r="UHD125" s="49"/>
      <c r="UHE125" s="41"/>
      <c r="UHF125" s="41"/>
      <c r="UHH125" s="40"/>
      <c r="UHI125" s="47"/>
      <c r="UHJ125" s="48"/>
      <c r="UHK125" s="49"/>
      <c r="UHL125" s="50"/>
      <c r="UHM125" s="50"/>
      <c r="UHN125" s="41"/>
      <c r="UHO125" s="41"/>
      <c r="UHP125" s="49"/>
      <c r="UHQ125" s="41"/>
      <c r="UHR125" s="41"/>
      <c r="UHT125" s="40"/>
      <c r="UHU125" s="47"/>
      <c r="UHV125" s="48"/>
      <c r="UHW125" s="49"/>
      <c r="UHX125" s="50"/>
      <c r="UHY125" s="50"/>
      <c r="UHZ125" s="41"/>
      <c r="UIA125" s="41"/>
      <c r="UIB125" s="49"/>
      <c r="UIC125" s="41"/>
      <c r="UID125" s="41"/>
      <c r="UIF125" s="40"/>
      <c r="UIG125" s="47"/>
      <c r="UIH125" s="48"/>
      <c r="UII125" s="49"/>
      <c r="UIJ125" s="50"/>
      <c r="UIK125" s="50"/>
      <c r="UIL125" s="41"/>
      <c r="UIM125" s="41"/>
      <c r="UIN125" s="49"/>
      <c r="UIO125" s="41"/>
      <c r="UIP125" s="41"/>
      <c r="UIR125" s="40"/>
      <c r="UIS125" s="47"/>
      <c r="UIT125" s="48"/>
      <c r="UIU125" s="49"/>
      <c r="UIV125" s="50"/>
      <c r="UIW125" s="50"/>
      <c r="UIX125" s="41"/>
      <c r="UIY125" s="41"/>
      <c r="UIZ125" s="49"/>
      <c r="UJA125" s="41"/>
      <c r="UJB125" s="41"/>
      <c r="UJD125" s="40"/>
      <c r="UJE125" s="47"/>
      <c r="UJF125" s="48"/>
      <c r="UJG125" s="49"/>
      <c r="UJH125" s="50"/>
      <c r="UJI125" s="50"/>
      <c r="UJJ125" s="41"/>
      <c r="UJK125" s="41"/>
      <c r="UJL125" s="49"/>
      <c r="UJM125" s="41"/>
      <c r="UJN125" s="41"/>
      <c r="UJP125" s="40"/>
      <c r="UJQ125" s="47"/>
      <c r="UJR125" s="48"/>
      <c r="UJS125" s="49"/>
      <c r="UJT125" s="50"/>
      <c r="UJU125" s="50"/>
      <c r="UJV125" s="41"/>
      <c r="UJW125" s="41"/>
      <c r="UJX125" s="49"/>
      <c r="UJY125" s="41"/>
      <c r="UJZ125" s="41"/>
      <c r="UKB125" s="40"/>
      <c r="UKC125" s="47"/>
      <c r="UKD125" s="48"/>
      <c r="UKE125" s="49"/>
      <c r="UKF125" s="50"/>
      <c r="UKG125" s="50"/>
      <c r="UKH125" s="41"/>
      <c r="UKI125" s="41"/>
      <c r="UKJ125" s="49"/>
      <c r="UKK125" s="41"/>
      <c r="UKL125" s="41"/>
      <c r="UKN125" s="40"/>
      <c r="UKO125" s="47"/>
      <c r="UKP125" s="48"/>
      <c r="UKQ125" s="49"/>
      <c r="UKR125" s="50"/>
      <c r="UKS125" s="50"/>
      <c r="UKT125" s="41"/>
      <c r="UKU125" s="41"/>
      <c r="UKV125" s="49"/>
      <c r="UKW125" s="41"/>
      <c r="UKX125" s="41"/>
      <c r="UKZ125" s="40"/>
      <c r="ULA125" s="47"/>
      <c r="ULB125" s="48"/>
      <c r="ULC125" s="49"/>
      <c r="ULD125" s="50"/>
      <c r="ULE125" s="50"/>
      <c r="ULF125" s="41"/>
      <c r="ULG125" s="41"/>
      <c r="ULH125" s="49"/>
      <c r="ULI125" s="41"/>
      <c r="ULJ125" s="41"/>
      <c r="ULL125" s="40"/>
      <c r="ULM125" s="47"/>
      <c r="ULN125" s="48"/>
      <c r="ULO125" s="49"/>
      <c r="ULP125" s="50"/>
      <c r="ULQ125" s="50"/>
      <c r="ULR125" s="41"/>
      <c r="ULS125" s="41"/>
      <c r="ULT125" s="49"/>
      <c r="ULU125" s="41"/>
      <c r="ULV125" s="41"/>
      <c r="ULX125" s="40"/>
      <c r="ULY125" s="47"/>
      <c r="ULZ125" s="48"/>
      <c r="UMA125" s="49"/>
      <c r="UMB125" s="50"/>
      <c r="UMC125" s="50"/>
      <c r="UMD125" s="41"/>
      <c r="UME125" s="41"/>
      <c r="UMF125" s="49"/>
      <c r="UMG125" s="41"/>
      <c r="UMH125" s="41"/>
      <c r="UMJ125" s="40"/>
      <c r="UMK125" s="47"/>
      <c r="UML125" s="48"/>
      <c r="UMM125" s="49"/>
      <c r="UMN125" s="50"/>
      <c r="UMO125" s="50"/>
      <c r="UMP125" s="41"/>
      <c r="UMQ125" s="41"/>
      <c r="UMR125" s="49"/>
      <c r="UMS125" s="41"/>
      <c r="UMT125" s="41"/>
      <c r="UMV125" s="40"/>
      <c r="UMW125" s="47"/>
      <c r="UMX125" s="48"/>
      <c r="UMY125" s="49"/>
      <c r="UMZ125" s="50"/>
      <c r="UNA125" s="50"/>
      <c r="UNB125" s="41"/>
      <c r="UNC125" s="41"/>
      <c r="UND125" s="49"/>
      <c r="UNE125" s="41"/>
      <c r="UNF125" s="41"/>
      <c r="UNH125" s="40"/>
      <c r="UNI125" s="47"/>
      <c r="UNJ125" s="48"/>
      <c r="UNK125" s="49"/>
      <c r="UNL125" s="50"/>
      <c r="UNM125" s="50"/>
      <c r="UNN125" s="41"/>
      <c r="UNO125" s="41"/>
      <c r="UNP125" s="49"/>
      <c r="UNQ125" s="41"/>
      <c r="UNR125" s="41"/>
      <c r="UNT125" s="40"/>
      <c r="UNU125" s="47"/>
      <c r="UNV125" s="48"/>
      <c r="UNW125" s="49"/>
      <c r="UNX125" s="50"/>
      <c r="UNY125" s="50"/>
      <c r="UNZ125" s="41"/>
      <c r="UOA125" s="41"/>
      <c r="UOB125" s="49"/>
      <c r="UOC125" s="41"/>
      <c r="UOD125" s="41"/>
      <c r="UOF125" s="40"/>
      <c r="UOG125" s="47"/>
      <c r="UOH125" s="48"/>
      <c r="UOI125" s="49"/>
      <c r="UOJ125" s="50"/>
      <c r="UOK125" s="50"/>
      <c r="UOL125" s="41"/>
      <c r="UOM125" s="41"/>
      <c r="UON125" s="49"/>
      <c r="UOO125" s="41"/>
      <c r="UOP125" s="41"/>
      <c r="UOR125" s="40"/>
      <c r="UOS125" s="47"/>
      <c r="UOT125" s="48"/>
      <c r="UOU125" s="49"/>
      <c r="UOV125" s="50"/>
      <c r="UOW125" s="50"/>
      <c r="UOX125" s="41"/>
      <c r="UOY125" s="41"/>
      <c r="UOZ125" s="49"/>
      <c r="UPA125" s="41"/>
      <c r="UPB125" s="41"/>
      <c r="UPD125" s="40"/>
      <c r="UPE125" s="47"/>
      <c r="UPF125" s="48"/>
      <c r="UPG125" s="49"/>
      <c r="UPH125" s="50"/>
      <c r="UPI125" s="50"/>
      <c r="UPJ125" s="41"/>
      <c r="UPK125" s="41"/>
      <c r="UPL125" s="49"/>
      <c r="UPM125" s="41"/>
      <c r="UPN125" s="41"/>
      <c r="UPP125" s="40"/>
      <c r="UPQ125" s="47"/>
      <c r="UPR125" s="48"/>
      <c r="UPS125" s="49"/>
      <c r="UPT125" s="50"/>
      <c r="UPU125" s="50"/>
      <c r="UPV125" s="41"/>
      <c r="UPW125" s="41"/>
      <c r="UPX125" s="49"/>
      <c r="UPY125" s="41"/>
      <c r="UPZ125" s="41"/>
      <c r="UQB125" s="40"/>
      <c r="UQC125" s="47"/>
      <c r="UQD125" s="48"/>
      <c r="UQE125" s="49"/>
      <c r="UQF125" s="50"/>
      <c r="UQG125" s="50"/>
      <c r="UQH125" s="41"/>
      <c r="UQI125" s="41"/>
      <c r="UQJ125" s="49"/>
      <c r="UQK125" s="41"/>
      <c r="UQL125" s="41"/>
      <c r="UQN125" s="40"/>
      <c r="UQO125" s="47"/>
      <c r="UQP125" s="48"/>
      <c r="UQQ125" s="49"/>
      <c r="UQR125" s="50"/>
      <c r="UQS125" s="50"/>
      <c r="UQT125" s="41"/>
      <c r="UQU125" s="41"/>
      <c r="UQV125" s="49"/>
      <c r="UQW125" s="41"/>
      <c r="UQX125" s="41"/>
      <c r="UQZ125" s="40"/>
      <c r="URA125" s="47"/>
      <c r="URB125" s="48"/>
      <c r="URC125" s="49"/>
      <c r="URD125" s="50"/>
      <c r="URE125" s="50"/>
      <c r="URF125" s="41"/>
      <c r="URG125" s="41"/>
      <c r="URH125" s="49"/>
      <c r="URI125" s="41"/>
      <c r="URJ125" s="41"/>
      <c r="URL125" s="40"/>
      <c r="URM125" s="47"/>
      <c r="URN125" s="48"/>
      <c r="URO125" s="49"/>
      <c r="URP125" s="50"/>
      <c r="URQ125" s="50"/>
      <c r="URR125" s="41"/>
      <c r="URS125" s="41"/>
      <c r="URT125" s="49"/>
      <c r="URU125" s="41"/>
      <c r="URV125" s="41"/>
      <c r="URX125" s="40"/>
      <c r="URY125" s="47"/>
      <c r="URZ125" s="48"/>
      <c r="USA125" s="49"/>
      <c r="USB125" s="50"/>
      <c r="USC125" s="50"/>
      <c r="USD125" s="41"/>
      <c r="USE125" s="41"/>
      <c r="USF125" s="49"/>
      <c r="USG125" s="41"/>
      <c r="USH125" s="41"/>
      <c r="USJ125" s="40"/>
      <c r="USK125" s="47"/>
      <c r="USL125" s="48"/>
      <c r="USM125" s="49"/>
      <c r="USN125" s="50"/>
      <c r="USO125" s="50"/>
      <c r="USP125" s="41"/>
      <c r="USQ125" s="41"/>
      <c r="USR125" s="49"/>
      <c r="USS125" s="41"/>
      <c r="UST125" s="41"/>
      <c r="USV125" s="40"/>
      <c r="USW125" s="47"/>
      <c r="USX125" s="48"/>
      <c r="USY125" s="49"/>
      <c r="USZ125" s="50"/>
      <c r="UTA125" s="50"/>
      <c r="UTB125" s="41"/>
      <c r="UTC125" s="41"/>
      <c r="UTD125" s="49"/>
      <c r="UTE125" s="41"/>
      <c r="UTF125" s="41"/>
      <c r="UTH125" s="40"/>
      <c r="UTI125" s="47"/>
      <c r="UTJ125" s="48"/>
      <c r="UTK125" s="49"/>
      <c r="UTL125" s="50"/>
      <c r="UTM125" s="50"/>
      <c r="UTN125" s="41"/>
      <c r="UTO125" s="41"/>
      <c r="UTP125" s="49"/>
      <c r="UTQ125" s="41"/>
      <c r="UTR125" s="41"/>
      <c r="UTT125" s="40"/>
      <c r="UTU125" s="47"/>
      <c r="UTV125" s="48"/>
      <c r="UTW125" s="49"/>
      <c r="UTX125" s="50"/>
      <c r="UTY125" s="50"/>
      <c r="UTZ125" s="41"/>
      <c r="UUA125" s="41"/>
      <c r="UUB125" s="49"/>
      <c r="UUC125" s="41"/>
      <c r="UUD125" s="41"/>
      <c r="UUF125" s="40"/>
      <c r="UUG125" s="47"/>
      <c r="UUH125" s="48"/>
      <c r="UUI125" s="49"/>
      <c r="UUJ125" s="50"/>
      <c r="UUK125" s="50"/>
      <c r="UUL125" s="41"/>
      <c r="UUM125" s="41"/>
      <c r="UUN125" s="49"/>
      <c r="UUO125" s="41"/>
      <c r="UUP125" s="41"/>
      <c r="UUR125" s="40"/>
      <c r="UUS125" s="47"/>
      <c r="UUT125" s="48"/>
      <c r="UUU125" s="49"/>
      <c r="UUV125" s="50"/>
      <c r="UUW125" s="50"/>
      <c r="UUX125" s="41"/>
      <c r="UUY125" s="41"/>
      <c r="UUZ125" s="49"/>
      <c r="UVA125" s="41"/>
      <c r="UVB125" s="41"/>
      <c r="UVD125" s="40"/>
      <c r="UVE125" s="47"/>
      <c r="UVF125" s="48"/>
      <c r="UVG125" s="49"/>
      <c r="UVH125" s="50"/>
      <c r="UVI125" s="50"/>
      <c r="UVJ125" s="41"/>
      <c r="UVK125" s="41"/>
      <c r="UVL125" s="49"/>
      <c r="UVM125" s="41"/>
      <c r="UVN125" s="41"/>
      <c r="UVP125" s="40"/>
      <c r="UVQ125" s="47"/>
      <c r="UVR125" s="48"/>
      <c r="UVS125" s="49"/>
      <c r="UVT125" s="50"/>
      <c r="UVU125" s="50"/>
      <c r="UVV125" s="41"/>
      <c r="UVW125" s="41"/>
      <c r="UVX125" s="49"/>
      <c r="UVY125" s="41"/>
      <c r="UVZ125" s="41"/>
      <c r="UWB125" s="40"/>
      <c r="UWC125" s="47"/>
      <c r="UWD125" s="48"/>
      <c r="UWE125" s="49"/>
      <c r="UWF125" s="50"/>
      <c r="UWG125" s="50"/>
      <c r="UWH125" s="41"/>
      <c r="UWI125" s="41"/>
      <c r="UWJ125" s="49"/>
      <c r="UWK125" s="41"/>
      <c r="UWL125" s="41"/>
      <c r="UWN125" s="40"/>
      <c r="UWO125" s="47"/>
      <c r="UWP125" s="48"/>
      <c r="UWQ125" s="49"/>
      <c r="UWR125" s="50"/>
      <c r="UWS125" s="50"/>
      <c r="UWT125" s="41"/>
      <c r="UWU125" s="41"/>
      <c r="UWV125" s="49"/>
      <c r="UWW125" s="41"/>
      <c r="UWX125" s="41"/>
      <c r="UWZ125" s="40"/>
      <c r="UXA125" s="47"/>
      <c r="UXB125" s="48"/>
      <c r="UXC125" s="49"/>
      <c r="UXD125" s="50"/>
      <c r="UXE125" s="50"/>
      <c r="UXF125" s="41"/>
      <c r="UXG125" s="41"/>
      <c r="UXH125" s="49"/>
      <c r="UXI125" s="41"/>
      <c r="UXJ125" s="41"/>
      <c r="UXL125" s="40"/>
      <c r="UXM125" s="47"/>
      <c r="UXN125" s="48"/>
      <c r="UXO125" s="49"/>
      <c r="UXP125" s="50"/>
      <c r="UXQ125" s="50"/>
      <c r="UXR125" s="41"/>
      <c r="UXS125" s="41"/>
      <c r="UXT125" s="49"/>
      <c r="UXU125" s="41"/>
      <c r="UXV125" s="41"/>
      <c r="UXX125" s="40"/>
      <c r="UXY125" s="47"/>
      <c r="UXZ125" s="48"/>
      <c r="UYA125" s="49"/>
      <c r="UYB125" s="50"/>
      <c r="UYC125" s="50"/>
      <c r="UYD125" s="41"/>
      <c r="UYE125" s="41"/>
      <c r="UYF125" s="49"/>
      <c r="UYG125" s="41"/>
      <c r="UYH125" s="41"/>
      <c r="UYJ125" s="40"/>
      <c r="UYK125" s="47"/>
      <c r="UYL125" s="48"/>
      <c r="UYM125" s="49"/>
      <c r="UYN125" s="50"/>
      <c r="UYO125" s="50"/>
      <c r="UYP125" s="41"/>
      <c r="UYQ125" s="41"/>
      <c r="UYR125" s="49"/>
      <c r="UYS125" s="41"/>
      <c r="UYT125" s="41"/>
      <c r="UYV125" s="40"/>
      <c r="UYW125" s="47"/>
      <c r="UYX125" s="48"/>
      <c r="UYY125" s="49"/>
      <c r="UYZ125" s="50"/>
      <c r="UZA125" s="50"/>
      <c r="UZB125" s="41"/>
      <c r="UZC125" s="41"/>
      <c r="UZD125" s="49"/>
      <c r="UZE125" s="41"/>
      <c r="UZF125" s="41"/>
      <c r="UZH125" s="40"/>
      <c r="UZI125" s="47"/>
      <c r="UZJ125" s="48"/>
      <c r="UZK125" s="49"/>
      <c r="UZL125" s="50"/>
      <c r="UZM125" s="50"/>
      <c r="UZN125" s="41"/>
      <c r="UZO125" s="41"/>
      <c r="UZP125" s="49"/>
      <c r="UZQ125" s="41"/>
      <c r="UZR125" s="41"/>
      <c r="UZT125" s="40"/>
      <c r="UZU125" s="47"/>
      <c r="UZV125" s="48"/>
      <c r="UZW125" s="49"/>
      <c r="UZX125" s="50"/>
      <c r="UZY125" s="50"/>
      <c r="UZZ125" s="41"/>
      <c r="VAA125" s="41"/>
      <c r="VAB125" s="49"/>
      <c r="VAC125" s="41"/>
      <c r="VAD125" s="41"/>
      <c r="VAF125" s="40"/>
      <c r="VAG125" s="47"/>
      <c r="VAH125" s="48"/>
      <c r="VAI125" s="49"/>
      <c r="VAJ125" s="50"/>
      <c r="VAK125" s="50"/>
      <c r="VAL125" s="41"/>
      <c r="VAM125" s="41"/>
      <c r="VAN125" s="49"/>
      <c r="VAO125" s="41"/>
      <c r="VAP125" s="41"/>
      <c r="VAR125" s="40"/>
      <c r="VAS125" s="47"/>
      <c r="VAT125" s="48"/>
      <c r="VAU125" s="49"/>
      <c r="VAV125" s="50"/>
      <c r="VAW125" s="50"/>
      <c r="VAX125" s="41"/>
      <c r="VAY125" s="41"/>
      <c r="VAZ125" s="49"/>
      <c r="VBA125" s="41"/>
      <c r="VBB125" s="41"/>
      <c r="VBD125" s="40"/>
      <c r="VBE125" s="47"/>
      <c r="VBF125" s="48"/>
      <c r="VBG125" s="49"/>
      <c r="VBH125" s="50"/>
      <c r="VBI125" s="50"/>
      <c r="VBJ125" s="41"/>
      <c r="VBK125" s="41"/>
      <c r="VBL125" s="49"/>
      <c r="VBM125" s="41"/>
      <c r="VBN125" s="41"/>
      <c r="VBP125" s="40"/>
      <c r="VBQ125" s="47"/>
      <c r="VBR125" s="48"/>
      <c r="VBS125" s="49"/>
      <c r="VBT125" s="50"/>
      <c r="VBU125" s="50"/>
      <c r="VBV125" s="41"/>
      <c r="VBW125" s="41"/>
      <c r="VBX125" s="49"/>
      <c r="VBY125" s="41"/>
      <c r="VBZ125" s="41"/>
      <c r="VCB125" s="40"/>
      <c r="VCC125" s="47"/>
      <c r="VCD125" s="48"/>
      <c r="VCE125" s="49"/>
      <c r="VCF125" s="50"/>
      <c r="VCG125" s="50"/>
      <c r="VCH125" s="41"/>
      <c r="VCI125" s="41"/>
      <c r="VCJ125" s="49"/>
      <c r="VCK125" s="41"/>
      <c r="VCL125" s="41"/>
      <c r="VCN125" s="40"/>
      <c r="VCO125" s="47"/>
      <c r="VCP125" s="48"/>
      <c r="VCQ125" s="49"/>
      <c r="VCR125" s="50"/>
      <c r="VCS125" s="50"/>
      <c r="VCT125" s="41"/>
      <c r="VCU125" s="41"/>
      <c r="VCV125" s="49"/>
      <c r="VCW125" s="41"/>
      <c r="VCX125" s="41"/>
      <c r="VCZ125" s="40"/>
      <c r="VDA125" s="47"/>
      <c r="VDB125" s="48"/>
      <c r="VDC125" s="49"/>
      <c r="VDD125" s="50"/>
      <c r="VDE125" s="50"/>
      <c r="VDF125" s="41"/>
      <c r="VDG125" s="41"/>
      <c r="VDH125" s="49"/>
      <c r="VDI125" s="41"/>
      <c r="VDJ125" s="41"/>
      <c r="VDL125" s="40"/>
      <c r="VDM125" s="47"/>
      <c r="VDN125" s="48"/>
      <c r="VDO125" s="49"/>
      <c r="VDP125" s="50"/>
      <c r="VDQ125" s="50"/>
      <c r="VDR125" s="41"/>
      <c r="VDS125" s="41"/>
      <c r="VDT125" s="49"/>
      <c r="VDU125" s="41"/>
      <c r="VDV125" s="41"/>
      <c r="VDX125" s="40"/>
      <c r="VDY125" s="47"/>
      <c r="VDZ125" s="48"/>
      <c r="VEA125" s="49"/>
      <c r="VEB125" s="50"/>
      <c r="VEC125" s="50"/>
      <c r="VED125" s="41"/>
      <c r="VEE125" s="41"/>
      <c r="VEF125" s="49"/>
      <c r="VEG125" s="41"/>
      <c r="VEH125" s="41"/>
      <c r="VEJ125" s="40"/>
      <c r="VEK125" s="47"/>
      <c r="VEL125" s="48"/>
      <c r="VEM125" s="49"/>
      <c r="VEN125" s="50"/>
      <c r="VEO125" s="50"/>
      <c r="VEP125" s="41"/>
      <c r="VEQ125" s="41"/>
      <c r="VER125" s="49"/>
      <c r="VES125" s="41"/>
      <c r="VET125" s="41"/>
      <c r="VEV125" s="40"/>
      <c r="VEW125" s="47"/>
      <c r="VEX125" s="48"/>
      <c r="VEY125" s="49"/>
      <c r="VEZ125" s="50"/>
      <c r="VFA125" s="50"/>
      <c r="VFB125" s="41"/>
      <c r="VFC125" s="41"/>
      <c r="VFD125" s="49"/>
      <c r="VFE125" s="41"/>
      <c r="VFF125" s="41"/>
      <c r="VFH125" s="40"/>
      <c r="VFI125" s="47"/>
      <c r="VFJ125" s="48"/>
      <c r="VFK125" s="49"/>
      <c r="VFL125" s="50"/>
      <c r="VFM125" s="50"/>
      <c r="VFN125" s="41"/>
      <c r="VFO125" s="41"/>
      <c r="VFP125" s="49"/>
      <c r="VFQ125" s="41"/>
      <c r="VFR125" s="41"/>
      <c r="VFT125" s="40"/>
      <c r="VFU125" s="47"/>
      <c r="VFV125" s="48"/>
      <c r="VFW125" s="49"/>
      <c r="VFX125" s="50"/>
      <c r="VFY125" s="50"/>
      <c r="VFZ125" s="41"/>
      <c r="VGA125" s="41"/>
      <c r="VGB125" s="49"/>
      <c r="VGC125" s="41"/>
      <c r="VGD125" s="41"/>
      <c r="VGF125" s="40"/>
      <c r="VGG125" s="47"/>
      <c r="VGH125" s="48"/>
      <c r="VGI125" s="49"/>
      <c r="VGJ125" s="50"/>
      <c r="VGK125" s="50"/>
      <c r="VGL125" s="41"/>
      <c r="VGM125" s="41"/>
      <c r="VGN125" s="49"/>
      <c r="VGO125" s="41"/>
      <c r="VGP125" s="41"/>
      <c r="VGR125" s="40"/>
      <c r="VGS125" s="47"/>
      <c r="VGT125" s="48"/>
      <c r="VGU125" s="49"/>
      <c r="VGV125" s="50"/>
      <c r="VGW125" s="50"/>
      <c r="VGX125" s="41"/>
      <c r="VGY125" s="41"/>
      <c r="VGZ125" s="49"/>
      <c r="VHA125" s="41"/>
      <c r="VHB125" s="41"/>
      <c r="VHD125" s="40"/>
      <c r="VHE125" s="47"/>
      <c r="VHF125" s="48"/>
      <c r="VHG125" s="49"/>
      <c r="VHH125" s="50"/>
      <c r="VHI125" s="50"/>
      <c r="VHJ125" s="41"/>
      <c r="VHK125" s="41"/>
      <c r="VHL125" s="49"/>
      <c r="VHM125" s="41"/>
      <c r="VHN125" s="41"/>
      <c r="VHP125" s="40"/>
      <c r="VHQ125" s="47"/>
      <c r="VHR125" s="48"/>
      <c r="VHS125" s="49"/>
      <c r="VHT125" s="50"/>
      <c r="VHU125" s="50"/>
      <c r="VHV125" s="41"/>
      <c r="VHW125" s="41"/>
      <c r="VHX125" s="49"/>
      <c r="VHY125" s="41"/>
      <c r="VHZ125" s="41"/>
      <c r="VIB125" s="40"/>
      <c r="VIC125" s="47"/>
      <c r="VID125" s="48"/>
      <c r="VIE125" s="49"/>
      <c r="VIF125" s="50"/>
      <c r="VIG125" s="50"/>
      <c r="VIH125" s="41"/>
      <c r="VII125" s="41"/>
      <c r="VIJ125" s="49"/>
      <c r="VIK125" s="41"/>
      <c r="VIL125" s="41"/>
      <c r="VIN125" s="40"/>
      <c r="VIO125" s="47"/>
      <c r="VIP125" s="48"/>
      <c r="VIQ125" s="49"/>
      <c r="VIR125" s="50"/>
      <c r="VIS125" s="50"/>
      <c r="VIT125" s="41"/>
      <c r="VIU125" s="41"/>
      <c r="VIV125" s="49"/>
      <c r="VIW125" s="41"/>
      <c r="VIX125" s="41"/>
      <c r="VIZ125" s="40"/>
      <c r="VJA125" s="47"/>
      <c r="VJB125" s="48"/>
      <c r="VJC125" s="49"/>
      <c r="VJD125" s="50"/>
      <c r="VJE125" s="50"/>
      <c r="VJF125" s="41"/>
      <c r="VJG125" s="41"/>
      <c r="VJH125" s="49"/>
      <c r="VJI125" s="41"/>
      <c r="VJJ125" s="41"/>
      <c r="VJL125" s="40"/>
      <c r="VJM125" s="47"/>
      <c r="VJN125" s="48"/>
      <c r="VJO125" s="49"/>
      <c r="VJP125" s="50"/>
      <c r="VJQ125" s="50"/>
      <c r="VJR125" s="41"/>
      <c r="VJS125" s="41"/>
      <c r="VJT125" s="49"/>
      <c r="VJU125" s="41"/>
      <c r="VJV125" s="41"/>
      <c r="VJX125" s="40"/>
      <c r="VJY125" s="47"/>
      <c r="VJZ125" s="48"/>
      <c r="VKA125" s="49"/>
      <c r="VKB125" s="50"/>
      <c r="VKC125" s="50"/>
      <c r="VKD125" s="41"/>
      <c r="VKE125" s="41"/>
      <c r="VKF125" s="49"/>
      <c r="VKG125" s="41"/>
      <c r="VKH125" s="41"/>
      <c r="VKJ125" s="40"/>
      <c r="VKK125" s="47"/>
      <c r="VKL125" s="48"/>
      <c r="VKM125" s="49"/>
      <c r="VKN125" s="50"/>
      <c r="VKO125" s="50"/>
      <c r="VKP125" s="41"/>
      <c r="VKQ125" s="41"/>
      <c r="VKR125" s="49"/>
      <c r="VKS125" s="41"/>
      <c r="VKT125" s="41"/>
      <c r="VKV125" s="40"/>
      <c r="VKW125" s="47"/>
      <c r="VKX125" s="48"/>
      <c r="VKY125" s="49"/>
      <c r="VKZ125" s="50"/>
      <c r="VLA125" s="50"/>
      <c r="VLB125" s="41"/>
      <c r="VLC125" s="41"/>
      <c r="VLD125" s="49"/>
      <c r="VLE125" s="41"/>
      <c r="VLF125" s="41"/>
      <c r="VLH125" s="40"/>
      <c r="VLI125" s="47"/>
      <c r="VLJ125" s="48"/>
      <c r="VLK125" s="49"/>
      <c r="VLL125" s="50"/>
      <c r="VLM125" s="50"/>
      <c r="VLN125" s="41"/>
      <c r="VLO125" s="41"/>
      <c r="VLP125" s="49"/>
      <c r="VLQ125" s="41"/>
      <c r="VLR125" s="41"/>
      <c r="VLT125" s="40"/>
      <c r="VLU125" s="47"/>
      <c r="VLV125" s="48"/>
      <c r="VLW125" s="49"/>
      <c r="VLX125" s="50"/>
      <c r="VLY125" s="50"/>
      <c r="VLZ125" s="41"/>
      <c r="VMA125" s="41"/>
      <c r="VMB125" s="49"/>
      <c r="VMC125" s="41"/>
      <c r="VMD125" s="41"/>
      <c r="VMF125" s="40"/>
      <c r="VMG125" s="47"/>
      <c r="VMH125" s="48"/>
      <c r="VMI125" s="49"/>
      <c r="VMJ125" s="50"/>
      <c r="VMK125" s="50"/>
      <c r="VML125" s="41"/>
      <c r="VMM125" s="41"/>
      <c r="VMN125" s="49"/>
      <c r="VMO125" s="41"/>
      <c r="VMP125" s="41"/>
      <c r="VMR125" s="40"/>
      <c r="VMS125" s="47"/>
      <c r="VMT125" s="48"/>
      <c r="VMU125" s="49"/>
      <c r="VMV125" s="50"/>
      <c r="VMW125" s="50"/>
      <c r="VMX125" s="41"/>
      <c r="VMY125" s="41"/>
      <c r="VMZ125" s="49"/>
      <c r="VNA125" s="41"/>
      <c r="VNB125" s="41"/>
      <c r="VND125" s="40"/>
      <c r="VNE125" s="47"/>
      <c r="VNF125" s="48"/>
      <c r="VNG125" s="49"/>
      <c r="VNH125" s="50"/>
      <c r="VNI125" s="50"/>
      <c r="VNJ125" s="41"/>
      <c r="VNK125" s="41"/>
      <c r="VNL125" s="49"/>
      <c r="VNM125" s="41"/>
      <c r="VNN125" s="41"/>
      <c r="VNP125" s="40"/>
      <c r="VNQ125" s="47"/>
      <c r="VNR125" s="48"/>
      <c r="VNS125" s="49"/>
      <c r="VNT125" s="50"/>
      <c r="VNU125" s="50"/>
      <c r="VNV125" s="41"/>
      <c r="VNW125" s="41"/>
      <c r="VNX125" s="49"/>
      <c r="VNY125" s="41"/>
      <c r="VNZ125" s="41"/>
      <c r="VOB125" s="40"/>
      <c r="VOC125" s="47"/>
      <c r="VOD125" s="48"/>
      <c r="VOE125" s="49"/>
      <c r="VOF125" s="50"/>
      <c r="VOG125" s="50"/>
      <c r="VOH125" s="41"/>
      <c r="VOI125" s="41"/>
      <c r="VOJ125" s="49"/>
      <c r="VOK125" s="41"/>
      <c r="VOL125" s="41"/>
      <c r="VON125" s="40"/>
      <c r="VOO125" s="47"/>
      <c r="VOP125" s="48"/>
      <c r="VOQ125" s="49"/>
      <c r="VOR125" s="50"/>
      <c r="VOS125" s="50"/>
      <c r="VOT125" s="41"/>
      <c r="VOU125" s="41"/>
      <c r="VOV125" s="49"/>
      <c r="VOW125" s="41"/>
      <c r="VOX125" s="41"/>
      <c r="VOZ125" s="40"/>
      <c r="VPA125" s="47"/>
      <c r="VPB125" s="48"/>
      <c r="VPC125" s="49"/>
      <c r="VPD125" s="50"/>
      <c r="VPE125" s="50"/>
      <c r="VPF125" s="41"/>
      <c r="VPG125" s="41"/>
      <c r="VPH125" s="49"/>
      <c r="VPI125" s="41"/>
      <c r="VPJ125" s="41"/>
      <c r="VPL125" s="40"/>
      <c r="VPM125" s="47"/>
      <c r="VPN125" s="48"/>
      <c r="VPO125" s="49"/>
      <c r="VPP125" s="50"/>
      <c r="VPQ125" s="50"/>
      <c r="VPR125" s="41"/>
      <c r="VPS125" s="41"/>
      <c r="VPT125" s="49"/>
      <c r="VPU125" s="41"/>
      <c r="VPV125" s="41"/>
      <c r="VPX125" s="40"/>
      <c r="VPY125" s="47"/>
      <c r="VPZ125" s="48"/>
      <c r="VQA125" s="49"/>
      <c r="VQB125" s="50"/>
      <c r="VQC125" s="50"/>
      <c r="VQD125" s="41"/>
      <c r="VQE125" s="41"/>
      <c r="VQF125" s="49"/>
      <c r="VQG125" s="41"/>
      <c r="VQH125" s="41"/>
      <c r="VQJ125" s="40"/>
      <c r="VQK125" s="47"/>
      <c r="VQL125" s="48"/>
      <c r="VQM125" s="49"/>
      <c r="VQN125" s="50"/>
      <c r="VQO125" s="50"/>
      <c r="VQP125" s="41"/>
      <c r="VQQ125" s="41"/>
      <c r="VQR125" s="49"/>
      <c r="VQS125" s="41"/>
      <c r="VQT125" s="41"/>
      <c r="VQV125" s="40"/>
      <c r="VQW125" s="47"/>
      <c r="VQX125" s="48"/>
      <c r="VQY125" s="49"/>
      <c r="VQZ125" s="50"/>
      <c r="VRA125" s="50"/>
      <c r="VRB125" s="41"/>
      <c r="VRC125" s="41"/>
      <c r="VRD125" s="49"/>
      <c r="VRE125" s="41"/>
      <c r="VRF125" s="41"/>
      <c r="VRH125" s="40"/>
      <c r="VRI125" s="47"/>
      <c r="VRJ125" s="48"/>
      <c r="VRK125" s="49"/>
      <c r="VRL125" s="50"/>
      <c r="VRM125" s="50"/>
      <c r="VRN125" s="41"/>
      <c r="VRO125" s="41"/>
      <c r="VRP125" s="49"/>
      <c r="VRQ125" s="41"/>
      <c r="VRR125" s="41"/>
      <c r="VRT125" s="40"/>
      <c r="VRU125" s="47"/>
      <c r="VRV125" s="48"/>
      <c r="VRW125" s="49"/>
      <c r="VRX125" s="50"/>
      <c r="VRY125" s="50"/>
      <c r="VRZ125" s="41"/>
      <c r="VSA125" s="41"/>
      <c r="VSB125" s="49"/>
      <c r="VSC125" s="41"/>
      <c r="VSD125" s="41"/>
      <c r="VSF125" s="40"/>
      <c r="VSG125" s="47"/>
      <c r="VSH125" s="48"/>
      <c r="VSI125" s="49"/>
      <c r="VSJ125" s="50"/>
      <c r="VSK125" s="50"/>
      <c r="VSL125" s="41"/>
      <c r="VSM125" s="41"/>
      <c r="VSN125" s="49"/>
      <c r="VSO125" s="41"/>
      <c r="VSP125" s="41"/>
      <c r="VSR125" s="40"/>
      <c r="VSS125" s="47"/>
      <c r="VST125" s="48"/>
      <c r="VSU125" s="49"/>
      <c r="VSV125" s="50"/>
      <c r="VSW125" s="50"/>
      <c r="VSX125" s="41"/>
      <c r="VSY125" s="41"/>
      <c r="VSZ125" s="49"/>
      <c r="VTA125" s="41"/>
      <c r="VTB125" s="41"/>
      <c r="VTD125" s="40"/>
      <c r="VTE125" s="47"/>
      <c r="VTF125" s="48"/>
      <c r="VTG125" s="49"/>
      <c r="VTH125" s="50"/>
      <c r="VTI125" s="50"/>
      <c r="VTJ125" s="41"/>
      <c r="VTK125" s="41"/>
      <c r="VTL125" s="49"/>
      <c r="VTM125" s="41"/>
      <c r="VTN125" s="41"/>
      <c r="VTP125" s="40"/>
      <c r="VTQ125" s="47"/>
      <c r="VTR125" s="48"/>
      <c r="VTS125" s="49"/>
      <c r="VTT125" s="50"/>
      <c r="VTU125" s="50"/>
      <c r="VTV125" s="41"/>
      <c r="VTW125" s="41"/>
      <c r="VTX125" s="49"/>
      <c r="VTY125" s="41"/>
      <c r="VTZ125" s="41"/>
      <c r="VUB125" s="40"/>
      <c r="VUC125" s="47"/>
      <c r="VUD125" s="48"/>
      <c r="VUE125" s="49"/>
      <c r="VUF125" s="50"/>
      <c r="VUG125" s="50"/>
      <c r="VUH125" s="41"/>
      <c r="VUI125" s="41"/>
      <c r="VUJ125" s="49"/>
      <c r="VUK125" s="41"/>
      <c r="VUL125" s="41"/>
      <c r="VUN125" s="40"/>
      <c r="VUO125" s="47"/>
      <c r="VUP125" s="48"/>
      <c r="VUQ125" s="49"/>
      <c r="VUR125" s="50"/>
      <c r="VUS125" s="50"/>
      <c r="VUT125" s="41"/>
      <c r="VUU125" s="41"/>
      <c r="VUV125" s="49"/>
      <c r="VUW125" s="41"/>
      <c r="VUX125" s="41"/>
      <c r="VUZ125" s="40"/>
      <c r="VVA125" s="47"/>
      <c r="VVB125" s="48"/>
      <c r="VVC125" s="49"/>
      <c r="VVD125" s="50"/>
      <c r="VVE125" s="50"/>
      <c r="VVF125" s="41"/>
      <c r="VVG125" s="41"/>
      <c r="VVH125" s="49"/>
      <c r="VVI125" s="41"/>
      <c r="VVJ125" s="41"/>
      <c r="VVL125" s="40"/>
      <c r="VVM125" s="47"/>
      <c r="VVN125" s="48"/>
      <c r="VVO125" s="49"/>
      <c r="VVP125" s="50"/>
      <c r="VVQ125" s="50"/>
      <c r="VVR125" s="41"/>
      <c r="VVS125" s="41"/>
      <c r="VVT125" s="49"/>
      <c r="VVU125" s="41"/>
      <c r="VVV125" s="41"/>
      <c r="VVX125" s="40"/>
      <c r="VVY125" s="47"/>
      <c r="VVZ125" s="48"/>
      <c r="VWA125" s="49"/>
      <c r="VWB125" s="50"/>
      <c r="VWC125" s="50"/>
      <c r="VWD125" s="41"/>
      <c r="VWE125" s="41"/>
      <c r="VWF125" s="49"/>
      <c r="VWG125" s="41"/>
      <c r="VWH125" s="41"/>
      <c r="VWJ125" s="40"/>
      <c r="VWK125" s="47"/>
      <c r="VWL125" s="48"/>
      <c r="VWM125" s="49"/>
      <c r="VWN125" s="50"/>
      <c r="VWO125" s="50"/>
      <c r="VWP125" s="41"/>
      <c r="VWQ125" s="41"/>
      <c r="VWR125" s="49"/>
      <c r="VWS125" s="41"/>
      <c r="VWT125" s="41"/>
      <c r="VWV125" s="40"/>
      <c r="VWW125" s="47"/>
      <c r="VWX125" s="48"/>
      <c r="VWY125" s="49"/>
      <c r="VWZ125" s="50"/>
      <c r="VXA125" s="50"/>
      <c r="VXB125" s="41"/>
      <c r="VXC125" s="41"/>
      <c r="VXD125" s="49"/>
      <c r="VXE125" s="41"/>
      <c r="VXF125" s="41"/>
      <c r="VXH125" s="40"/>
      <c r="VXI125" s="47"/>
      <c r="VXJ125" s="48"/>
      <c r="VXK125" s="49"/>
      <c r="VXL125" s="50"/>
      <c r="VXM125" s="50"/>
      <c r="VXN125" s="41"/>
      <c r="VXO125" s="41"/>
      <c r="VXP125" s="49"/>
      <c r="VXQ125" s="41"/>
      <c r="VXR125" s="41"/>
      <c r="VXT125" s="40"/>
      <c r="VXU125" s="47"/>
      <c r="VXV125" s="48"/>
      <c r="VXW125" s="49"/>
      <c r="VXX125" s="50"/>
      <c r="VXY125" s="50"/>
      <c r="VXZ125" s="41"/>
      <c r="VYA125" s="41"/>
      <c r="VYB125" s="49"/>
      <c r="VYC125" s="41"/>
      <c r="VYD125" s="41"/>
      <c r="VYF125" s="40"/>
      <c r="VYG125" s="47"/>
      <c r="VYH125" s="48"/>
      <c r="VYI125" s="49"/>
      <c r="VYJ125" s="50"/>
      <c r="VYK125" s="50"/>
      <c r="VYL125" s="41"/>
      <c r="VYM125" s="41"/>
      <c r="VYN125" s="49"/>
      <c r="VYO125" s="41"/>
      <c r="VYP125" s="41"/>
      <c r="VYR125" s="40"/>
      <c r="VYS125" s="47"/>
      <c r="VYT125" s="48"/>
      <c r="VYU125" s="49"/>
      <c r="VYV125" s="50"/>
      <c r="VYW125" s="50"/>
      <c r="VYX125" s="41"/>
      <c r="VYY125" s="41"/>
      <c r="VYZ125" s="49"/>
      <c r="VZA125" s="41"/>
      <c r="VZB125" s="41"/>
      <c r="VZD125" s="40"/>
      <c r="VZE125" s="47"/>
      <c r="VZF125" s="48"/>
      <c r="VZG125" s="49"/>
      <c r="VZH125" s="50"/>
      <c r="VZI125" s="50"/>
      <c r="VZJ125" s="41"/>
      <c r="VZK125" s="41"/>
      <c r="VZL125" s="49"/>
      <c r="VZM125" s="41"/>
      <c r="VZN125" s="41"/>
      <c r="VZP125" s="40"/>
      <c r="VZQ125" s="47"/>
      <c r="VZR125" s="48"/>
      <c r="VZS125" s="49"/>
      <c r="VZT125" s="50"/>
      <c r="VZU125" s="50"/>
      <c r="VZV125" s="41"/>
      <c r="VZW125" s="41"/>
      <c r="VZX125" s="49"/>
      <c r="VZY125" s="41"/>
      <c r="VZZ125" s="41"/>
      <c r="WAB125" s="40"/>
      <c r="WAC125" s="47"/>
      <c r="WAD125" s="48"/>
      <c r="WAE125" s="49"/>
      <c r="WAF125" s="50"/>
      <c r="WAG125" s="50"/>
      <c r="WAH125" s="41"/>
      <c r="WAI125" s="41"/>
      <c r="WAJ125" s="49"/>
      <c r="WAK125" s="41"/>
      <c r="WAL125" s="41"/>
      <c r="WAN125" s="40"/>
      <c r="WAO125" s="47"/>
      <c r="WAP125" s="48"/>
      <c r="WAQ125" s="49"/>
      <c r="WAR125" s="50"/>
      <c r="WAS125" s="50"/>
      <c r="WAT125" s="41"/>
      <c r="WAU125" s="41"/>
      <c r="WAV125" s="49"/>
      <c r="WAW125" s="41"/>
      <c r="WAX125" s="41"/>
      <c r="WAZ125" s="40"/>
      <c r="WBA125" s="47"/>
      <c r="WBB125" s="48"/>
      <c r="WBC125" s="49"/>
      <c r="WBD125" s="50"/>
      <c r="WBE125" s="50"/>
      <c r="WBF125" s="41"/>
      <c r="WBG125" s="41"/>
      <c r="WBH125" s="49"/>
      <c r="WBI125" s="41"/>
      <c r="WBJ125" s="41"/>
      <c r="WBL125" s="40"/>
      <c r="WBM125" s="47"/>
      <c r="WBN125" s="48"/>
      <c r="WBO125" s="49"/>
      <c r="WBP125" s="50"/>
      <c r="WBQ125" s="50"/>
      <c r="WBR125" s="41"/>
      <c r="WBS125" s="41"/>
      <c r="WBT125" s="49"/>
      <c r="WBU125" s="41"/>
      <c r="WBV125" s="41"/>
      <c r="WBX125" s="40"/>
      <c r="WBY125" s="47"/>
      <c r="WBZ125" s="48"/>
      <c r="WCA125" s="49"/>
      <c r="WCB125" s="50"/>
      <c r="WCC125" s="50"/>
      <c r="WCD125" s="41"/>
      <c r="WCE125" s="41"/>
      <c r="WCF125" s="49"/>
      <c r="WCG125" s="41"/>
      <c r="WCH125" s="41"/>
      <c r="WCJ125" s="40"/>
      <c r="WCK125" s="47"/>
      <c r="WCL125" s="48"/>
      <c r="WCM125" s="49"/>
      <c r="WCN125" s="50"/>
      <c r="WCO125" s="50"/>
      <c r="WCP125" s="41"/>
      <c r="WCQ125" s="41"/>
      <c r="WCR125" s="49"/>
      <c r="WCS125" s="41"/>
      <c r="WCT125" s="41"/>
      <c r="WCV125" s="40"/>
      <c r="WCW125" s="47"/>
      <c r="WCX125" s="48"/>
      <c r="WCY125" s="49"/>
      <c r="WCZ125" s="50"/>
      <c r="WDA125" s="50"/>
      <c r="WDB125" s="41"/>
      <c r="WDC125" s="41"/>
      <c r="WDD125" s="49"/>
      <c r="WDE125" s="41"/>
      <c r="WDF125" s="41"/>
      <c r="WDH125" s="40"/>
      <c r="WDI125" s="47"/>
      <c r="WDJ125" s="48"/>
      <c r="WDK125" s="49"/>
      <c r="WDL125" s="50"/>
      <c r="WDM125" s="50"/>
      <c r="WDN125" s="41"/>
      <c r="WDO125" s="41"/>
      <c r="WDP125" s="49"/>
      <c r="WDQ125" s="41"/>
      <c r="WDR125" s="41"/>
      <c r="WDT125" s="40"/>
      <c r="WDU125" s="47"/>
      <c r="WDV125" s="48"/>
      <c r="WDW125" s="49"/>
      <c r="WDX125" s="50"/>
      <c r="WDY125" s="50"/>
      <c r="WDZ125" s="41"/>
      <c r="WEA125" s="41"/>
      <c r="WEB125" s="49"/>
      <c r="WEC125" s="41"/>
      <c r="WED125" s="41"/>
      <c r="WEF125" s="40"/>
      <c r="WEG125" s="47"/>
      <c r="WEH125" s="48"/>
      <c r="WEI125" s="49"/>
      <c r="WEJ125" s="50"/>
      <c r="WEK125" s="50"/>
      <c r="WEL125" s="41"/>
      <c r="WEM125" s="41"/>
      <c r="WEN125" s="49"/>
      <c r="WEO125" s="41"/>
      <c r="WEP125" s="41"/>
      <c r="WER125" s="40"/>
      <c r="WES125" s="47"/>
      <c r="WET125" s="48"/>
      <c r="WEU125" s="49"/>
      <c r="WEV125" s="50"/>
      <c r="WEW125" s="50"/>
      <c r="WEX125" s="41"/>
      <c r="WEY125" s="41"/>
      <c r="WEZ125" s="49"/>
      <c r="WFA125" s="41"/>
      <c r="WFB125" s="41"/>
      <c r="WFD125" s="40"/>
      <c r="WFE125" s="47"/>
      <c r="WFF125" s="48"/>
      <c r="WFG125" s="49"/>
      <c r="WFH125" s="50"/>
      <c r="WFI125" s="50"/>
      <c r="WFJ125" s="41"/>
      <c r="WFK125" s="41"/>
      <c r="WFL125" s="49"/>
      <c r="WFM125" s="41"/>
      <c r="WFN125" s="41"/>
      <c r="WFP125" s="40"/>
      <c r="WFQ125" s="47"/>
      <c r="WFR125" s="48"/>
      <c r="WFS125" s="49"/>
      <c r="WFT125" s="50"/>
      <c r="WFU125" s="50"/>
      <c r="WFV125" s="41"/>
      <c r="WFW125" s="41"/>
      <c r="WFX125" s="49"/>
      <c r="WFY125" s="41"/>
      <c r="WFZ125" s="41"/>
      <c r="WGB125" s="40"/>
      <c r="WGC125" s="47"/>
      <c r="WGD125" s="48"/>
      <c r="WGE125" s="49"/>
      <c r="WGF125" s="50"/>
      <c r="WGG125" s="50"/>
      <c r="WGH125" s="41"/>
      <c r="WGI125" s="41"/>
      <c r="WGJ125" s="49"/>
      <c r="WGK125" s="41"/>
      <c r="WGL125" s="41"/>
      <c r="WGN125" s="40"/>
      <c r="WGO125" s="47"/>
      <c r="WGP125" s="48"/>
      <c r="WGQ125" s="49"/>
      <c r="WGR125" s="50"/>
      <c r="WGS125" s="50"/>
      <c r="WGT125" s="41"/>
      <c r="WGU125" s="41"/>
      <c r="WGV125" s="49"/>
      <c r="WGW125" s="41"/>
      <c r="WGX125" s="41"/>
      <c r="WGZ125" s="40"/>
      <c r="WHA125" s="47"/>
      <c r="WHB125" s="48"/>
      <c r="WHC125" s="49"/>
      <c r="WHD125" s="50"/>
      <c r="WHE125" s="50"/>
      <c r="WHF125" s="41"/>
      <c r="WHG125" s="41"/>
      <c r="WHH125" s="49"/>
      <c r="WHI125" s="41"/>
      <c r="WHJ125" s="41"/>
      <c r="WHL125" s="40"/>
      <c r="WHM125" s="47"/>
      <c r="WHN125" s="48"/>
      <c r="WHO125" s="49"/>
      <c r="WHP125" s="50"/>
      <c r="WHQ125" s="50"/>
      <c r="WHR125" s="41"/>
      <c r="WHS125" s="41"/>
      <c r="WHT125" s="49"/>
      <c r="WHU125" s="41"/>
      <c r="WHV125" s="41"/>
      <c r="WHX125" s="40"/>
      <c r="WHY125" s="47"/>
      <c r="WHZ125" s="48"/>
      <c r="WIA125" s="49"/>
      <c r="WIB125" s="50"/>
      <c r="WIC125" s="50"/>
      <c r="WID125" s="41"/>
      <c r="WIE125" s="41"/>
      <c r="WIF125" s="49"/>
      <c r="WIG125" s="41"/>
      <c r="WIH125" s="41"/>
      <c r="WIJ125" s="40"/>
      <c r="WIK125" s="47"/>
      <c r="WIL125" s="48"/>
      <c r="WIM125" s="49"/>
      <c r="WIN125" s="50"/>
      <c r="WIO125" s="50"/>
      <c r="WIP125" s="41"/>
      <c r="WIQ125" s="41"/>
      <c r="WIR125" s="49"/>
      <c r="WIS125" s="41"/>
      <c r="WIT125" s="41"/>
      <c r="WIV125" s="40"/>
      <c r="WIW125" s="47"/>
      <c r="WIX125" s="48"/>
      <c r="WIY125" s="49"/>
      <c r="WIZ125" s="50"/>
      <c r="WJA125" s="50"/>
      <c r="WJB125" s="41"/>
      <c r="WJC125" s="41"/>
      <c r="WJD125" s="49"/>
      <c r="WJE125" s="41"/>
      <c r="WJF125" s="41"/>
      <c r="WJH125" s="40"/>
      <c r="WJI125" s="47"/>
      <c r="WJJ125" s="48"/>
      <c r="WJK125" s="49"/>
      <c r="WJL125" s="50"/>
      <c r="WJM125" s="50"/>
      <c r="WJN125" s="41"/>
      <c r="WJO125" s="41"/>
      <c r="WJP125" s="49"/>
      <c r="WJQ125" s="41"/>
      <c r="WJR125" s="41"/>
      <c r="WJT125" s="40"/>
      <c r="WJU125" s="47"/>
      <c r="WJV125" s="48"/>
      <c r="WJW125" s="49"/>
      <c r="WJX125" s="50"/>
      <c r="WJY125" s="50"/>
      <c r="WJZ125" s="41"/>
      <c r="WKA125" s="41"/>
      <c r="WKB125" s="49"/>
      <c r="WKC125" s="41"/>
      <c r="WKD125" s="41"/>
      <c r="WKF125" s="40"/>
      <c r="WKG125" s="47"/>
      <c r="WKH125" s="48"/>
      <c r="WKI125" s="49"/>
      <c r="WKJ125" s="50"/>
      <c r="WKK125" s="50"/>
      <c r="WKL125" s="41"/>
      <c r="WKM125" s="41"/>
      <c r="WKN125" s="49"/>
      <c r="WKO125" s="41"/>
      <c r="WKP125" s="41"/>
      <c r="WKR125" s="40"/>
      <c r="WKS125" s="47"/>
      <c r="WKT125" s="48"/>
      <c r="WKU125" s="49"/>
      <c r="WKV125" s="50"/>
      <c r="WKW125" s="50"/>
      <c r="WKX125" s="41"/>
      <c r="WKY125" s="41"/>
      <c r="WKZ125" s="49"/>
      <c r="WLA125" s="41"/>
      <c r="WLB125" s="41"/>
      <c r="WLD125" s="40"/>
      <c r="WLE125" s="47"/>
      <c r="WLF125" s="48"/>
      <c r="WLG125" s="49"/>
      <c r="WLH125" s="50"/>
      <c r="WLI125" s="50"/>
      <c r="WLJ125" s="41"/>
      <c r="WLK125" s="41"/>
      <c r="WLL125" s="49"/>
      <c r="WLM125" s="41"/>
      <c r="WLN125" s="41"/>
      <c r="WLP125" s="40"/>
      <c r="WLQ125" s="47"/>
      <c r="WLR125" s="48"/>
      <c r="WLS125" s="49"/>
      <c r="WLT125" s="50"/>
      <c r="WLU125" s="50"/>
      <c r="WLV125" s="41"/>
      <c r="WLW125" s="41"/>
      <c r="WLX125" s="49"/>
      <c r="WLY125" s="41"/>
      <c r="WLZ125" s="41"/>
      <c r="WMB125" s="40"/>
      <c r="WMC125" s="47"/>
      <c r="WMD125" s="48"/>
      <c r="WME125" s="49"/>
      <c r="WMF125" s="50"/>
      <c r="WMG125" s="50"/>
      <c r="WMH125" s="41"/>
      <c r="WMI125" s="41"/>
      <c r="WMJ125" s="49"/>
      <c r="WMK125" s="41"/>
      <c r="WML125" s="41"/>
      <c r="WMN125" s="40"/>
      <c r="WMO125" s="47"/>
      <c r="WMP125" s="48"/>
      <c r="WMQ125" s="49"/>
      <c r="WMR125" s="50"/>
      <c r="WMS125" s="50"/>
      <c r="WMT125" s="41"/>
      <c r="WMU125" s="41"/>
      <c r="WMV125" s="49"/>
      <c r="WMW125" s="41"/>
      <c r="WMX125" s="41"/>
      <c r="WMZ125" s="40"/>
      <c r="WNA125" s="47"/>
      <c r="WNB125" s="48"/>
      <c r="WNC125" s="49"/>
      <c r="WND125" s="50"/>
      <c r="WNE125" s="50"/>
      <c r="WNF125" s="41"/>
      <c r="WNG125" s="41"/>
      <c r="WNH125" s="49"/>
      <c r="WNI125" s="41"/>
      <c r="WNJ125" s="41"/>
      <c r="WNL125" s="40"/>
      <c r="WNM125" s="47"/>
      <c r="WNN125" s="48"/>
      <c r="WNO125" s="49"/>
      <c r="WNP125" s="50"/>
      <c r="WNQ125" s="50"/>
      <c r="WNR125" s="41"/>
      <c r="WNS125" s="41"/>
      <c r="WNT125" s="49"/>
      <c r="WNU125" s="41"/>
      <c r="WNV125" s="41"/>
      <c r="WNX125" s="40"/>
      <c r="WNY125" s="47"/>
      <c r="WNZ125" s="48"/>
      <c r="WOA125" s="49"/>
      <c r="WOB125" s="50"/>
      <c r="WOC125" s="50"/>
      <c r="WOD125" s="41"/>
      <c r="WOE125" s="41"/>
      <c r="WOF125" s="49"/>
      <c r="WOG125" s="41"/>
      <c r="WOH125" s="41"/>
      <c r="WOJ125" s="40"/>
      <c r="WOK125" s="47"/>
      <c r="WOL125" s="48"/>
      <c r="WOM125" s="49"/>
      <c r="WON125" s="50"/>
      <c r="WOO125" s="50"/>
      <c r="WOP125" s="41"/>
      <c r="WOQ125" s="41"/>
      <c r="WOR125" s="49"/>
      <c r="WOS125" s="41"/>
      <c r="WOT125" s="41"/>
      <c r="WOV125" s="40"/>
      <c r="WOW125" s="47"/>
      <c r="WOX125" s="48"/>
      <c r="WOY125" s="49"/>
      <c r="WOZ125" s="50"/>
      <c r="WPA125" s="50"/>
      <c r="WPB125" s="41"/>
      <c r="WPC125" s="41"/>
      <c r="WPD125" s="49"/>
      <c r="WPE125" s="41"/>
      <c r="WPF125" s="41"/>
      <c r="WPH125" s="40"/>
      <c r="WPI125" s="47"/>
      <c r="WPJ125" s="48"/>
      <c r="WPK125" s="49"/>
      <c r="WPL125" s="50"/>
      <c r="WPM125" s="50"/>
      <c r="WPN125" s="41"/>
      <c r="WPO125" s="41"/>
      <c r="WPP125" s="49"/>
      <c r="WPQ125" s="41"/>
      <c r="WPR125" s="41"/>
      <c r="WPT125" s="40"/>
      <c r="WPU125" s="47"/>
      <c r="WPV125" s="48"/>
      <c r="WPW125" s="49"/>
      <c r="WPX125" s="50"/>
      <c r="WPY125" s="50"/>
      <c r="WPZ125" s="41"/>
      <c r="WQA125" s="41"/>
      <c r="WQB125" s="49"/>
      <c r="WQC125" s="41"/>
      <c r="WQD125" s="41"/>
      <c r="WQF125" s="40"/>
      <c r="WQG125" s="47"/>
      <c r="WQH125" s="48"/>
      <c r="WQI125" s="49"/>
      <c r="WQJ125" s="50"/>
      <c r="WQK125" s="50"/>
      <c r="WQL125" s="41"/>
      <c r="WQM125" s="41"/>
      <c r="WQN125" s="49"/>
      <c r="WQO125" s="41"/>
      <c r="WQP125" s="41"/>
      <c r="WQR125" s="40"/>
      <c r="WQS125" s="47"/>
      <c r="WQT125" s="48"/>
      <c r="WQU125" s="49"/>
      <c r="WQV125" s="50"/>
      <c r="WQW125" s="50"/>
      <c r="WQX125" s="41"/>
      <c r="WQY125" s="41"/>
      <c r="WQZ125" s="49"/>
      <c r="WRA125" s="41"/>
      <c r="WRB125" s="41"/>
      <c r="WRD125" s="40"/>
      <c r="WRE125" s="47"/>
      <c r="WRF125" s="48"/>
      <c r="WRG125" s="49"/>
      <c r="WRH125" s="50"/>
      <c r="WRI125" s="50"/>
      <c r="WRJ125" s="41"/>
      <c r="WRK125" s="41"/>
      <c r="WRL125" s="49"/>
      <c r="WRM125" s="41"/>
      <c r="WRN125" s="41"/>
      <c r="WRP125" s="40"/>
      <c r="WRQ125" s="47"/>
      <c r="WRR125" s="48"/>
      <c r="WRS125" s="49"/>
      <c r="WRT125" s="50"/>
      <c r="WRU125" s="50"/>
      <c r="WRV125" s="41"/>
      <c r="WRW125" s="41"/>
      <c r="WRX125" s="49"/>
      <c r="WRY125" s="41"/>
      <c r="WRZ125" s="41"/>
      <c r="WSB125" s="40"/>
      <c r="WSC125" s="47"/>
      <c r="WSD125" s="48"/>
      <c r="WSE125" s="49"/>
      <c r="WSF125" s="50"/>
      <c r="WSG125" s="50"/>
      <c r="WSH125" s="41"/>
      <c r="WSI125" s="41"/>
      <c r="WSJ125" s="49"/>
      <c r="WSK125" s="41"/>
      <c r="WSL125" s="41"/>
      <c r="WSN125" s="40"/>
      <c r="WSO125" s="47"/>
      <c r="WSP125" s="48"/>
      <c r="WSQ125" s="49"/>
      <c r="WSR125" s="50"/>
      <c r="WSS125" s="50"/>
      <c r="WST125" s="41"/>
      <c r="WSU125" s="41"/>
      <c r="WSV125" s="49"/>
      <c r="WSW125" s="41"/>
      <c r="WSX125" s="41"/>
      <c r="WSZ125" s="40"/>
      <c r="WTA125" s="47"/>
      <c r="WTB125" s="48"/>
      <c r="WTC125" s="49"/>
      <c r="WTD125" s="50"/>
      <c r="WTE125" s="50"/>
      <c r="WTF125" s="41"/>
      <c r="WTG125" s="41"/>
      <c r="WTH125" s="49"/>
      <c r="WTI125" s="41"/>
      <c r="WTJ125" s="41"/>
      <c r="WTL125" s="40"/>
      <c r="WTM125" s="47"/>
      <c r="WTN125" s="48"/>
      <c r="WTO125" s="49"/>
      <c r="WTP125" s="50"/>
      <c r="WTQ125" s="50"/>
      <c r="WTR125" s="41"/>
      <c r="WTS125" s="41"/>
      <c r="WTT125" s="49"/>
      <c r="WTU125" s="41"/>
      <c r="WTV125" s="41"/>
      <c r="WTX125" s="40"/>
      <c r="WTY125" s="47"/>
      <c r="WTZ125" s="48"/>
      <c r="WUA125" s="49"/>
      <c r="WUB125" s="50"/>
      <c r="WUC125" s="50"/>
      <c r="WUD125" s="41"/>
      <c r="WUE125" s="41"/>
      <c r="WUF125" s="49"/>
      <c r="WUG125" s="41"/>
      <c r="WUH125" s="41"/>
      <c r="WUJ125" s="40"/>
      <c r="WUK125" s="47"/>
      <c r="WUL125" s="48"/>
      <c r="WUM125" s="49"/>
      <c r="WUN125" s="50"/>
      <c r="WUO125" s="50"/>
      <c r="WUP125" s="41"/>
      <c r="WUQ125" s="41"/>
      <c r="WUR125" s="49"/>
      <c r="WUS125" s="41"/>
      <c r="WUT125" s="41"/>
      <c r="WUV125" s="40"/>
      <c r="WUW125" s="47"/>
      <c r="WUX125" s="48"/>
      <c r="WUY125" s="49"/>
      <c r="WUZ125" s="50"/>
      <c r="WVA125" s="50"/>
      <c r="WVB125" s="41"/>
      <c r="WVC125" s="41"/>
      <c r="WVD125" s="49"/>
      <c r="WVE125" s="41"/>
      <c r="WVF125" s="41"/>
      <c r="WVH125" s="40"/>
      <c r="WVI125" s="47"/>
      <c r="WVJ125" s="48"/>
      <c r="WVK125" s="49"/>
      <c r="WVL125" s="50"/>
      <c r="WVM125" s="50"/>
      <c r="WVN125" s="41"/>
      <c r="WVO125" s="41"/>
      <c r="WVP125" s="49"/>
      <c r="WVQ125" s="41"/>
      <c r="WVR125" s="41"/>
      <c r="WVT125" s="40"/>
      <c r="WVU125" s="47"/>
      <c r="WVV125" s="48"/>
      <c r="WVW125" s="49"/>
      <c r="WVX125" s="50"/>
      <c r="WVY125" s="50"/>
      <c r="WVZ125" s="41"/>
      <c r="WWA125" s="41"/>
      <c r="WWB125" s="49"/>
      <c r="WWC125" s="41"/>
      <c r="WWD125" s="41"/>
      <c r="WWF125" s="40"/>
      <c r="WWG125" s="47"/>
      <c r="WWH125" s="48"/>
      <c r="WWI125" s="49"/>
      <c r="WWJ125" s="50"/>
      <c r="WWK125" s="50"/>
      <c r="WWL125" s="41"/>
      <c r="WWM125" s="41"/>
      <c r="WWN125" s="49"/>
      <c r="WWO125" s="41"/>
      <c r="WWP125" s="41"/>
      <c r="WWR125" s="40"/>
      <c r="WWS125" s="47"/>
      <c r="WWT125" s="48"/>
      <c r="WWU125" s="49"/>
      <c r="WWV125" s="50"/>
      <c r="WWW125" s="50"/>
      <c r="WWX125" s="41"/>
      <c r="WWY125" s="41"/>
      <c r="WWZ125" s="49"/>
      <c r="WXA125" s="41"/>
      <c r="WXB125" s="41"/>
      <c r="WXD125" s="40"/>
      <c r="WXE125" s="47"/>
      <c r="WXF125" s="48"/>
      <c r="WXG125" s="49"/>
      <c r="WXH125" s="50"/>
      <c r="WXI125" s="50"/>
      <c r="WXJ125" s="41"/>
      <c r="WXK125" s="41"/>
      <c r="WXL125" s="49"/>
      <c r="WXM125" s="41"/>
      <c r="WXN125" s="41"/>
      <c r="WXP125" s="40"/>
      <c r="WXQ125" s="47"/>
      <c r="WXR125" s="48"/>
      <c r="WXS125" s="49"/>
      <c r="WXT125" s="50"/>
      <c r="WXU125" s="50"/>
      <c r="WXV125" s="41"/>
      <c r="WXW125" s="41"/>
      <c r="WXX125" s="49"/>
      <c r="WXY125" s="41"/>
      <c r="WXZ125" s="41"/>
      <c r="WYB125" s="40"/>
      <c r="WYC125" s="47"/>
      <c r="WYD125" s="48"/>
      <c r="WYE125" s="49"/>
      <c r="WYF125" s="50"/>
      <c r="WYG125" s="50"/>
      <c r="WYH125" s="41"/>
      <c r="WYI125" s="41"/>
      <c r="WYJ125" s="49"/>
      <c r="WYK125" s="41"/>
      <c r="WYL125" s="41"/>
      <c r="WYN125" s="40"/>
      <c r="WYO125" s="47"/>
      <c r="WYP125" s="48"/>
      <c r="WYQ125" s="49"/>
      <c r="WYR125" s="50"/>
      <c r="WYS125" s="50"/>
      <c r="WYT125" s="41"/>
      <c r="WYU125" s="41"/>
      <c r="WYV125" s="49"/>
      <c r="WYW125" s="41"/>
      <c r="WYX125" s="41"/>
      <c r="WYZ125" s="40"/>
      <c r="WZA125" s="47"/>
      <c r="WZB125" s="48"/>
      <c r="WZC125" s="49"/>
      <c r="WZD125" s="50"/>
      <c r="WZE125" s="50"/>
      <c r="WZF125" s="41"/>
      <c r="WZG125" s="41"/>
      <c r="WZH125" s="49"/>
      <c r="WZI125" s="41"/>
      <c r="WZJ125" s="41"/>
      <c r="WZL125" s="40"/>
      <c r="WZM125" s="47"/>
      <c r="WZN125" s="48"/>
      <c r="WZO125" s="49"/>
      <c r="WZP125" s="50"/>
      <c r="WZQ125" s="50"/>
      <c r="WZR125" s="41"/>
      <c r="WZS125" s="41"/>
      <c r="WZT125" s="49"/>
      <c r="WZU125" s="41"/>
      <c r="WZV125" s="41"/>
      <c r="WZX125" s="40"/>
      <c r="WZY125" s="47"/>
      <c r="WZZ125" s="48"/>
      <c r="XAA125" s="49"/>
      <c r="XAB125" s="50"/>
      <c r="XAC125" s="50"/>
      <c r="XAD125" s="41"/>
      <c r="XAE125" s="41"/>
      <c r="XAF125" s="49"/>
      <c r="XAG125" s="41"/>
      <c r="XAH125" s="41"/>
      <c r="XAJ125" s="40"/>
      <c r="XAK125" s="47"/>
      <c r="XAL125" s="48"/>
      <c r="XAM125" s="49"/>
      <c r="XAN125" s="50"/>
      <c r="XAO125" s="50"/>
      <c r="XAP125" s="41"/>
      <c r="XAQ125" s="41"/>
      <c r="XAR125" s="49"/>
      <c r="XAS125" s="41"/>
      <c r="XAT125" s="41"/>
      <c r="XAV125" s="40"/>
      <c r="XAW125" s="47"/>
      <c r="XAX125" s="48"/>
      <c r="XAY125" s="49"/>
      <c r="XAZ125" s="50"/>
      <c r="XBA125" s="50"/>
      <c r="XBB125" s="41"/>
      <c r="XBC125" s="41"/>
      <c r="XBD125" s="49"/>
      <c r="XBE125" s="41"/>
      <c r="XBF125" s="41"/>
      <c r="XBH125" s="40"/>
      <c r="XBI125" s="47"/>
      <c r="XBJ125" s="48"/>
      <c r="XBK125" s="49"/>
      <c r="XBL125" s="50"/>
      <c r="XBM125" s="50"/>
      <c r="XBN125" s="41"/>
      <c r="XBO125" s="41"/>
      <c r="XBP125" s="49"/>
      <c r="XBQ125" s="41"/>
      <c r="XBR125" s="41"/>
      <c r="XBT125" s="40"/>
      <c r="XBU125" s="47"/>
      <c r="XBV125" s="48"/>
      <c r="XBW125" s="49"/>
      <c r="XBX125" s="50"/>
      <c r="XBY125" s="50"/>
      <c r="XBZ125" s="41"/>
      <c r="XCA125" s="41"/>
      <c r="XCB125" s="49"/>
      <c r="XCC125" s="41"/>
      <c r="XCD125" s="41"/>
      <c r="XCF125" s="40"/>
      <c r="XCG125" s="47"/>
      <c r="XCH125" s="48"/>
      <c r="XCI125" s="49"/>
      <c r="XCJ125" s="50"/>
      <c r="XCK125" s="50"/>
      <c r="XCL125" s="41"/>
      <c r="XCM125" s="41"/>
      <c r="XCN125" s="49"/>
      <c r="XCO125" s="41"/>
      <c r="XCP125" s="41"/>
      <c r="XCR125" s="40"/>
      <c r="XCS125" s="47"/>
      <c r="XCT125" s="48"/>
      <c r="XCU125" s="49"/>
      <c r="XCV125" s="50"/>
      <c r="XCW125" s="50"/>
      <c r="XCX125" s="41"/>
      <c r="XCY125" s="41"/>
      <c r="XCZ125" s="49"/>
      <c r="XDA125" s="41"/>
      <c r="XDB125" s="41"/>
      <c r="XDD125" s="40"/>
      <c r="XDE125" s="47"/>
      <c r="XDF125" s="48"/>
      <c r="XDG125" s="49"/>
      <c r="XDH125" s="50"/>
      <c r="XDI125" s="50"/>
      <c r="XDJ125" s="41"/>
      <c r="XDK125" s="41"/>
      <c r="XDL125" s="49"/>
      <c r="XDM125" s="41"/>
      <c r="XDN125" s="41"/>
      <c r="XDP125" s="40"/>
      <c r="XDQ125" s="47"/>
      <c r="XDR125" s="48"/>
      <c r="XDS125" s="49"/>
      <c r="XDT125" s="50"/>
      <c r="XDU125" s="50"/>
      <c r="XDV125" s="41"/>
      <c r="XDW125" s="41"/>
      <c r="XDX125" s="49"/>
      <c r="XDY125" s="41"/>
      <c r="XDZ125" s="41"/>
      <c r="XEB125" s="40"/>
      <c r="XEC125" s="47"/>
      <c r="XED125" s="48"/>
      <c r="XEE125" s="49"/>
      <c r="XEF125" s="50"/>
      <c r="XEG125" s="50"/>
      <c r="XEH125" s="41"/>
      <c r="XEI125" s="41"/>
      <c r="XEJ125" s="49"/>
      <c r="XEK125" s="41"/>
      <c r="XEL125" s="41"/>
      <c r="XEN125" s="40"/>
      <c r="XEO125" s="47"/>
      <c r="XEP125" s="48"/>
      <c r="XEQ125" s="49"/>
      <c r="XER125" s="50"/>
      <c r="XES125" s="50"/>
      <c r="XET125" s="41"/>
      <c r="XEU125" s="41"/>
      <c r="XEV125" s="49"/>
      <c r="XEW125" s="41"/>
      <c r="XEX125" s="41"/>
    </row>
    <row r="126" spans="1:16383" s="25" customFormat="1" ht="16.5" customHeight="1" x14ac:dyDescent="0.25">
      <c r="A126" s="4">
        <f t="shared" si="5"/>
        <v>43628</v>
      </c>
      <c r="B126" s="5">
        <v>43628</v>
      </c>
      <c r="C126" s="10" t="s">
        <v>14</v>
      </c>
      <c r="D126" s="6" t="s">
        <v>15</v>
      </c>
      <c r="E126" s="21">
        <v>0.70833333333333337</v>
      </c>
      <c r="F126" s="21">
        <v>0.91666666666666663</v>
      </c>
      <c r="G126" s="31" t="s">
        <v>27</v>
      </c>
      <c r="H126" s="31">
        <v>1</v>
      </c>
      <c r="I126" s="29" t="s">
        <v>66</v>
      </c>
      <c r="J126" s="7" t="s">
        <v>0</v>
      </c>
      <c r="K126" s="7" t="s">
        <v>0</v>
      </c>
      <c r="L126" s="25" t="s">
        <v>69</v>
      </c>
      <c r="XFC126" s="3"/>
    </row>
    <row r="127" spans="1:16383" s="25" customFormat="1" ht="16.5" customHeight="1" x14ac:dyDescent="0.25">
      <c r="A127" s="26">
        <f t="shared" si="5"/>
        <v>43628</v>
      </c>
      <c r="B127" s="27">
        <v>43628</v>
      </c>
      <c r="C127" s="6" t="s">
        <v>94</v>
      </c>
      <c r="D127" s="6" t="s">
        <v>95</v>
      </c>
      <c r="E127" s="21">
        <v>0.79166666666666663</v>
      </c>
      <c r="F127" s="21">
        <v>0.875</v>
      </c>
      <c r="G127" s="7" t="s">
        <v>27</v>
      </c>
      <c r="H127" s="7">
        <v>1</v>
      </c>
      <c r="I127" s="6" t="s">
        <v>8</v>
      </c>
      <c r="J127" s="7" t="s">
        <v>0</v>
      </c>
      <c r="K127" s="8" t="s">
        <v>0</v>
      </c>
      <c r="L127" s="25" t="s">
        <v>69</v>
      </c>
      <c r="XFC127" s="3"/>
    </row>
    <row r="128" spans="1:16383" s="25" customFormat="1" ht="16.5" customHeight="1" x14ac:dyDescent="0.25">
      <c r="A128" s="26">
        <f t="shared" si="5"/>
        <v>43628</v>
      </c>
      <c r="B128" s="27">
        <v>43628</v>
      </c>
      <c r="C128" s="6" t="s">
        <v>122</v>
      </c>
      <c r="D128" s="6" t="s">
        <v>121</v>
      </c>
      <c r="E128" s="30">
        <v>0.5625</v>
      </c>
      <c r="F128" s="30">
        <v>0.64583333333333304</v>
      </c>
      <c r="G128" s="7" t="s">
        <v>30</v>
      </c>
      <c r="H128" s="7" t="s">
        <v>0</v>
      </c>
      <c r="I128" s="6" t="s">
        <v>123</v>
      </c>
      <c r="J128" s="7" t="s">
        <v>0</v>
      </c>
      <c r="K128" s="8" t="s">
        <v>0</v>
      </c>
      <c r="L128" s="25" t="s">
        <v>6</v>
      </c>
      <c r="XFC128" s="3"/>
    </row>
    <row r="129" spans="1:12 16383:16383" s="25" customFormat="1" ht="16.5" customHeight="1" x14ac:dyDescent="0.25">
      <c r="A129" s="26">
        <f t="shared" si="5"/>
        <v>43628</v>
      </c>
      <c r="B129" s="27">
        <v>43628</v>
      </c>
      <c r="C129" s="29" t="s">
        <v>137</v>
      </c>
      <c r="D129" s="29" t="s">
        <v>105</v>
      </c>
      <c r="E129" s="30">
        <v>0.25</v>
      </c>
      <c r="F129" s="30">
        <v>0.95833333333333337</v>
      </c>
      <c r="G129" s="31" t="s">
        <v>25</v>
      </c>
      <c r="H129" s="31" t="s">
        <v>0</v>
      </c>
      <c r="I129" s="29" t="s">
        <v>13</v>
      </c>
      <c r="J129" s="31" t="s">
        <v>0</v>
      </c>
      <c r="K129" s="8" t="s">
        <v>0</v>
      </c>
      <c r="L129" s="25" t="s">
        <v>6</v>
      </c>
      <c r="XFC129" s="3"/>
    </row>
    <row r="130" spans="1:12 16383:16383" s="25" customFormat="1" ht="16.5" customHeight="1" x14ac:dyDescent="0.25">
      <c r="A130" s="4">
        <f t="shared" si="5"/>
        <v>43629</v>
      </c>
      <c r="B130" s="5">
        <v>43629</v>
      </c>
      <c r="C130" s="10" t="s">
        <v>14</v>
      </c>
      <c r="D130" s="6" t="s">
        <v>15</v>
      </c>
      <c r="E130" s="21">
        <v>0.33333333333333331</v>
      </c>
      <c r="F130" s="21">
        <v>0.70833333333333337</v>
      </c>
      <c r="G130" s="31" t="s">
        <v>27</v>
      </c>
      <c r="H130" s="31">
        <v>1</v>
      </c>
      <c r="I130" s="29" t="s">
        <v>49</v>
      </c>
      <c r="J130" s="7" t="s">
        <v>0</v>
      </c>
      <c r="K130" s="7" t="s">
        <v>0</v>
      </c>
      <c r="L130" s="25" t="s">
        <v>6</v>
      </c>
      <c r="XFC130" s="3"/>
    </row>
    <row r="131" spans="1:12 16383:16383" s="25" customFormat="1" ht="16.5" customHeight="1" x14ac:dyDescent="0.25">
      <c r="A131" s="26">
        <f t="shared" si="5"/>
        <v>43629</v>
      </c>
      <c r="B131" s="27">
        <v>43629</v>
      </c>
      <c r="C131" s="6" t="s">
        <v>60</v>
      </c>
      <c r="D131" s="6" t="s">
        <v>61</v>
      </c>
      <c r="E131" s="21">
        <v>0.58333333333333304</v>
      </c>
      <c r="F131" s="21">
        <v>0.6875</v>
      </c>
      <c r="G131" s="7" t="s">
        <v>30</v>
      </c>
      <c r="H131" s="7" t="s">
        <v>0</v>
      </c>
      <c r="I131" s="6" t="s">
        <v>31</v>
      </c>
      <c r="J131" s="7" t="s">
        <v>0</v>
      </c>
      <c r="K131" s="8" t="s">
        <v>0</v>
      </c>
      <c r="L131" s="25" t="s">
        <v>6</v>
      </c>
      <c r="XFC131" s="3"/>
    </row>
    <row r="132" spans="1:12 16383:16383" s="25" customFormat="1" ht="16.5" customHeight="1" x14ac:dyDescent="0.25">
      <c r="A132" s="4">
        <f t="shared" si="5"/>
        <v>43629</v>
      </c>
      <c r="B132" s="5">
        <v>43629</v>
      </c>
      <c r="C132" s="10" t="s">
        <v>14</v>
      </c>
      <c r="D132" s="6" t="s">
        <v>15</v>
      </c>
      <c r="E132" s="21">
        <v>0.70833333333333337</v>
      </c>
      <c r="F132" s="21">
        <v>0.91666666666666663</v>
      </c>
      <c r="G132" s="31" t="s">
        <v>27</v>
      </c>
      <c r="H132" s="31">
        <v>1</v>
      </c>
      <c r="I132" s="29" t="s">
        <v>66</v>
      </c>
      <c r="J132" s="7" t="s">
        <v>0</v>
      </c>
      <c r="K132" s="7" t="s">
        <v>0</v>
      </c>
      <c r="L132" s="25" t="s">
        <v>6</v>
      </c>
      <c r="XFC132" s="3"/>
    </row>
    <row r="133" spans="1:12 16383:16383" ht="16.5" customHeight="1" x14ac:dyDescent="0.25">
      <c r="A133" s="26">
        <f t="shared" si="5"/>
        <v>43629</v>
      </c>
      <c r="B133" s="27">
        <v>43629</v>
      </c>
      <c r="C133" s="29" t="s">
        <v>137</v>
      </c>
      <c r="D133" s="29" t="s">
        <v>105</v>
      </c>
      <c r="E133" s="30">
        <v>0.25</v>
      </c>
      <c r="F133" s="30">
        <v>0.95833333333333337</v>
      </c>
      <c r="G133" s="31" t="s">
        <v>25</v>
      </c>
      <c r="H133" s="31" t="s">
        <v>0</v>
      </c>
      <c r="I133" s="29" t="s">
        <v>13</v>
      </c>
      <c r="J133" s="31" t="s">
        <v>0</v>
      </c>
      <c r="K133" s="8" t="s">
        <v>0</v>
      </c>
    </row>
    <row r="134" spans="1:12 16383:16383" ht="16.5" customHeight="1" x14ac:dyDescent="0.25">
      <c r="A134" s="4">
        <f t="shared" si="5"/>
        <v>43630</v>
      </c>
      <c r="B134" s="5">
        <v>43630</v>
      </c>
      <c r="C134" s="10" t="s">
        <v>14</v>
      </c>
      <c r="D134" s="6" t="s">
        <v>15</v>
      </c>
      <c r="E134" s="21">
        <v>0.33333333333333331</v>
      </c>
      <c r="F134" s="21">
        <v>0.70833333333333337</v>
      </c>
      <c r="G134" s="31" t="s">
        <v>27</v>
      </c>
      <c r="H134" s="31">
        <v>1</v>
      </c>
      <c r="I134" s="29" t="s">
        <v>49</v>
      </c>
      <c r="J134" s="7" t="s">
        <v>0</v>
      </c>
      <c r="K134" s="7" t="s">
        <v>0</v>
      </c>
    </row>
    <row r="135" spans="1:12 16383:16383" ht="16.5" customHeight="1" x14ac:dyDescent="0.25">
      <c r="A135" s="26">
        <f t="shared" si="5"/>
        <v>43630</v>
      </c>
      <c r="B135" s="27">
        <v>43630</v>
      </c>
      <c r="C135" s="29" t="s">
        <v>10</v>
      </c>
      <c r="D135" s="29" t="s">
        <v>7</v>
      </c>
      <c r="E135" s="30">
        <v>0.8125</v>
      </c>
      <c r="F135" s="30">
        <v>0.95833333333333337</v>
      </c>
      <c r="G135" s="31" t="s">
        <v>24</v>
      </c>
      <c r="H135" s="31" t="s">
        <v>0</v>
      </c>
      <c r="I135" s="29" t="s">
        <v>8</v>
      </c>
      <c r="J135" s="31" t="s">
        <v>6</v>
      </c>
      <c r="K135" s="8" t="s">
        <v>39</v>
      </c>
    </row>
    <row r="136" spans="1:12 16383:16383" ht="16.5" customHeight="1" x14ac:dyDescent="0.25">
      <c r="A136" s="4">
        <f t="shared" si="5"/>
        <v>43630</v>
      </c>
      <c r="B136" s="5">
        <v>43630</v>
      </c>
      <c r="C136" s="10" t="s">
        <v>14</v>
      </c>
      <c r="D136" s="6" t="s">
        <v>15</v>
      </c>
      <c r="E136" s="21">
        <v>0.70833333333333337</v>
      </c>
      <c r="F136" s="21">
        <v>0.91666666666666663</v>
      </c>
      <c r="G136" s="31" t="s">
        <v>27</v>
      </c>
      <c r="H136" s="31">
        <v>1</v>
      </c>
      <c r="I136" s="29" t="s">
        <v>66</v>
      </c>
      <c r="J136" s="7" t="s">
        <v>0</v>
      </c>
      <c r="K136" s="7" t="s">
        <v>0</v>
      </c>
    </row>
    <row r="137" spans="1:12 16383:16383" ht="16.5" customHeight="1" x14ac:dyDescent="0.25">
      <c r="A137" s="26">
        <f t="shared" si="5"/>
        <v>43630</v>
      </c>
      <c r="B137" s="27">
        <v>43630</v>
      </c>
      <c r="C137" s="29" t="s">
        <v>137</v>
      </c>
      <c r="D137" s="29" t="s">
        <v>105</v>
      </c>
      <c r="E137" s="30">
        <v>0.25</v>
      </c>
      <c r="F137" s="30">
        <v>0.95833333333333337</v>
      </c>
      <c r="G137" s="31" t="s">
        <v>25</v>
      </c>
      <c r="H137" s="31" t="s">
        <v>0</v>
      </c>
      <c r="I137" s="29" t="s">
        <v>13</v>
      </c>
      <c r="J137" s="31" t="s">
        <v>0</v>
      </c>
      <c r="K137" s="8" t="s">
        <v>0</v>
      </c>
    </row>
    <row r="138" spans="1:12 16383:16383" ht="16.5" customHeight="1" x14ac:dyDescent="0.25">
      <c r="A138" s="13">
        <v>43631</v>
      </c>
      <c r="B138" s="14">
        <v>43631</v>
      </c>
      <c r="C138" s="15" t="s">
        <v>18</v>
      </c>
      <c r="D138" s="15" t="s">
        <v>7</v>
      </c>
      <c r="E138" s="22">
        <v>0.33333333333333331</v>
      </c>
      <c r="F138" s="22">
        <v>0.70833333333333337</v>
      </c>
      <c r="G138" s="16" t="s">
        <v>26</v>
      </c>
      <c r="H138" s="16" t="s">
        <v>0</v>
      </c>
      <c r="I138" s="15" t="s">
        <v>130</v>
      </c>
      <c r="J138" s="16" t="s">
        <v>6</v>
      </c>
      <c r="K138" s="16" t="s">
        <v>38</v>
      </c>
    </row>
    <row r="139" spans="1:12 16383:16383" ht="16.5" customHeight="1" x14ac:dyDescent="0.25">
      <c r="A139" s="13">
        <f t="shared" ref="A139:A174" si="6">B139</f>
        <v>43631</v>
      </c>
      <c r="B139" s="14">
        <v>43631</v>
      </c>
      <c r="C139" s="18" t="s">
        <v>10</v>
      </c>
      <c r="D139" s="18" t="s">
        <v>7</v>
      </c>
      <c r="E139" s="23">
        <v>0.33333333333333331</v>
      </c>
      <c r="F139" s="23">
        <v>0.58333333333333337</v>
      </c>
      <c r="G139" s="19" t="s">
        <v>24</v>
      </c>
      <c r="H139" s="19" t="s">
        <v>0</v>
      </c>
      <c r="I139" s="18" t="s">
        <v>8</v>
      </c>
      <c r="J139" s="19" t="s">
        <v>6</v>
      </c>
      <c r="K139" s="16" t="s">
        <v>40</v>
      </c>
      <c r="L139" s="3" t="s">
        <v>69</v>
      </c>
    </row>
    <row r="140" spans="1:12 16383:16383" ht="16.5" customHeight="1" x14ac:dyDescent="0.25">
      <c r="A140" s="39">
        <f t="shared" si="6"/>
        <v>43631</v>
      </c>
      <c r="B140" s="14">
        <v>43631</v>
      </c>
      <c r="C140" s="18" t="s">
        <v>14</v>
      </c>
      <c r="D140" s="15" t="s">
        <v>15</v>
      </c>
      <c r="E140" s="22">
        <v>0.33333333333333331</v>
      </c>
      <c r="F140" s="22">
        <v>0.5</v>
      </c>
      <c r="G140" s="16" t="s">
        <v>27</v>
      </c>
      <c r="H140" s="16">
        <v>2</v>
      </c>
      <c r="I140" s="15" t="s">
        <v>67</v>
      </c>
      <c r="J140" s="16" t="s">
        <v>0</v>
      </c>
      <c r="K140" s="16" t="s">
        <v>0</v>
      </c>
      <c r="L140" s="3" t="s">
        <v>69</v>
      </c>
    </row>
    <row r="141" spans="1:12 16383:16383" ht="16.5" customHeight="1" x14ac:dyDescent="0.25">
      <c r="A141" s="13">
        <f t="shared" si="6"/>
        <v>43631</v>
      </c>
      <c r="B141" s="14">
        <v>43631</v>
      </c>
      <c r="C141" s="15" t="s">
        <v>91</v>
      </c>
      <c r="D141" s="15" t="s">
        <v>7</v>
      </c>
      <c r="E141" s="23">
        <v>0.33333333333333331</v>
      </c>
      <c r="F141" s="23">
        <v>0.68055555555555547</v>
      </c>
      <c r="G141" s="16" t="s">
        <v>92</v>
      </c>
      <c r="H141" s="16" t="s">
        <v>0</v>
      </c>
      <c r="I141" s="15" t="s">
        <v>93</v>
      </c>
      <c r="J141" s="16" t="s">
        <v>0</v>
      </c>
      <c r="K141" s="16" t="s">
        <v>33</v>
      </c>
    </row>
    <row r="142" spans="1:12 16383:16383" ht="16.5" customHeight="1" x14ac:dyDescent="0.25">
      <c r="A142" s="13">
        <f t="shared" si="6"/>
        <v>43631</v>
      </c>
      <c r="B142" s="14">
        <v>43631</v>
      </c>
      <c r="C142" s="15" t="s">
        <v>94</v>
      </c>
      <c r="D142" s="15" t="s">
        <v>95</v>
      </c>
      <c r="E142" s="22">
        <v>0.33333333333333331</v>
      </c>
      <c r="F142" s="22">
        <v>0.5</v>
      </c>
      <c r="G142" s="16" t="s">
        <v>27</v>
      </c>
      <c r="H142" s="16">
        <v>1</v>
      </c>
      <c r="I142" s="15" t="s">
        <v>49</v>
      </c>
      <c r="J142" s="16" t="s">
        <v>0</v>
      </c>
      <c r="K142" s="16" t="s">
        <v>0</v>
      </c>
    </row>
    <row r="143" spans="1:12 16383:16383" s="25" customFormat="1" ht="16.5" customHeight="1" x14ac:dyDescent="0.25">
      <c r="A143" s="26">
        <f t="shared" si="6"/>
        <v>43633</v>
      </c>
      <c r="B143" s="27">
        <v>43633</v>
      </c>
      <c r="C143" s="29" t="s">
        <v>137</v>
      </c>
      <c r="D143" s="29" t="s">
        <v>105</v>
      </c>
      <c r="E143" s="30">
        <v>0.25</v>
      </c>
      <c r="F143" s="30">
        <v>0.95833333333333337</v>
      </c>
      <c r="G143" s="31" t="s">
        <v>25</v>
      </c>
      <c r="H143" s="31" t="s">
        <v>0</v>
      </c>
      <c r="I143" s="29" t="s">
        <v>13</v>
      </c>
      <c r="J143" s="31" t="s">
        <v>0</v>
      </c>
      <c r="K143" s="8" t="s">
        <v>0</v>
      </c>
      <c r="L143" s="25" t="s">
        <v>69</v>
      </c>
      <c r="XFC143" s="3"/>
    </row>
    <row r="144" spans="1:12 16383:16383" ht="16.5" customHeight="1" x14ac:dyDescent="0.25">
      <c r="A144" s="26">
        <f t="shared" si="6"/>
        <v>43634</v>
      </c>
      <c r="B144" s="27">
        <v>43634</v>
      </c>
      <c r="C144" s="29" t="s">
        <v>137</v>
      </c>
      <c r="D144" s="29" t="s">
        <v>105</v>
      </c>
      <c r="E144" s="30">
        <v>0.25</v>
      </c>
      <c r="F144" s="30">
        <v>0.95833333333333337</v>
      </c>
      <c r="G144" s="31" t="s">
        <v>25</v>
      </c>
      <c r="H144" s="31" t="s">
        <v>0</v>
      </c>
      <c r="I144" s="29" t="s">
        <v>13</v>
      </c>
      <c r="J144" s="31" t="s">
        <v>0</v>
      </c>
      <c r="K144" s="8" t="s">
        <v>0</v>
      </c>
      <c r="L144" s="3" t="s">
        <v>6</v>
      </c>
    </row>
    <row r="145" spans="1:12 16383:16383" ht="16.5" customHeight="1" x14ac:dyDescent="0.25">
      <c r="A145" s="26">
        <f t="shared" si="6"/>
        <v>43635</v>
      </c>
      <c r="B145" s="27">
        <v>43635</v>
      </c>
      <c r="C145" s="6" t="s">
        <v>51</v>
      </c>
      <c r="D145" s="6" t="s">
        <v>52</v>
      </c>
      <c r="E145" s="21">
        <v>0.375</v>
      </c>
      <c r="F145" s="21">
        <v>0.625</v>
      </c>
      <c r="G145" s="7" t="s">
        <v>25</v>
      </c>
      <c r="H145" s="7" t="s">
        <v>0</v>
      </c>
      <c r="I145" s="6" t="s">
        <v>50</v>
      </c>
      <c r="J145" s="7" t="s">
        <v>0</v>
      </c>
      <c r="K145" s="8" t="s">
        <v>0</v>
      </c>
    </row>
    <row r="146" spans="1:12 16383:16383" s="25" customFormat="1" ht="16.5" customHeight="1" x14ac:dyDescent="0.25">
      <c r="A146" s="26">
        <f t="shared" si="6"/>
        <v>43635</v>
      </c>
      <c r="B146" s="27">
        <v>43635</v>
      </c>
      <c r="C146" s="6" t="s">
        <v>53</v>
      </c>
      <c r="D146" s="6" t="s">
        <v>54</v>
      </c>
      <c r="E146" s="21">
        <v>0.77083333333333304</v>
      </c>
      <c r="F146" s="21">
        <v>0.8125</v>
      </c>
      <c r="G146" s="7" t="s">
        <v>24</v>
      </c>
      <c r="H146" s="7" t="s">
        <v>0</v>
      </c>
      <c r="I146" s="6" t="s">
        <v>55</v>
      </c>
      <c r="J146" s="7" t="s">
        <v>0</v>
      </c>
      <c r="K146" s="8" t="s">
        <v>0</v>
      </c>
      <c r="XFC146" s="3"/>
    </row>
    <row r="147" spans="1:12 16383:16383" s="25" customFormat="1" ht="16.5" customHeight="1" x14ac:dyDescent="0.25">
      <c r="A147" s="26">
        <f t="shared" si="6"/>
        <v>43635</v>
      </c>
      <c r="B147" s="27">
        <v>43635</v>
      </c>
      <c r="C147" s="6" t="s">
        <v>56</v>
      </c>
      <c r="D147" s="6" t="s">
        <v>57</v>
      </c>
      <c r="E147" s="21">
        <v>0.58333333333333304</v>
      </c>
      <c r="F147" s="21">
        <v>0.6875</v>
      </c>
      <c r="G147" s="7" t="s">
        <v>24</v>
      </c>
      <c r="H147" s="7" t="s">
        <v>0</v>
      </c>
      <c r="I147" s="6" t="s">
        <v>55</v>
      </c>
      <c r="J147" s="7" t="s">
        <v>0</v>
      </c>
      <c r="K147" s="8" t="s">
        <v>0</v>
      </c>
      <c r="L147" s="25" t="s">
        <v>6</v>
      </c>
      <c r="XFC147" s="3"/>
    </row>
    <row r="148" spans="1:12 16383:16383" ht="16.5" customHeight="1" x14ac:dyDescent="0.25">
      <c r="A148" s="26">
        <f t="shared" si="6"/>
        <v>43635</v>
      </c>
      <c r="B148" s="27">
        <v>43635</v>
      </c>
      <c r="C148" s="6" t="s">
        <v>94</v>
      </c>
      <c r="D148" s="6" t="s">
        <v>95</v>
      </c>
      <c r="E148" s="21">
        <v>0.79166666666666663</v>
      </c>
      <c r="F148" s="21">
        <v>0.875</v>
      </c>
      <c r="G148" s="7" t="s">
        <v>27</v>
      </c>
      <c r="H148" s="7">
        <v>1</v>
      </c>
      <c r="I148" s="6" t="s">
        <v>49</v>
      </c>
      <c r="J148" s="7" t="s">
        <v>0</v>
      </c>
      <c r="K148" s="8" t="s">
        <v>0</v>
      </c>
    </row>
    <row r="149" spans="1:12 16383:16383" ht="16.5" customHeight="1" x14ac:dyDescent="0.25">
      <c r="A149" s="26">
        <f t="shared" si="6"/>
        <v>43635</v>
      </c>
      <c r="B149" s="27">
        <v>43635</v>
      </c>
      <c r="C149" s="6" t="s">
        <v>122</v>
      </c>
      <c r="D149" s="6" t="s">
        <v>121</v>
      </c>
      <c r="E149" s="30">
        <v>0.5625</v>
      </c>
      <c r="F149" s="30">
        <v>0.64583333333333304</v>
      </c>
      <c r="G149" s="7" t="s">
        <v>30</v>
      </c>
      <c r="H149" s="7" t="s">
        <v>0</v>
      </c>
      <c r="I149" s="6" t="s">
        <v>123</v>
      </c>
      <c r="J149" s="7" t="s">
        <v>0</v>
      </c>
      <c r="K149" s="8" t="s">
        <v>0</v>
      </c>
    </row>
    <row r="150" spans="1:12 16383:16383" s="25" customFormat="1" ht="16.5" customHeight="1" x14ac:dyDescent="0.25">
      <c r="A150" s="26">
        <f t="shared" si="6"/>
        <v>43635</v>
      </c>
      <c r="B150" s="27">
        <v>43635</v>
      </c>
      <c r="C150" s="29" t="s">
        <v>137</v>
      </c>
      <c r="D150" s="29" t="s">
        <v>105</v>
      </c>
      <c r="E150" s="30">
        <v>0.25</v>
      </c>
      <c r="F150" s="30">
        <v>0.95833333333333337</v>
      </c>
      <c r="G150" s="31" t="s">
        <v>25</v>
      </c>
      <c r="H150" s="31" t="s">
        <v>0</v>
      </c>
      <c r="I150" s="29" t="s">
        <v>13</v>
      </c>
      <c r="J150" s="31" t="s">
        <v>0</v>
      </c>
      <c r="K150" s="8" t="s">
        <v>0</v>
      </c>
      <c r="L150" s="25" t="s">
        <v>69</v>
      </c>
      <c r="XFC150" s="3"/>
    </row>
    <row r="151" spans="1:12 16383:16383" ht="16.5" customHeight="1" x14ac:dyDescent="0.25">
      <c r="A151" s="26">
        <f t="shared" si="6"/>
        <v>43637</v>
      </c>
      <c r="B151" s="27">
        <v>43637</v>
      </c>
      <c r="C151" s="6" t="s">
        <v>10</v>
      </c>
      <c r="D151" s="6" t="s">
        <v>7</v>
      </c>
      <c r="E151" s="30">
        <v>0.8125</v>
      </c>
      <c r="F151" s="30">
        <v>0.95833333333333337</v>
      </c>
      <c r="G151" s="7" t="s">
        <v>24</v>
      </c>
      <c r="H151" s="7" t="s">
        <v>0</v>
      </c>
      <c r="I151" s="6" t="s">
        <v>8</v>
      </c>
      <c r="J151" s="7" t="s">
        <v>6</v>
      </c>
      <c r="K151" s="8" t="s">
        <v>39</v>
      </c>
      <c r="L151" s="3" t="s">
        <v>69</v>
      </c>
    </row>
    <row r="152" spans="1:12 16383:16383" ht="16.5" customHeight="1" x14ac:dyDescent="0.25">
      <c r="A152" s="26">
        <f t="shared" si="6"/>
        <v>43637</v>
      </c>
      <c r="B152" s="27">
        <v>43637</v>
      </c>
      <c r="C152" s="29" t="s">
        <v>137</v>
      </c>
      <c r="D152" s="29" t="s">
        <v>105</v>
      </c>
      <c r="E152" s="30">
        <v>0.25</v>
      </c>
      <c r="F152" s="30">
        <v>0.95833333333333337</v>
      </c>
      <c r="G152" s="31" t="s">
        <v>25</v>
      </c>
      <c r="H152" s="31" t="s">
        <v>0</v>
      </c>
      <c r="I152" s="29" t="s">
        <v>13</v>
      </c>
      <c r="J152" s="31" t="s">
        <v>0</v>
      </c>
      <c r="K152" s="8" t="s">
        <v>0</v>
      </c>
      <c r="L152" s="3" t="s">
        <v>69</v>
      </c>
    </row>
    <row r="153" spans="1:12 16383:16383" ht="16.5" customHeight="1" x14ac:dyDescent="0.25">
      <c r="A153" s="13">
        <f t="shared" si="6"/>
        <v>43638</v>
      </c>
      <c r="B153" s="14">
        <v>43638</v>
      </c>
      <c r="C153" s="17" t="s">
        <v>112</v>
      </c>
      <c r="D153" s="15" t="s">
        <v>15</v>
      </c>
      <c r="E153" s="22">
        <v>0.35416666666666669</v>
      </c>
      <c r="F153" s="22">
        <v>0.52083333333333337</v>
      </c>
      <c r="G153" s="16" t="s">
        <v>26</v>
      </c>
      <c r="H153" s="16" t="s">
        <v>0</v>
      </c>
      <c r="I153" s="15" t="s">
        <v>110</v>
      </c>
      <c r="J153" s="16" t="s">
        <v>0</v>
      </c>
      <c r="K153" s="16" t="s">
        <v>0</v>
      </c>
    </row>
    <row r="154" spans="1:12 16383:16383" s="25" customFormat="1" ht="16.5" customHeight="1" x14ac:dyDescent="0.25">
      <c r="A154" s="13">
        <f t="shared" si="6"/>
        <v>43638</v>
      </c>
      <c r="B154" s="14">
        <v>43638</v>
      </c>
      <c r="C154" s="15" t="s">
        <v>138</v>
      </c>
      <c r="D154" s="15" t="s">
        <v>177</v>
      </c>
      <c r="E154" s="22">
        <v>0.33333333333333331</v>
      </c>
      <c r="F154" s="22">
        <v>0.5</v>
      </c>
      <c r="G154" s="16" t="s">
        <v>27</v>
      </c>
      <c r="H154" s="16">
        <v>2</v>
      </c>
      <c r="I154" s="15" t="s">
        <v>49</v>
      </c>
      <c r="J154" s="16" t="s">
        <v>0</v>
      </c>
      <c r="K154" s="16" t="s">
        <v>0</v>
      </c>
      <c r="L154" s="25" t="s">
        <v>6</v>
      </c>
      <c r="XFC154" s="3"/>
    </row>
    <row r="155" spans="1:12 16383:16383" ht="16.5" customHeight="1" x14ac:dyDescent="0.25">
      <c r="A155" s="26">
        <f t="shared" si="6"/>
        <v>43640</v>
      </c>
      <c r="B155" s="27">
        <v>43640</v>
      </c>
      <c r="C155" s="29" t="s">
        <v>137</v>
      </c>
      <c r="D155" s="29" t="s">
        <v>105</v>
      </c>
      <c r="E155" s="30">
        <v>0.25</v>
      </c>
      <c r="F155" s="30">
        <v>0.95833333333333337</v>
      </c>
      <c r="G155" s="31" t="s">
        <v>25</v>
      </c>
      <c r="H155" s="31" t="s">
        <v>0</v>
      </c>
      <c r="I155" s="29" t="s">
        <v>13</v>
      </c>
      <c r="J155" s="31" t="s">
        <v>0</v>
      </c>
      <c r="K155" s="8" t="s">
        <v>0</v>
      </c>
      <c r="L155" s="3" t="s">
        <v>69</v>
      </c>
    </row>
    <row r="156" spans="1:12 16383:16383" s="25" customFormat="1" ht="16.5" customHeight="1" x14ac:dyDescent="0.25">
      <c r="A156" s="26">
        <f t="shared" si="6"/>
        <v>43641</v>
      </c>
      <c r="B156" s="27">
        <v>43641</v>
      </c>
      <c r="C156" s="29" t="s">
        <v>137</v>
      </c>
      <c r="D156" s="29" t="s">
        <v>105</v>
      </c>
      <c r="E156" s="30">
        <v>0.25</v>
      </c>
      <c r="F156" s="30">
        <v>0.95833333333333337</v>
      </c>
      <c r="G156" s="31" t="s">
        <v>25</v>
      </c>
      <c r="H156" s="31" t="s">
        <v>0</v>
      </c>
      <c r="I156" s="29" t="s">
        <v>13</v>
      </c>
      <c r="J156" s="31" t="s">
        <v>0</v>
      </c>
      <c r="K156" s="8" t="s">
        <v>0</v>
      </c>
      <c r="L156" s="25" t="s">
        <v>69</v>
      </c>
      <c r="XFC156" s="3"/>
    </row>
    <row r="157" spans="1:12 16383:16383" ht="16.5" customHeight="1" x14ac:dyDescent="0.25">
      <c r="A157" s="26">
        <f t="shared" si="6"/>
        <v>43642</v>
      </c>
      <c r="B157" s="27">
        <v>43642</v>
      </c>
      <c r="C157" s="6" t="s">
        <v>51</v>
      </c>
      <c r="D157" s="6" t="s">
        <v>52</v>
      </c>
      <c r="E157" s="21">
        <v>0.375</v>
      </c>
      <c r="F157" s="21">
        <v>0.625</v>
      </c>
      <c r="G157" s="7" t="s">
        <v>25</v>
      </c>
      <c r="H157" s="7" t="s">
        <v>0</v>
      </c>
      <c r="I157" s="6" t="s">
        <v>50</v>
      </c>
      <c r="J157" s="7" t="s">
        <v>0</v>
      </c>
      <c r="K157" s="8" t="s">
        <v>0</v>
      </c>
      <c r="L157" s="3" t="s">
        <v>6</v>
      </c>
    </row>
    <row r="158" spans="1:12 16383:16383" s="25" customFormat="1" ht="16.5" customHeight="1" x14ac:dyDescent="0.25">
      <c r="A158" s="26">
        <f t="shared" si="6"/>
        <v>43642</v>
      </c>
      <c r="B158" s="27">
        <v>43642</v>
      </c>
      <c r="C158" s="6" t="s">
        <v>53</v>
      </c>
      <c r="D158" s="6" t="s">
        <v>54</v>
      </c>
      <c r="E158" s="21">
        <v>0.77083333333333304</v>
      </c>
      <c r="F158" s="21">
        <v>0.8125</v>
      </c>
      <c r="G158" s="7" t="s">
        <v>24</v>
      </c>
      <c r="H158" s="7" t="s">
        <v>0</v>
      </c>
      <c r="I158" s="6" t="s">
        <v>55</v>
      </c>
      <c r="J158" s="7" t="s">
        <v>0</v>
      </c>
      <c r="K158" s="8" t="s">
        <v>0</v>
      </c>
      <c r="L158" s="25" t="s">
        <v>6</v>
      </c>
      <c r="XFC158" s="3"/>
    </row>
    <row r="159" spans="1:12 16383:16383" ht="16.5" customHeight="1" x14ac:dyDescent="0.25">
      <c r="A159" s="26">
        <f t="shared" si="6"/>
        <v>43642</v>
      </c>
      <c r="B159" s="27">
        <v>43642</v>
      </c>
      <c r="C159" s="6" t="s">
        <v>56</v>
      </c>
      <c r="D159" s="6" t="s">
        <v>57</v>
      </c>
      <c r="E159" s="21">
        <v>0.58333333333333304</v>
      </c>
      <c r="F159" s="21">
        <v>0.6875</v>
      </c>
      <c r="G159" s="7" t="s">
        <v>24</v>
      </c>
      <c r="H159" s="7" t="s">
        <v>0</v>
      </c>
      <c r="I159" s="6" t="s">
        <v>55</v>
      </c>
      <c r="J159" s="7" t="s">
        <v>0</v>
      </c>
      <c r="K159" s="8" t="s">
        <v>0</v>
      </c>
      <c r="L159" s="3" t="s">
        <v>6</v>
      </c>
    </row>
    <row r="160" spans="1:12 16383:16383" ht="16.5" customHeight="1" x14ac:dyDescent="0.25">
      <c r="A160" s="26">
        <f t="shared" si="6"/>
        <v>43642</v>
      </c>
      <c r="B160" s="27">
        <v>43642</v>
      </c>
      <c r="C160" s="6" t="s">
        <v>94</v>
      </c>
      <c r="D160" s="6" t="s">
        <v>95</v>
      </c>
      <c r="E160" s="21">
        <v>0.79166666666666663</v>
      </c>
      <c r="F160" s="21">
        <v>0.875</v>
      </c>
      <c r="G160" s="7" t="s">
        <v>27</v>
      </c>
      <c r="H160" s="7">
        <v>1</v>
      </c>
      <c r="I160" s="6" t="s">
        <v>49</v>
      </c>
      <c r="J160" s="7" t="s">
        <v>0</v>
      </c>
      <c r="K160" s="8" t="s">
        <v>0</v>
      </c>
    </row>
    <row r="161" spans="1:12 16383:16383" ht="16.5" customHeight="1" x14ac:dyDescent="0.25">
      <c r="A161" s="26">
        <f t="shared" si="6"/>
        <v>43642</v>
      </c>
      <c r="B161" s="27">
        <v>43642</v>
      </c>
      <c r="C161" s="6" t="s">
        <v>122</v>
      </c>
      <c r="D161" s="6" t="s">
        <v>121</v>
      </c>
      <c r="E161" s="30">
        <v>0.5625</v>
      </c>
      <c r="F161" s="30">
        <v>0.64583333333333304</v>
      </c>
      <c r="G161" s="7" t="s">
        <v>30</v>
      </c>
      <c r="H161" s="7" t="s">
        <v>0</v>
      </c>
      <c r="I161" s="6" t="s">
        <v>123</v>
      </c>
      <c r="J161" s="7" t="s">
        <v>0</v>
      </c>
      <c r="K161" s="8" t="s">
        <v>0</v>
      </c>
      <c r="L161" s="3" t="s">
        <v>69</v>
      </c>
    </row>
    <row r="162" spans="1:12 16383:16383" s="25" customFormat="1" ht="16.5" customHeight="1" x14ac:dyDescent="0.25">
      <c r="A162" s="26">
        <f t="shared" si="6"/>
        <v>43642</v>
      </c>
      <c r="B162" s="27">
        <v>43642</v>
      </c>
      <c r="C162" s="29" t="s">
        <v>137</v>
      </c>
      <c r="D162" s="29" t="s">
        <v>105</v>
      </c>
      <c r="E162" s="30">
        <v>0.25</v>
      </c>
      <c r="F162" s="30">
        <v>0.95833333333333337</v>
      </c>
      <c r="G162" s="31" t="s">
        <v>25</v>
      </c>
      <c r="H162" s="31" t="s">
        <v>0</v>
      </c>
      <c r="I162" s="29" t="s">
        <v>13</v>
      </c>
      <c r="J162" s="31" t="s">
        <v>0</v>
      </c>
      <c r="K162" s="8" t="s">
        <v>0</v>
      </c>
      <c r="L162" s="25" t="s">
        <v>69</v>
      </c>
      <c r="XFC162" s="3"/>
    </row>
    <row r="163" spans="1:12 16383:16383" s="25" customFormat="1" ht="16.5" customHeight="1" x14ac:dyDescent="0.25">
      <c r="A163" s="4">
        <f t="shared" si="6"/>
        <v>43643</v>
      </c>
      <c r="B163" s="5">
        <v>43643</v>
      </c>
      <c r="C163" s="10" t="s">
        <v>14</v>
      </c>
      <c r="D163" s="6" t="s">
        <v>15</v>
      </c>
      <c r="E163" s="21">
        <v>0.33333333333333331</v>
      </c>
      <c r="F163" s="21">
        <v>0.70833333333333337</v>
      </c>
      <c r="G163" s="31" t="s">
        <v>27</v>
      </c>
      <c r="H163" s="31">
        <v>1</v>
      </c>
      <c r="I163" s="29" t="s">
        <v>49</v>
      </c>
      <c r="J163" s="7" t="s">
        <v>0</v>
      </c>
      <c r="K163" s="7" t="s">
        <v>0</v>
      </c>
      <c r="L163" s="25" t="s">
        <v>69</v>
      </c>
      <c r="XFC163" s="3"/>
    </row>
    <row r="164" spans="1:12 16383:16383" ht="16.5" customHeight="1" x14ac:dyDescent="0.25">
      <c r="A164" s="4">
        <f t="shared" si="6"/>
        <v>43643</v>
      </c>
      <c r="B164" s="5">
        <v>43643</v>
      </c>
      <c r="C164" s="10" t="s">
        <v>14</v>
      </c>
      <c r="D164" s="6" t="s">
        <v>15</v>
      </c>
      <c r="E164" s="21">
        <v>0.70833333333333337</v>
      </c>
      <c r="F164" s="21">
        <v>0.91666666666666663</v>
      </c>
      <c r="G164" s="31" t="s">
        <v>27</v>
      </c>
      <c r="H164" s="31">
        <v>1</v>
      </c>
      <c r="I164" s="29" t="s">
        <v>66</v>
      </c>
      <c r="J164" s="7" t="s">
        <v>0</v>
      </c>
      <c r="K164" s="7" t="s">
        <v>0</v>
      </c>
    </row>
    <row r="165" spans="1:12 16383:16383" s="25" customFormat="1" ht="16.5" customHeight="1" x14ac:dyDescent="0.25">
      <c r="A165" s="26">
        <f t="shared" si="6"/>
        <v>43643</v>
      </c>
      <c r="B165" s="27">
        <v>43643</v>
      </c>
      <c r="C165" s="6" t="s">
        <v>60</v>
      </c>
      <c r="D165" s="6" t="s">
        <v>61</v>
      </c>
      <c r="E165" s="21">
        <v>0.58333333333333304</v>
      </c>
      <c r="F165" s="21">
        <v>0.6875</v>
      </c>
      <c r="G165" s="7" t="s">
        <v>30</v>
      </c>
      <c r="H165" s="7" t="s">
        <v>0</v>
      </c>
      <c r="I165" s="6" t="s">
        <v>31</v>
      </c>
      <c r="J165" s="7" t="s">
        <v>0</v>
      </c>
      <c r="K165" s="8" t="s">
        <v>0</v>
      </c>
      <c r="L165" s="25" t="s">
        <v>6</v>
      </c>
      <c r="XFC165" s="3"/>
    </row>
    <row r="166" spans="1:12 16383:16383" s="28" customFormat="1" ht="16.5" customHeight="1" x14ac:dyDescent="0.25">
      <c r="A166" s="26">
        <f t="shared" si="6"/>
        <v>43643</v>
      </c>
      <c r="B166" s="27">
        <v>43643</v>
      </c>
      <c r="C166" s="29" t="s">
        <v>137</v>
      </c>
      <c r="D166" s="29" t="s">
        <v>105</v>
      </c>
      <c r="E166" s="30">
        <v>0.25</v>
      </c>
      <c r="F166" s="30">
        <v>0.95833333333333337</v>
      </c>
      <c r="G166" s="31" t="s">
        <v>25</v>
      </c>
      <c r="H166" s="31" t="s">
        <v>0</v>
      </c>
      <c r="I166" s="29" t="s">
        <v>13</v>
      </c>
      <c r="J166" s="31" t="s">
        <v>0</v>
      </c>
      <c r="K166" s="8" t="s">
        <v>0</v>
      </c>
      <c r="L166" s="28" t="s">
        <v>6</v>
      </c>
      <c r="XFC166" s="3"/>
    </row>
    <row r="167" spans="1:12 16383:16383" s="25" customFormat="1" ht="16.5" customHeight="1" x14ac:dyDescent="0.25">
      <c r="A167" s="4">
        <f t="shared" si="6"/>
        <v>43644</v>
      </c>
      <c r="B167" s="5">
        <v>43644</v>
      </c>
      <c r="C167" s="10" t="s">
        <v>14</v>
      </c>
      <c r="D167" s="6" t="s">
        <v>15</v>
      </c>
      <c r="E167" s="21">
        <v>0.33333333333333331</v>
      </c>
      <c r="F167" s="21">
        <v>0.70833333333333337</v>
      </c>
      <c r="G167" s="31" t="s">
        <v>27</v>
      </c>
      <c r="H167" s="31">
        <v>1</v>
      </c>
      <c r="I167" s="29" t="s">
        <v>49</v>
      </c>
      <c r="J167" s="7" t="s">
        <v>0</v>
      </c>
      <c r="K167" s="7" t="s">
        <v>0</v>
      </c>
      <c r="L167" s="25" t="s">
        <v>6</v>
      </c>
      <c r="XFC167" s="3"/>
    </row>
    <row r="168" spans="1:12 16383:16383" ht="16.5" customHeight="1" x14ac:dyDescent="0.25">
      <c r="A168" s="4">
        <f t="shared" si="6"/>
        <v>43644</v>
      </c>
      <c r="B168" s="5">
        <v>43644</v>
      </c>
      <c r="C168" s="10" t="s">
        <v>14</v>
      </c>
      <c r="D168" s="6" t="s">
        <v>15</v>
      </c>
      <c r="E168" s="21">
        <v>0.70833333333333337</v>
      </c>
      <c r="F168" s="21">
        <v>0.91666666666666663</v>
      </c>
      <c r="G168" s="31" t="s">
        <v>27</v>
      </c>
      <c r="H168" s="31">
        <v>1</v>
      </c>
      <c r="I168" s="29" t="s">
        <v>66</v>
      </c>
      <c r="J168" s="7" t="s">
        <v>0</v>
      </c>
      <c r="K168" s="7" t="s">
        <v>0</v>
      </c>
    </row>
    <row r="169" spans="1:12 16383:16383" s="28" customFormat="1" ht="16.5" customHeight="1" x14ac:dyDescent="0.25">
      <c r="A169" s="26">
        <f t="shared" si="6"/>
        <v>43644</v>
      </c>
      <c r="B169" s="27">
        <v>43644</v>
      </c>
      <c r="C169" s="29" t="s">
        <v>10</v>
      </c>
      <c r="D169" s="29" t="s">
        <v>7</v>
      </c>
      <c r="E169" s="30">
        <v>0.8125</v>
      </c>
      <c r="F169" s="30">
        <v>0.95833333333333337</v>
      </c>
      <c r="G169" s="31" t="s">
        <v>24</v>
      </c>
      <c r="H169" s="31" t="s">
        <v>0</v>
      </c>
      <c r="I169" s="29" t="s">
        <v>8</v>
      </c>
      <c r="J169" s="31" t="s">
        <v>6</v>
      </c>
      <c r="K169" s="8" t="s">
        <v>39</v>
      </c>
      <c r="L169" s="28" t="s">
        <v>69</v>
      </c>
      <c r="XFC169" s="3"/>
    </row>
    <row r="170" spans="1:12 16383:16383" s="28" customFormat="1" ht="16.5" customHeight="1" x14ac:dyDescent="0.25">
      <c r="A170" s="26">
        <f t="shared" si="6"/>
        <v>43644</v>
      </c>
      <c r="B170" s="27">
        <v>43644</v>
      </c>
      <c r="C170" s="29" t="s">
        <v>14</v>
      </c>
      <c r="D170" s="29" t="s">
        <v>15</v>
      </c>
      <c r="E170" s="30">
        <v>0.33333333333333331</v>
      </c>
      <c r="F170" s="30">
        <v>0.91666666666666663</v>
      </c>
      <c r="G170" s="31" t="s">
        <v>27</v>
      </c>
      <c r="H170" s="31">
        <v>1</v>
      </c>
      <c r="I170" s="29" t="s">
        <v>8</v>
      </c>
      <c r="J170" s="31" t="s">
        <v>0</v>
      </c>
      <c r="K170" s="8" t="s">
        <v>0</v>
      </c>
      <c r="L170" s="28" t="s">
        <v>69</v>
      </c>
      <c r="XFC170" s="3"/>
    </row>
    <row r="171" spans="1:12 16383:16383" s="64" customFormat="1" ht="16.5" customHeight="1" x14ac:dyDescent="0.25">
      <c r="A171" s="26">
        <f t="shared" si="6"/>
        <v>43644</v>
      </c>
      <c r="B171" s="27">
        <v>43644</v>
      </c>
      <c r="C171" s="29" t="s">
        <v>137</v>
      </c>
      <c r="D171" s="29" t="s">
        <v>105</v>
      </c>
      <c r="E171" s="30">
        <v>0.25</v>
      </c>
      <c r="F171" s="30">
        <v>0.95833333333333337</v>
      </c>
      <c r="G171" s="31" t="s">
        <v>25</v>
      </c>
      <c r="H171" s="31" t="s">
        <v>0</v>
      </c>
      <c r="I171" s="29" t="s">
        <v>13</v>
      </c>
      <c r="J171" s="31" t="s">
        <v>0</v>
      </c>
      <c r="K171" s="8" t="s">
        <v>0</v>
      </c>
    </row>
    <row r="172" spans="1:12 16383:16383" s="65" customFormat="1" ht="16.5" customHeight="1" x14ac:dyDescent="0.25">
      <c r="A172" s="39">
        <f t="shared" si="6"/>
        <v>43645</v>
      </c>
      <c r="B172" s="14">
        <v>43645</v>
      </c>
      <c r="C172" s="15" t="s">
        <v>14</v>
      </c>
      <c r="D172" s="15" t="s">
        <v>15</v>
      </c>
      <c r="E172" s="22">
        <v>0.33333333333333331</v>
      </c>
      <c r="F172" s="22">
        <v>0.5</v>
      </c>
      <c r="G172" s="16" t="s">
        <v>27</v>
      </c>
      <c r="H172" s="16">
        <v>2</v>
      </c>
      <c r="I172" s="15" t="s">
        <v>59</v>
      </c>
      <c r="J172" s="16" t="s">
        <v>0</v>
      </c>
      <c r="K172" s="16" t="s">
        <v>0</v>
      </c>
      <c r="L172" s="65" t="s">
        <v>69</v>
      </c>
      <c r="XFC172" s="64"/>
    </row>
    <row r="173" spans="1:12 16383:16383" ht="16.5" customHeight="1" x14ac:dyDescent="0.25">
      <c r="A173" s="13">
        <f t="shared" si="6"/>
        <v>43645</v>
      </c>
      <c r="B173" s="14">
        <v>43645</v>
      </c>
      <c r="C173" s="15" t="s">
        <v>37</v>
      </c>
      <c r="D173" s="15" t="s">
        <v>7</v>
      </c>
      <c r="E173" s="22">
        <v>0.33333333333333331</v>
      </c>
      <c r="F173" s="22">
        <v>0.58333333333333337</v>
      </c>
      <c r="G173" s="16" t="s">
        <v>26</v>
      </c>
      <c r="H173" s="16" t="s">
        <v>0</v>
      </c>
      <c r="I173" s="15" t="s">
        <v>35</v>
      </c>
      <c r="J173" s="16" t="s">
        <v>6</v>
      </c>
      <c r="K173" s="16" t="s">
        <v>0</v>
      </c>
      <c r="L173" s="3" t="s">
        <v>6</v>
      </c>
    </row>
    <row r="174" spans="1:12 16383:16383" s="1" customFormat="1" ht="16.5" customHeight="1" x14ac:dyDescent="0.25">
      <c r="A174" s="13">
        <f t="shared" si="6"/>
        <v>43645</v>
      </c>
      <c r="B174" s="14">
        <v>43645</v>
      </c>
      <c r="C174" s="15" t="s">
        <v>34</v>
      </c>
      <c r="D174" s="15" t="s">
        <v>7</v>
      </c>
      <c r="E174" s="22">
        <v>0.33333333333333331</v>
      </c>
      <c r="F174" s="22">
        <v>0.58333333333333337</v>
      </c>
      <c r="G174" s="16" t="s">
        <v>26</v>
      </c>
      <c r="H174" s="16" t="s">
        <v>0</v>
      </c>
      <c r="I174" s="15" t="s">
        <v>35</v>
      </c>
      <c r="J174" s="16" t="s">
        <v>6</v>
      </c>
      <c r="K174" s="16" t="s">
        <v>36</v>
      </c>
      <c r="L174" s="1" t="s">
        <v>6</v>
      </c>
      <c r="XFC174" s="3"/>
    </row>
    <row r="175" spans="1:12 16383:16383" ht="16.5" customHeight="1" x14ac:dyDescent="0.25">
      <c r="A175" s="13">
        <v>43645</v>
      </c>
      <c r="B175" s="14">
        <v>43645</v>
      </c>
      <c r="C175" s="17" t="s">
        <v>19</v>
      </c>
      <c r="D175" s="15" t="s">
        <v>7</v>
      </c>
      <c r="E175" s="22">
        <v>0.33333333333333331</v>
      </c>
      <c r="F175" s="22">
        <v>0.54166666666666663</v>
      </c>
      <c r="G175" s="16" t="s">
        <v>26</v>
      </c>
      <c r="H175" s="16" t="s">
        <v>0</v>
      </c>
      <c r="I175" s="15" t="s">
        <v>32</v>
      </c>
      <c r="J175" s="16" t="s">
        <v>6</v>
      </c>
      <c r="K175" s="16" t="s">
        <v>33</v>
      </c>
      <c r="L175" s="3" t="s">
        <v>6</v>
      </c>
    </row>
    <row r="176" spans="1:12 16383:16383" ht="16.5" customHeight="1" x14ac:dyDescent="0.25">
      <c r="A176" s="13">
        <v>43645</v>
      </c>
      <c r="B176" s="14">
        <v>43645</v>
      </c>
      <c r="C176" s="17" t="s">
        <v>20</v>
      </c>
      <c r="D176" s="15" t="s">
        <v>7</v>
      </c>
      <c r="E176" s="22">
        <v>0.33333333333333331</v>
      </c>
      <c r="F176" s="22">
        <v>0.54166666666666663</v>
      </c>
      <c r="G176" s="16" t="s">
        <v>26</v>
      </c>
      <c r="H176" s="16" t="s">
        <v>0</v>
      </c>
      <c r="I176" s="15" t="s">
        <v>9</v>
      </c>
      <c r="J176" s="16" t="s">
        <v>6</v>
      </c>
      <c r="K176" s="16" t="s">
        <v>33</v>
      </c>
      <c r="L176" s="3" t="s">
        <v>69</v>
      </c>
    </row>
    <row r="177" spans="1:12 16383:16383" s="64" customFormat="1" ht="16.5" customHeight="1" x14ac:dyDescent="0.25">
      <c r="A177" s="13">
        <v>43645</v>
      </c>
      <c r="B177" s="14">
        <v>43645</v>
      </c>
      <c r="C177" s="15" t="s">
        <v>18</v>
      </c>
      <c r="D177" s="15" t="s">
        <v>7</v>
      </c>
      <c r="E177" s="22">
        <v>0.33333333333333331</v>
      </c>
      <c r="F177" s="22">
        <v>0.70833333333333337</v>
      </c>
      <c r="G177" s="16" t="s">
        <v>26</v>
      </c>
      <c r="H177" s="16" t="s">
        <v>0</v>
      </c>
      <c r="I177" s="15" t="s">
        <v>130</v>
      </c>
      <c r="J177" s="16" t="s">
        <v>6</v>
      </c>
      <c r="K177" s="16" t="s">
        <v>38</v>
      </c>
      <c r="L177" s="64" t="s">
        <v>69</v>
      </c>
    </row>
    <row r="178" spans="1:12 16383:16383" ht="16.5" customHeight="1" x14ac:dyDescent="0.25">
      <c r="A178" s="13">
        <f t="shared" ref="A178:A202" si="7">B178</f>
        <v>43645</v>
      </c>
      <c r="B178" s="14">
        <v>43645</v>
      </c>
      <c r="C178" s="18" t="s">
        <v>10</v>
      </c>
      <c r="D178" s="18" t="s">
        <v>7</v>
      </c>
      <c r="E178" s="23">
        <v>0.33333333333333331</v>
      </c>
      <c r="F178" s="23">
        <v>0.58333333333333337</v>
      </c>
      <c r="G178" s="19" t="s">
        <v>24</v>
      </c>
      <c r="H178" s="19" t="s">
        <v>0</v>
      </c>
      <c r="I178" s="18" t="s">
        <v>8</v>
      </c>
      <c r="J178" s="19" t="s">
        <v>6</v>
      </c>
      <c r="K178" s="16" t="s">
        <v>40</v>
      </c>
      <c r="L178" s="3" t="s">
        <v>69</v>
      </c>
    </row>
    <row r="179" spans="1:12 16383:16383" ht="16.5" customHeight="1" x14ac:dyDescent="0.25">
      <c r="A179" s="13">
        <f t="shared" si="7"/>
        <v>43645</v>
      </c>
      <c r="B179" s="14">
        <v>43645</v>
      </c>
      <c r="C179" s="15" t="s">
        <v>91</v>
      </c>
      <c r="D179" s="15" t="s">
        <v>7</v>
      </c>
      <c r="E179" s="23">
        <v>0.33333333333333331</v>
      </c>
      <c r="F179" s="23">
        <v>0.68055555555555547</v>
      </c>
      <c r="G179" s="16" t="s">
        <v>92</v>
      </c>
      <c r="H179" s="16" t="s">
        <v>0</v>
      </c>
      <c r="I179" s="15" t="s">
        <v>93</v>
      </c>
      <c r="J179" s="16" t="s">
        <v>0</v>
      </c>
      <c r="K179" s="16" t="s">
        <v>33</v>
      </c>
    </row>
    <row r="180" spans="1:12 16383:16383" ht="16.5" customHeight="1" x14ac:dyDescent="0.25">
      <c r="A180" s="13">
        <f t="shared" si="7"/>
        <v>43645</v>
      </c>
      <c r="B180" s="14">
        <v>43645</v>
      </c>
      <c r="C180" s="15" t="s">
        <v>94</v>
      </c>
      <c r="D180" s="15" t="s">
        <v>95</v>
      </c>
      <c r="E180" s="22">
        <v>0.33333333333333331</v>
      </c>
      <c r="F180" s="22">
        <v>0.5</v>
      </c>
      <c r="G180" s="16" t="s">
        <v>27</v>
      </c>
      <c r="H180" s="16">
        <v>1</v>
      </c>
      <c r="I180" s="15" t="s">
        <v>49</v>
      </c>
      <c r="J180" s="16" t="s">
        <v>0</v>
      </c>
      <c r="K180" s="16" t="s">
        <v>0</v>
      </c>
      <c r="L180" s="3" t="s">
        <v>6</v>
      </c>
    </row>
    <row r="181" spans="1:12 16383:16383" ht="16.5" customHeight="1" x14ac:dyDescent="0.25">
      <c r="A181" s="13">
        <f t="shared" si="7"/>
        <v>43645</v>
      </c>
      <c r="B181" s="14">
        <v>43645</v>
      </c>
      <c r="C181" s="15" t="s">
        <v>108</v>
      </c>
      <c r="D181" s="15" t="s">
        <v>109</v>
      </c>
      <c r="E181" s="22">
        <v>0.375</v>
      </c>
      <c r="F181" s="22">
        <v>0.54166666666666663</v>
      </c>
      <c r="G181" s="16" t="s">
        <v>27</v>
      </c>
      <c r="H181" s="16">
        <v>3</v>
      </c>
      <c r="I181" s="15" t="s">
        <v>59</v>
      </c>
      <c r="J181" s="16" t="s">
        <v>0</v>
      </c>
      <c r="K181" s="16" t="s">
        <v>0</v>
      </c>
      <c r="L181" s="3" t="s">
        <v>6</v>
      </c>
    </row>
    <row r="182" spans="1:12 16383:16383" s="1" customFormat="1" ht="16.5" customHeight="1" x14ac:dyDescent="0.25">
      <c r="A182" s="13">
        <f t="shared" si="7"/>
        <v>43646</v>
      </c>
      <c r="B182" s="14">
        <v>43646</v>
      </c>
      <c r="C182" s="15" t="s">
        <v>124</v>
      </c>
      <c r="D182" s="15" t="s">
        <v>125</v>
      </c>
      <c r="E182" s="22">
        <v>0.375</v>
      </c>
      <c r="F182" s="22">
        <v>0.5</v>
      </c>
      <c r="G182" s="16" t="s">
        <v>23</v>
      </c>
      <c r="H182" s="16">
        <v>2</v>
      </c>
      <c r="I182" s="15" t="s">
        <v>79</v>
      </c>
      <c r="J182" s="16" t="s">
        <v>0</v>
      </c>
      <c r="K182" s="16" t="s">
        <v>0</v>
      </c>
      <c r="L182" s="1" t="s">
        <v>6</v>
      </c>
      <c r="XFC182" s="3"/>
    </row>
    <row r="183" spans="1:12 16383:16383" ht="16.5" customHeight="1" x14ac:dyDescent="0.25">
      <c r="A183" s="26">
        <f t="shared" si="7"/>
        <v>43649</v>
      </c>
      <c r="B183" s="27">
        <v>43649</v>
      </c>
      <c r="C183" s="57" t="s">
        <v>51</v>
      </c>
      <c r="D183" s="6" t="s">
        <v>52</v>
      </c>
      <c r="E183" s="21">
        <v>0.375</v>
      </c>
      <c r="F183" s="21">
        <v>0.625</v>
      </c>
      <c r="G183" s="7" t="s">
        <v>25</v>
      </c>
      <c r="H183" s="7" t="s">
        <v>0</v>
      </c>
      <c r="I183" s="6" t="s">
        <v>50</v>
      </c>
      <c r="J183" s="7" t="s">
        <v>0</v>
      </c>
      <c r="K183" s="8" t="s">
        <v>0</v>
      </c>
    </row>
    <row r="184" spans="1:12 16383:16383" s="1" customFormat="1" ht="16.5" customHeight="1" x14ac:dyDescent="0.25">
      <c r="A184" s="26">
        <f t="shared" si="7"/>
        <v>43649</v>
      </c>
      <c r="B184" s="27">
        <v>43649</v>
      </c>
      <c r="C184" s="57" t="s">
        <v>53</v>
      </c>
      <c r="D184" s="6" t="s">
        <v>54</v>
      </c>
      <c r="E184" s="21">
        <v>0.77083333333333304</v>
      </c>
      <c r="F184" s="21">
        <v>0.8125</v>
      </c>
      <c r="G184" s="7" t="s">
        <v>24</v>
      </c>
      <c r="H184" s="7" t="s">
        <v>0</v>
      </c>
      <c r="I184" s="6" t="s">
        <v>55</v>
      </c>
      <c r="J184" s="7" t="s">
        <v>0</v>
      </c>
      <c r="K184" s="8" t="s">
        <v>0</v>
      </c>
      <c r="L184" s="1" t="s">
        <v>69</v>
      </c>
      <c r="XFC184" s="3"/>
    </row>
    <row r="185" spans="1:12 16383:16383" ht="16.5" customHeight="1" x14ac:dyDescent="0.25">
      <c r="A185" s="26">
        <f t="shared" si="7"/>
        <v>43649</v>
      </c>
      <c r="B185" s="27">
        <v>43649</v>
      </c>
      <c r="C185" s="57" t="s">
        <v>56</v>
      </c>
      <c r="D185" s="6" t="s">
        <v>57</v>
      </c>
      <c r="E185" s="21">
        <v>0.58333333333333304</v>
      </c>
      <c r="F185" s="21">
        <v>0.6875</v>
      </c>
      <c r="G185" s="7" t="s">
        <v>24</v>
      </c>
      <c r="H185" s="7" t="s">
        <v>0</v>
      </c>
      <c r="I185" s="6" t="s">
        <v>55</v>
      </c>
      <c r="J185" s="7" t="s">
        <v>0</v>
      </c>
      <c r="K185" s="8" t="s">
        <v>0</v>
      </c>
      <c r="L185" s="3" t="s">
        <v>69</v>
      </c>
    </row>
    <row r="186" spans="1:12 16383:16383" s="1" customFormat="1" ht="16.5" customHeight="1" x14ac:dyDescent="0.25">
      <c r="A186" s="26">
        <f t="shared" si="7"/>
        <v>43649</v>
      </c>
      <c r="B186" s="27">
        <v>43649</v>
      </c>
      <c r="C186" s="6" t="s">
        <v>94</v>
      </c>
      <c r="D186" s="6" t="s">
        <v>95</v>
      </c>
      <c r="E186" s="21">
        <v>0.79166666666666663</v>
      </c>
      <c r="F186" s="21">
        <v>0.875</v>
      </c>
      <c r="G186" s="7" t="s">
        <v>27</v>
      </c>
      <c r="H186" s="7">
        <v>1</v>
      </c>
      <c r="I186" s="6" t="s">
        <v>49</v>
      </c>
      <c r="J186" s="7" t="s">
        <v>0</v>
      </c>
      <c r="K186" s="8" t="s">
        <v>0</v>
      </c>
      <c r="L186" s="1" t="s">
        <v>69</v>
      </c>
      <c r="XFC186" s="3"/>
    </row>
    <row r="187" spans="1:12 16383:16383" ht="16.5" customHeight="1" x14ac:dyDescent="0.25">
      <c r="A187" s="26">
        <f t="shared" si="7"/>
        <v>43649</v>
      </c>
      <c r="B187" s="27">
        <v>43649</v>
      </c>
      <c r="C187" s="6" t="s">
        <v>122</v>
      </c>
      <c r="D187" s="6" t="s">
        <v>121</v>
      </c>
      <c r="E187" s="30">
        <v>0.5625</v>
      </c>
      <c r="F187" s="30">
        <v>0.64583333333333304</v>
      </c>
      <c r="G187" s="7" t="s">
        <v>30</v>
      </c>
      <c r="H187" s="7" t="s">
        <v>0</v>
      </c>
      <c r="I187" s="6" t="s">
        <v>123</v>
      </c>
      <c r="J187" s="7" t="s">
        <v>0</v>
      </c>
      <c r="K187" s="8" t="s">
        <v>0</v>
      </c>
    </row>
    <row r="188" spans="1:12 16383:16383" ht="16.5" customHeight="1" x14ac:dyDescent="0.25">
      <c r="A188" s="26">
        <f t="shared" si="7"/>
        <v>43651</v>
      </c>
      <c r="B188" s="27">
        <v>43651</v>
      </c>
      <c r="C188" s="29" t="s">
        <v>10</v>
      </c>
      <c r="D188" s="29" t="s">
        <v>7</v>
      </c>
      <c r="E188" s="30">
        <v>0.8125</v>
      </c>
      <c r="F188" s="30">
        <v>0.95833333333333337</v>
      </c>
      <c r="G188" s="31" t="s">
        <v>24</v>
      </c>
      <c r="H188" s="31" t="s">
        <v>0</v>
      </c>
      <c r="I188" s="29" t="s">
        <v>8</v>
      </c>
      <c r="J188" s="31" t="s">
        <v>6</v>
      </c>
      <c r="K188" s="8" t="s">
        <v>39</v>
      </c>
      <c r="L188" s="3" t="s">
        <v>69</v>
      </c>
    </row>
    <row r="189" spans="1:12 16383:16383" ht="16.5" customHeight="1" x14ac:dyDescent="0.25">
      <c r="A189" s="26">
        <f t="shared" si="7"/>
        <v>43651</v>
      </c>
      <c r="B189" s="27">
        <v>43651</v>
      </c>
      <c r="C189" s="29" t="s">
        <v>14</v>
      </c>
      <c r="D189" s="29" t="s">
        <v>15</v>
      </c>
      <c r="E189" s="30">
        <v>0.33333333333333331</v>
      </c>
      <c r="F189" s="30">
        <v>0.91666666666666663</v>
      </c>
      <c r="G189" s="31" t="s">
        <v>27</v>
      </c>
      <c r="H189" s="31">
        <v>1</v>
      </c>
      <c r="I189" s="29" t="s">
        <v>49</v>
      </c>
      <c r="J189" s="31" t="s">
        <v>0</v>
      </c>
      <c r="K189" s="8" t="s">
        <v>0</v>
      </c>
      <c r="L189" s="3" t="s">
        <v>69</v>
      </c>
    </row>
    <row r="190" spans="1:12 16383:16383" s="1" customFormat="1" ht="16.5" customHeight="1" x14ac:dyDescent="0.25">
      <c r="A190" s="13">
        <f t="shared" si="7"/>
        <v>43652</v>
      </c>
      <c r="B190" s="14">
        <v>43652</v>
      </c>
      <c r="C190" s="18" t="s">
        <v>14</v>
      </c>
      <c r="D190" s="18" t="s">
        <v>15</v>
      </c>
      <c r="E190" s="23">
        <v>0.33333333333333331</v>
      </c>
      <c r="F190" s="23">
        <v>0.5</v>
      </c>
      <c r="G190" s="19" t="s">
        <v>27</v>
      </c>
      <c r="H190" s="19">
        <v>1</v>
      </c>
      <c r="I190" s="18" t="s">
        <v>49</v>
      </c>
      <c r="J190" s="19" t="s">
        <v>0</v>
      </c>
      <c r="K190" s="16" t="s">
        <v>0</v>
      </c>
      <c r="L190" s="1" t="s">
        <v>6</v>
      </c>
      <c r="XFC190" s="3"/>
    </row>
    <row r="191" spans="1:12 16383:16383" ht="16.5" customHeight="1" x14ac:dyDescent="0.25">
      <c r="A191" s="13">
        <f t="shared" si="7"/>
        <v>43652</v>
      </c>
      <c r="B191" s="14">
        <v>43652</v>
      </c>
      <c r="C191" s="18" t="s">
        <v>10</v>
      </c>
      <c r="D191" s="18" t="s">
        <v>7</v>
      </c>
      <c r="E191" s="23">
        <v>0.33333333333333331</v>
      </c>
      <c r="F191" s="23">
        <v>0.58333333333333337</v>
      </c>
      <c r="G191" s="19" t="s">
        <v>24</v>
      </c>
      <c r="H191" s="19" t="s">
        <v>0</v>
      </c>
      <c r="I191" s="18" t="s">
        <v>8</v>
      </c>
      <c r="J191" s="19" t="s">
        <v>6</v>
      </c>
      <c r="K191" s="16" t="s">
        <v>40</v>
      </c>
      <c r="L191" s="3" t="s">
        <v>6</v>
      </c>
    </row>
    <row r="192" spans="1:12 16383:16383" s="1" customFormat="1" ht="16.5" customHeight="1" x14ac:dyDescent="0.25">
      <c r="A192" s="13">
        <f t="shared" si="7"/>
        <v>43652</v>
      </c>
      <c r="B192" s="14">
        <v>43652</v>
      </c>
      <c r="C192" s="15" t="s">
        <v>94</v>
      </c>
      <c r="D192" s="15" t="s">
        <v>95</v>
      </c>
      <c r="E192" s="22">
        <v>0.33333333333333331</v>
      </c>
      <c r="F192" s="22">
        <v>0.5</v>
      </c>
      <c r="G192" s="16" t="s">
        <v>27</v>
      </c>
      <c r="H192" s="16">
        <v>1</v>
      </c>
      <c r="I192" s="15" t="s">
        <v>79</v>
      </c>
      <c r="J192" s="16" t="s">
        <v>0</v>
      </c>
      <c r="K192" s="16" t="s">
        <v>0</v>
      </c>
      <c r="L192" s="1" t="s">
        <v>6</v>
      </c>
      <c r="XFC192" s="3"/>
    </row>
    <row r="193" spans="1:12 16383:16383" ht="16.5" customHeight="1" x14ac:dyDescent="0.25">
      <c r="A193" s="13">
        <f t="shared" si="7"/>
        <v>43652</v>
      </c>
      <c r="B193" s="14">
        <v>43652</v>
      </c>
      <c r="C193" s="17" t="s">
        <v>112</v>
      </c>
      <c r="D193" s="15" t="s">
        <v>15</v>
      </c>
      <c r="E193" s="22">
        <v>0.35416666666666669</v>
      </c>
      <c r="F193" s="22">
        <v>0.52083333333333337</v>
      </c>
      <c r="G193" s="16" t="s">
        <v>26</v>
      </c>
      <c r="H193" s="16" t="s">
        <v>0</v>
      </c>
      <c r="I193" s="15" t="s">
        <v>110</v>
      </c>
      <c r="J193" s="16" t="s">
        <v>0</v>
      </c>
      <c r="K193" s="16" t="s">
        <v>0</v>
      </c>
    </row>
    <row r="194" spans="1:12 16383:16383" ht="16.5" customHeight="1" x14ac:dyDescent="0.25">
      <c r="A194" s="13">
        <f t="shared" si="7"/>
        <v>43652</v>
      </c>
      <c r="B194" s="14">
        <v>43652</v>
      </c>
      <c r="C194" s="15" t="s">
        <v>138</v>
      </c>
      <c r="D194" s="15" t="s">
        <v>177</v>
      </c>
      <c r="E194" s="22">
        <v>0.33333333333333331</v>
      </c>
      <c r="F194" s="22">
        <v>0.5</v>
      </c>
      <c r="G194" s="16" t="s">
        <v>27</v>
      </c>
      <c r="H194" s="16">
        <v>2</v>
      </c>
      <c r="I194" s="15" t="s">
        <v>49</v>
      </c>
      <c r="J194" s="16" t="s">
        <v>0</v>
      </c>
      <c r="K194" s="16" t="s">
        <v>0</v>
      </c>
      <c r="L194" s="3" t="s">
        <v>69</v>
      </c>
    </row>
    <row r="195" spans="1:12 16383:16383" ht="16.5" customHeight="1" x14ac:dyDescent="0.25">
      <c r="A195" s="26">
        <f t="shared" si="7"/>
        <v>43656</v>
      </c>
      <c r="B195" s="27">
        <v>43656</v>
      </c>
      <c r="C195" s="6" t="s">
        <v>51</v>
      </c>
      <c r="D195" s="6" t="s">
        <v>52</v>
      </c>
      <c r="E195" s="21">
        <v>0.375</v>
      </c>
      <c r="F195" s="21">
        <v>0.625</v>
      </c>
      <c r="G195" s="7" t="s">
        <v>25</v>
      </c>
      <c r="H195" s="7" t="s">
        <v>0</v>
      </c>
      <c r="I195" s="6" t="s">
        <v>50</v>
      </c>
      <c r="J195" s="7" t="s">
        <v>0</v>
      </c>
      <c r="K195" s="8" t="s">
        <v>0</v>
      </c>
      <c r="L195" s="3" t="s">
        <v>69</v>
      </c>
    </row>
    <row r="196" spans="1:12 16383:16383" ht="16.5" customHeight="1" x14ac:dyDescent="0.25">
      <c r="A196" s="26">
        <f t="shared" si="7"/>
        <v>43656</v>
      </c>
      <c r="B196" s="27">
        <v>43656</v>
      </c>
      <c r="C196" s="6" t="s">
        <v>53</v>
      </c>
      <c r="D196" s="6" t="s">
        <v>54</v>
      </c>
      <c r="E196" s="21">
        <v>0.77083333333333304</v>
      </c>
      <c r="F196" s="21">
        <v>0.8125</v>
      </c>
      <c r="G196" s="7" t="s">
        <v>24</v>
      </c>
      <c r="H196" s="7" t="s">
        <v>0</v>
      </c>
      <c r="I196" s="6" t="s">
        <v>55</v>
      </c>
      <c r="J196" s="7" t="s">
        <v>0</v>
      </c>
      <c r="K196" s="8" t="s">
        <v>0</v>
      </c>
      <c r="L196" s="3" t="s">
        <v>69</v>
      </c>
    </row>
    <row r="197" spans="1:12 16383:16383" ht="16.5" customHeight="1" x14ac:dyDescent="0.25">
      <c r="A197" s="26">
        <f t="shared" si="7"/>
        <v>43656</v>
      </c>
      <c r="B197" s="27">
        <v>43656</v>
      </c>
      <c r="C197" s="6" t="s">
        <v>56</v>
      </c>
      <c r="D197" s="6" t="s">
        <v>57</v>
      </c>
      <c r="E197" s="21">
        <v>0.58333333333333304</v>
      </c>
      <c r="F197" s="21">
        <v>0.6875</v>
      </c>
      <c r="G197" s="7" t="s">
        <v>24</v>
      </c>
      <c r="H197" s="7" t="s">
        <v>0</v>
      </c>
      <c r="I197" s="6" t="s">
        <v>55</v>
      </c>
      <c r="J197" s="7" t="s">
        <v>0</v>
      </c>
      <c r="K197" s="8" t="s">
        <v>0</v>
      </c>
      <c r="L197" s="3" t="s">
        <v>6</v>
      </c>
    </row>
    <row r="198" spans="1:12 16383:16383" ht="16.5" customHeight="1" x14ac:dyDescent="0.25">
      <c r="A198" s="26">
        <f t="shared" si="7"/>
        <v>43656</v>
      </c>
      <c r="B198" s="27">
        <v>43656</v>
      </c>
      <c r="C198" s="6" t="s">
        <v>94</v>
      </c>
      <c r="D198" s="6" t="s">
        <v>95</v>
      </c>
      <c r="E198" s="21">
        <v>0.79166666666666663</v>
      </c>
      <c r="F198" s="21">
        <v>0.875</v>
      </c>
      <c r="G198" s="7" t="s">
        <v>27</v>
      </c>
      <c r="H198" s="7">
        <v>1</v>
      </c>
      <c r="I198" s="6" t="s">
        <v>49</v>
      </c>
      <c r="J198" s="7" t="s">
        <v>0</v>
      </c>
      <c r="K198" s="8" t="s">
        <v>0</v>
      </c>
      <c r="L198" s="3" t="s">
        <v>6</v>
      </c>
    </row>
    <row r="199" spans="1:12 16383:16383" ht="16.5" customHeight="1" x14ac:dyDescent="0.25">
      <c r="A199" s="26">
        <f t="shared" si="7"/>
        <v>43656</v>
      </c>
      <c r="B199" s="27">
        <v>43656</v>
      </c>
      <c r="C199" s="6" t="s">
        <v>122</v>
      </c>
      <c r="D199" s="6" t="s">
        <v>121</v>
      </c>
      <c r="E199" s="30">
        <v>0.5625</v>
      </c>
      <c r="F199" s="30">
        <v>0.64583333333333304</v>
      </c>
      <c r="G199" s="7" t="s">
        <v>30</v>
      </c>
      <c r="H199" s="7" t="s">
        <v>0</v>
      </c>
      <c r="I199" s="6" t="s">
        <v>123</v>
      </c>
      <c r="J199" s="7" t="s">
        <v>0</v>
      </c>
      <c r="K199" s="8" t="s">
        <v>0</v>
      </c>
      <c r="L199" s="3" t="s">
        <v>6</v>
      </c>
    </row>
    <row r="200" spans="1:12 16383:16383" ht="16.5" customHeight="1" x14ac:dyDescent="0.25">
      <c r="A200" s="26">
        <f t="shared" si="7"/>
        <v>43658</v>
      </c>
      <c r="B200" s="27">
        <v>43658</v>
      </c>
      <c r="C200" s="29" t="s">
        <v>10</v>
      </c>
      <c r="D200" s="29" t="s">
        <v>7</v>
      </c>
      <c r="E200" s="30">
        <v>0.8125</v>
      </c>
      <c r="F200" s="30">
        <v>0.95833333333333337</v>
      </c>
      <c r="G200" s="31" t="s">
        <v>24</v>
      </c>
      <c r="H200" s="31" t="s">
        <v>0</v>
      </c>
      <c r="I200" s="29" t="s">
        <v>8</v>
      </c>
      <c r="J200" s="31" t="s">
        <v>6</v>
      </c>
      <c r="K200" s="8" t="s">
        <v>39</v>
      </c>
    </row>
    <row r="201" spans="1:12 16383:16383" ht="16.5" customHeight="1" x14ac:dyDescent="0.25">
      <c r="A201" s="13">
        <f t="shared" si="7"/>
        <v>43659</v>
      </c>
      <c r="B201" s="14">
        <v>43659</v>
      </c>
      <c r="C201" s="15" t="s">
        <v>37</v>
      </c>
      <c r="D201" s="15" t="s">
        <v>7</v>
      </c>
      <c r="E201" s="22">
        <v>0.33333333333333331</v>
      </c>
      <c r="F201" s="22">
        <v>0.58333333333333337</v>
      </c>
      <c r="G201" s="16" t="s">
        <v>26</v>
      </c>
      <c r="H201" s="16" t="s">
        <v>0</v>
      </c>
      <c r="I201" s="15" t="s">
        <v>35</v>
      </c>
      <c r="J201" s="16" t="s">
        <v>6</v>
      </c>
      <c r="K201" s="16" t="s">
        <v>0</v>
      </c>
      <c r="L201" s="3" t="s">
        <v>69</v>
      </c>
    </row>
    <row r="202" spans="1:12 16383:16383" ht="16.5" customHeight="1" x14ac:dyDescent="0.25">
      <c r="A202" s="13">
        <f t="shared" si="7"/>
        <v>43659</v>
      </c>
      <c r="B202" s="14">
        <v>43659</v>
      </c>
      <c r="C202" s="15" t="s">
        <v>34</v>
      </c>
      <c r="D202" s="15" t="s">
        <v>7</v>
      </c>
      <c r="E202" s="22">
        <v>0.33333333333333331</v>
      </c>
      <c r="F202" s="22">
        <v>0.58333333333333337</v>
      </c>
      <c r="G202" s="16" t="s">
        <v>26</v>
      </c>
      <c r="H202" s="16" t="s">
        <v>0</v>
      </c>
      <c r="I202" s="15" t="s">
        <v>35</v>
      </c>
      <c r="J202" s="16" t="s">
        <v>6</v>
      </c>
      <c r="K202" s="16" t="s">
        <v>36</v>
      </c>
      <c r="L202" s="3" t="s">
        <v>69</v>
      </c>
    </row>
    <row r="203" spans="1:12 16383:16383" ht="16.5" customHeight="1" x14ac:dyDescent="0.25">
      <c r="A203" s="13">
        <v>43659</v>
      </c>
      <c r="B203" s="14">
        <v>43659</v>
      </c>
      <c r="C203" s="17" t="s">
        <v>19</v>
      </c>
      <c r="D203" s="15" t="s">
        <v>7</v>
      </c>
      <c r="E203" s="22">
        <v>0.33333333333333331</v>
      </c>
      <c r="F203" s="22">
        <v>0.54166666666666663</v>
      </c>
      <c r="G203" s="16" t="s">
        <v>26</v>
      </c>
      <c r="H203" s="16" t="s">
        <v>0</v>
      </c>
      <c r="I203" s="15" t="s">
        <v>32</v>
      </c>
      <c r="J203" s="16" t="s">
        <v>6</v>
      </c>
      <c r="K203" s="16" t="s">
        <v>33</v>
      </c>
      <c r="L203" s="3" t="s">
        <v>69</v>
      </c>
    </row>
    <row r="204" spans="1:12 16383:16383" ht="16.5" customHeight="1" x14ac:dyDescent="0.25">
      <c r="A204" s="13">
        <v>43624</v>
      </c>
      <c r="B204" s="14">
        <v>43659</v>
      </c>
      <c r="C204" s="17" t="s">
        <v>20</v>
      </c>
      <c r="D204" s="15" t="s">
        <v>7</v>
      </c>
      <c r="E204" s="22">
        <v>0.33333333333333331</v>
      </c>
      <c r="F204" s="22">
        <v>0.54166666666666663</v>
      </c>
      <c r="G204" s="16" t="s">
        <v>26</v>
      </c>
      <c r="H204" s="16" t="s">
        <v>0</v>
      </c>
      <c r="I204" s="15" t="s">
        <v>9</v>
      </c>
      <c r="J204" s="16" t="s">
        <v>6</v>
      </c>
      <c r="K204" s="16" t="s">
        <v>33</v>
      </c>
    </row>
    <row r="205" spans="1:12 16383:16383" ht="16.5" customHeight="1" x14ac:dyDescent="0.25">
      <c r="A205" s="13">
        <f t="shared" ref="A205:A211" si="8">B205</f>
        <v>43659</v>
      </c>
      <c r="B205" s="14">
        <v>43659</v>
      </c>
      <c r="C205" s="15" t="s">
        <v>94</v>
      </c>
      <c r="D205" s="15" t="s">
        <v>95</v>
      </c>
      <c r="E205" s="22">
        <v>0.33333333333333331</v>
      </c>
      <c r="F205" s="22">
        <v>0.5</v>
      </c>
      <c r="G205" s="16" t="s">
        <v>27</v>
      </c>
      <c r="H205" s="16">
        <v>1</v>
      </c>
      <c r="I205" s="15" t="s">
        <v>49</v>
      </c>
      <c r="J205" s="16" t="s">
        <v>0</v>
      </c>
      <c r="K205" s="16" t="s">
        <v>0</v>
      </c>
      <c r="L205" s="3" t="s">
        <v>69</v>
      </c>
    </row>
    <row r="206" spans="1:12 16383:16383" s="1" customFormat="1" ht="16.5" customHeight="1" x14ac:dyDescent="0.25">
      <c r="A206" s="26">
        <f t="shared" si="8"/>
        <v>43663</v>
      </c>
      <c r="B206" s="27">
        <v>43663</v>
      </c>
      <c r="C206" s="6" t="s">
        <v>51</v>
      </c>
      <c r="D206" s="6" t="s">
        <v>52</v>
      </c>
      <c r="E206" s="21">
        <v>0.375</v>
      </c>
      <c r="F206" s="21">
        <v>0.625</v>
      </c>
      <c r="G206" s="7" t="s">
        <v>25</v>
      </c>
      <c r="H206" s="7" t="s">
        <v>0</v>
      </c>
      <c r="I206" s="6" t="s">
        <v>50</v>
      </c>
      <c r="J206" s="7" t="s">
        <v>0</v>
      </c>
      <c r="K206" s="8" t="s">
        <v>0</v>
      </c>
      <c r="L206" s="1" t="s">
        <v>69</v>
      </c>
      <c r="XFC206" s="3"/>
    </row>
    <row r="207" spans="1:12 16383:16383" ht="16.5" customHeight="1" x14ac:dyDescent="0.25">
      <c r="A207" s="26">
        <f t="shared" si="8"/>
        <v>43663</v>
      </c>
      <c r="B207" s="27">
        <v>43663</v>
      </c>
      <c r="C207" s="6" t="s">
        <v>53</v>
      </c>
      <c r="D207" s="6" t="s">
        <v>54</v>
      </c>
      <c r="E207" s="21">
        <v>0.77083333333333304</v>
      </c>
      <c r="F207" s="21">
        <v>0.8125</v>
      </c>
      <c r="G207" s="7" t="s">
        <v>24</v>
      </c>
      <c r="H207" s="7" t="s">
        <v>0</v>
      </c>
      <c r="I207" s="6" t="s">
        <v>55</v>
      </c>
      <c r="J207" s="7" t="s">
        <v>0</v>
      </c>
      <c r="K207" s="8" t="s">
        <v>0</v>
      </c>
      <c r="L207" s="3" t="s">
        <v>6</v>
      </c>
    </row>
    <row r="208" spans="1:12 16383:16383" ht="16.5" customHeight="1" x14ac:dyDescent="0.25">
      <c r="A208" s="26">
        <f t="shared" si="8"/>
        <v>43663</v>
      </c>
      <c r="B208" s="27">
        <v>43663</v>
      </c>
      <c r="C208" s="6" t="s">
        <v>56</v>
      </c>
      <c r="D208" s="6" t="s">
        <v>57</v>
      </c>
      <c r="E208" s="21">
        <v>0.58333333333333304</v>
      </c>
      <c r="F208" s="21">
        <v>0.6875</v>
      </c>
      <c r="G208" s="7" t="s">
        <v>24</v>
      </c>
      <c r="H208" s="7" t="s">
        <v>0</v>
      </c>
      <c r="I208" s="6" t="s">
        <v>55</v>
      </c>
      <c r="J208" s="7" t="s">
        <v>0</v>
      </c>
      <c r="K208" s="8" t="s">
        <v>0</v>
      </c>
      <c r="L208" s="3" t="s">
        <v>6</v>
      </c>
    </row>
    <row r="209" spans="1:12" ht="16.5" customHeight="1" x14ac:dyDescent="0.25">
      <c r="A209" s="26">
        <f t="shared" si="8"/>
        <v>43663</v>
      </c>
      <c r="B209" s="27">
        <v>43663</v>
      </c>
      <c r="C209" s="6" t="s">
        <v>94</v>
      </c>
      <c r="D209" s="6" t="s">
        <v>95</v>
      </c>
      <c r="E209" s="21">
        <v>0.79166666666666663</v>
      </c>
      <c r="F209" s="21">
        <v>0.875</v>
      </c>
      <c r="G209" s="7" t="s">
        <v>27</v>
      </c>
      <c r="H209" s="7">
        <v>1</v>
      </c>
      <c r="I209" s="6" t="s">
        <v>49</v>
      </c>
      <c r="J209" s="7" t="s">
        <v>0</v>
      </c>
      <c r="K209" s="8" t="s">
        <v>0</v>
      </c>
      <c r="L209" s="3" t="s">
        <v>6</v>
      </c>
    </row>
    <row r="210" spans="1:12" ht="16.5" customHeight="1" x14ac:dyDescent="0.25">
      <c r="A210" s="26">
        <f t="shared" si="8"/>
        <v>43663</v>
      </c>
      <c r="B210" s="27">
        <v>43663</v>
      </c>
      <c r="C210" s="6" t="s">
        <v>122</v>
      </c>
      <c r="D210" s="6" t="s">
        <v>121</v>
      </c>
      <c r="E210" s="30">
        <v>0.5625</v>
      </c>
      <c r="F210" s="30">
        <v>0.64583333333333304</v>
      </c>
      <c r="G210" s="7" t="s">
        <v>30</v>
      </c>
      <c r="H210" s="7" t="s">
        <v>0</v>
      </c>
      <c r="I210" s="6" t="s">
        <v>123</v>
      </c>
      <c r="J210" s="7" t="s">
        <v>0</v>
      </c>
      <c r="K210" s="8" t="s">
        <v>0</v>
      </c>
    </row>
    <row r="211" spans="1:12" ht="16.5" customHeight="1" x14ac:dyDescent="0.25">
      <c r="A211" s="26">
        <f t="shared" si="8"/>
        <v>43665</v>
      </c>
      <c r="B211" s="27">
        <v>43665</v>
      </c>
      <c r="C211" s="6" t="s">
        <v>10</v>
      </c>
      <c r="D211" s="6" t="s">
        <v>7</v>
      </c>
      <c r="E211" s="30">
        <v>0.8125</v>
      </c>
      <c r="F211" s="30">
        <v>0.95833333333333337</v>
      </c>
      <c r="G211" s="7" t="s">
        <v>24</v>
      </c>
      <c r="H211" s="7" t="s">
        <v>0</v>
      </c>
      <c r="I211" s="6" t="s">
        <v>8</v>
      </c>
      <c r="J211" s="7" t="s">
        <v>6</v>
      </c>
      <c r="K211" s="8" t="s">
        <v>39</v>
      </c>
      <c r="L211" s="3" t="s">
        <v>69</v>
      </c>
    </row>
    <row r="212" spans="1:12" ht="16.5" customHeight="1" x14ac:dyDescent="0.25">
      <c r="A212" s="13">
        <v>43666</v>
      </c>
      <c r="B212" s="14">
        <v>43666</v>
      </c>
      <c r="C212" s="15" t="s">
        <v>18</v>
      </c>
      <c r="D212" s="15" t="s">
        <v>7</v>
      </c>
      <c r="E212" s="22">
        <v>0.33333333333333331</v>
      </c>
      <c r="F212" s="22">
        <v>0.70833333333333337</v>
      </c>
      <c r="G212" s="16" t="s">
        <v>25</v>
      </c>
      <c r="H212" s="16" t="s">
        <v>0</v>
      </c>
      <c r="I212" s="15" t="s">
        <v>13</v>
      </c>
      <c r="J212" s="16" t="s">
        <v>6</v>
      </c>
      <c r="K212" s="16" t="s">
        <v>38</v>
      </c>
      <c r="L212" s="3" t="s">
        <v>69</v>
      </c>
    </row>
    <row r="213" spans="1:12" ht="16.5" customHeight="1" x14ac:dyDescent="0.25">
      <c r="A213" s="13">
        <f t="shared" ref="A213:A222" si="9">B213</f>
        <v>43666</v>
      </c>
      <c r="B213" s="14">
        <v>43666</v>
      </c>
      <c r="C213" s="15" t="s">
        <v>10</v>
      </c>
      <c r="D213" s="15" t="s">
        <v>7</v>
      </c>
      <c r="E213" s="23">
        <v>0.33333333333333331</v>
      </c>
      <c r="F213" s="23">
        <v>0.58333333333333337</v>
      </c>
      <c r="G213" s="16" t="s">
        <v>24</v>
      </c>
      <c r="H213" s="16" t="s">
        <v>0</v>
      </c>
      <c r="I213" s="15" t="s">
        <v>8</v>
      </c>
      <c r="J213" s="16" t="s">
        <v>6</v>
      </c>
      <c r="K213" s="16" t="s">
        <v>40</v>
      </c>
      <c r="L213" s="3" t="s">
        <v>69</v>
      </c>
    </row>
    <row r="214" spans="1:12" ht="16.5" customHeight="1" x14ac:dyDescent="0.25">
      <c r="A214" s="13">
        <f t="shared" si="9"/>
        <v>43666</v>
      </c>
      <c r="B214" s="14">
        <v>43666</v>
      </c>
      <c r="C214" s="15" t="s">
        <v>94</v>
      </c>
      <c r="D214" s="15" t="s">
        <v>95</v>
      </c>
      <c r="E214" s="22">
        <v>0.33333333333333331</v>
      </c>
      <c r="F214" s="22">
        <v>0.5</v>
      </c>
      <c r="G214" s="16" t="s">
        <v>27</v>
      </c>
      <c r="H214" s="16">
        <v>1</v>
      </c>
      <c r="I214" s="15" t="s">
        <v>49</v>
      </c>
      <c r="J214" s="16" t="s">
        <v>0</v>
      </c>
      <c r="K214" s="16" t="s">
        <v>0</v>
      </c>
    </row>
    <row r="215" spans="1:12" ht="16.5" customHeight="1" x14ac:dyDescent="0.25">
      <c r="A215" s="13">
        <f t="shared" si="9"/>
        <v>43666</v>
      </c>
      <c r="B215" s="14">
        <v>43666</v>
      </c>
      <c r="C215" s="15" t="s">
        <v>138</v>
      </c>
      <c r="D215" s="15" t="s">
        <v>177</v>
      </c>
      <c r="E215" s="22">
        <v>0.33333333333333331</v>
      </c>
      <c r="F215" s="22">
        <v>0.5</v>
      </c>
      <c r="G215" s="16" t="s">
        <v>27</v>
      </c>
      <c r="H215" s="16">
        <v>2</v>
      </c>
      <c r="I215" s="15" t="s">
        <v>49</v>
      </c>
      <c r="J215" s="16" t="s">
        <v>0</v>
      </c>
      <c r="K215" s="16" t="s">
        <v>0</v>
      </c>
      <c r="L215" s="3" t="s">
        <v>6</v>
      </c>
    </row>
    <row r="216" spans="1:12" ht="16.5" customHeight="1" x14ac:dyDescent="0.25">
      <c r="A216" s="26">
        <f t="shared" si="9"/>
        <v>43670</v>
      </c>
      <c r="B216" s="27">
        <v>43670</v>
      </c>
      <c r="C216" s="6" t="s">
        <v>51</v>
      </c>
      <c r="D216" s="6" t="s">
        <v>52</v>
      </c>
      <c r="E216" s="21">
        <v>0.375</v>
      </c>
      <c r="F216" s="21">
        <v>0.625</v>
      </c>
      <c r="G216" s="7" t="s">
        <v>25</v>
      </c>
      <c r="H216" s="7" t="s">
        <v>0</v>
      </c>
      <c r="I216" s="6" t="s">
        <v>50</v>
      </c>
      <c r="J216" s="7" t="s">
        <v>0</v>
      </c>
      <c r="K216" s="8" t="s">
        <v>0</v>
      </c>
      <c r="L216" s="3" t="s">
        <v>6</v>
      </c>
    </row>
    <row r="217" spans="1:12" ht="16.5" customHeight="1" x14ac:dyDescent="0.25">
      <c r="A217" s="26">
        <f t="shared" si="9"/>
        <v>43670</v>
      </c>
      <c r="B217" s="27">
        <v>43670</v>
      </c>
      <c r="C217" s="6" t="s">
        <v>53</v>
      </c>
      <c r="D217" s="6" t="s">
        <v>54</v>
      </c>
      <c r="E217" s="21">
        <v>0.77083333333333304</v>
      </c>
      <c r="F217" s="21">
        <v>0.8125</v>
      </c>
      <c r="G217" s="7" t="s">
        <v>24</v>
      </c>
      <c r="H217" s="7" t="s">
        <v>0</v>
      </c>
      <c r="I217" s="6" t="s">
        <v>55</v>
      </c>
      <c r="J217" s="7" t="s">
        <v>0</v>
      </c>
      <c r="K217" s="8" t="s">
        <v>0</v>
      </c>
    </row>
    <row r="218" spans="1:12" ht="16.5" customHeight="1" x14ac:dyDescent="0.25">
      <c r="A218" s="26">
        <f t="shared" si="9"/>
        <v>43670</v>
      </c>
      <c r="B218" s="27">
        <v>43670</v>
      </c>
      <c r="C218" s="6" t="s">
        <v>56</v>
      </c>
      <c r="D218" s="6" t="s">
        <v>57</v>
      </c>
      <c r="E218" s="21">
        <v>0.58333333333333304</v>
      </c>
      <c r="F218" s="21">
        <v>0.6875</v>
      </c>
      <c r="G218" s="7" t="s">
        <v>24</v>
      </c>
      <c r="H218" s="7" t="s">
        <v>0</v>
      </c>
      <c r="I218" s="6" t="s">
        <v>55</v>
      </c>
      <c r="J218" s="7" t="s">
        <v>0</v>
      </c>
      <c r="K218" s="8" t="s">
        <v>0</v>
      </c>
    </row>
    <row r="219" spans="1:12" ht="16.5" customHeight="1" x14ac:dyDescent="0.25">
      <c r="A219" s="26">
        <f t="shared" si="9"/>
        <v>43670</v>
      </c>
      <c r="B219" s="27">
        <v>43670</v>
      </c>
      <c r="C219" s="6" t="s">
        <v>94</v>
      </c>
      <c r="D219" s="6" t="s">
        <v>95</v>
      </c>
      <c r="E219" s="21">
        <v>0.79166666666666663</v>
      </c>
      <c r="F219" s="21">
        <v>0.875</v>
      </c>
      <c r="G219" s="7" t="s">
        <v>27</v>
      </c>
      <c r="H219" s="7">
        <v>1</v>
      </c>
      <c r="I219" s="6" t="s">
        <v>49</v>
      </c>
      <c r="J219" s="7" t="s">
        <v>0</v>
      </c>
      <c r="K219" s="8" t="s">
        <v>0</v>
      </c>
    </row>
    <row r="220" spans="1:12" ht="16.5" customHeight="1" x14ac:dyDescent="0.25">
      <c r="A220" s="26">
        <f t="shared" si="9"/>
        <v>43670</v>
      </c>
      <c r="B220" s="27">
        <v>43670</v>
      </c>
      <c r="C220" s="6" t="s">
        <v>122</v>
      </c>
      <c r="D220" s="6" t="s">
        <v>121</v>
      </c>
      <c r="E220" s="30">
        <v>0.5625</v>
      </c>
      <c r="F220" s="30">
        <v>0.64583333333333304</v>
      </c>
      <c r="G220" s="7" t="s">
        <v>30</v>
      </c>
      <c r="H220" s="7" t="s">
        <v>0</v>
      </c>
      <c r="I220" s="6" t="s">
        <v>123</v>
      </c>
      <c r="J220" s="7" t="s">
        <v>0</v>
      </c>
      <c r="K220" s="8" t="s">
        <v>0</v>
      </c>
    </row>
    <row r="221" spans="1:12" ht="16.5" customHeight="1" x14ac:dyDescent="0.25">
      <c r="A221" s="13">
        <f t="shared" si="9"/>
        <v>43673</v>
      </c>
      <c r="B221" s="14">
        <v>43673</v>
      </c>
      <c r="C221" s="15" t="s">
        <v>37</v>
      </c>
      <c r="D221" s="15" t="s">
        <v>7</v>
      </c>
      <c r="E221" s="22">
        <v>0.33333333333333331</v>
      </c>
      <c r="F221" s="22">
        <v>0.58333333333333337</v>
      </c>
      <c r="G221" s="16" t="s">
        <v>26</v>
      </c>
      <c r="H221" s="16" t="s">
        <v>0</v>
      </c>
      <c r="I221" s="15" t="s">
        <v>35</v>
      </c>
      <c r="J221" s="16" t="s">
        <v>6</v>
      </c>
      <c r="K221" s="16" t="s">
        <v>0</v>
      </c>
    </row>
    <row r="222" spans="1:12" ht="16.5" customHeight="1" x14ac:dyDescent="0.25">
      <c r="A222" s="13">
        <f t="shared" si="9"/>
        <v>43673</v>
      </c>
      <c r="B222" s="14">
        <v>43673</v>
      </c>
      <c r="C222" s="15" t="s">
        <v>34</v>
      </c>
      <c r="D222" s="15" t="s">
        <v>7</v>
      </c>
      <c r="E222" s="22">
        <v>0.33333333333333331</v>
      </c>
      <c r="F222" s="22">
        <v>0.58333333333333337</v>
      </c>
      <c r="G222" s="16" t="s">
        <v>26</v>
      </c>
      <c r="H222" s="16" t="s">
        <v>0</v>
      </c>
      <c r="I222" s="15" t="s">
        <v>35</v>
      </c>
      <c r="J222" s="16" t="s">
        <v>6</v>
      </c>
      <c r="K222" s="16" t="s">
        <v>36</v>
      </c>
    </row>
    <row r="223" spans="1:12" ht="16.5" customHeight="1" x14ac:dyDescent="0.25">
      <c r="A223" s="13">
        <v>43673</v>
      </c>
      <c r="B223" s="14">
        <v>43673</v>
      </c>
      <c r="C223" s="17" t="s">
        <v>19</v>
      </c>
      <c r="D223" s="15" t="s">
        <v>7</v>
      </c>
      <c r="E223" s="22">
        <v>0.33333333333333331</v>
      </c>
      <c r="F223" s="22">
        <v>0.54166666666666663</v>
      </c>
      <c r="G223" s="16" t="s">
        <v>26</v>
      </c>
      <c r="H223" s="16" t="s">
        <v>0</v>
      </c>
      <c r="I223" s="15" t="s">
        <v>32</v>
      </c>
      <c r="J223" s="16" t="s">
        <v>6</v>
      </c>
      <c r="K223" s="16" t="s">
        <v>33</v>
      </c>
      <c r="L223" s="3" t="s">
        <v>69</v>
      </c>
    </row>
    <row r="224" spans="1:12" ht="16.5" customHeight="1" x14ac:dyDescent="0.25">
      <c r="A224" s="13">
        <v>43645</v>
      </c>
      <c r="B224" s="14">
        <v>43673</v>
      </c>
      <c r="C224" s="17" t="s">
        <v>20</v>
      </c>
      <c r="D224" s="15" t="s">
        <v>7</v>
      </c>
      <c r="E224" s="22">
        <v>0.33333333333333331</v>
      </c>
      <c r="F224" s="22">
        <v>0.54166666666666663</v>
      </c>
      <c r="G224" s="16" t="s">
        <v>26</v>
      </c>
      <c r="H224" s="16" t="s">
        <v>0</v>
      </c>
      <c r="I224" s="15" t="s">
        <v>9</v>
      </c>
      <c r="J224" s="16" t="s">
        <v>6</v>
      </c>
      <c r="K224" s="16" t="s">
        <v>33</v>
      </c>
      <c r="L224" s="3" t="s">
        <v>69</v>
      </c>
    </row>
    <row r="225" spans="1:12" ht="16.5" customHeight="1" x14ac:dyDescent="0.25">
      <c r="A225" s="13">
        <f t="shared" ref="A225:A231" si="10">B225</f>
        <v>43673</v>
      </c>
      <c r="B225" s="14">
        <v>43673</v>
      </c>
      <c r="C225" s="15" t="s">
        <v>94</v>
      </c>
      <c r="D225" s="15" t="s">
        <v>95</v>
      </c>
      <c r="E225" s="22">
        <v>0.33333333333333331</v>
      </c>
      <c r="F225" s="22">
        <v>0.5</v>
      </c>
      <c r="G225" s="16" t="s">
        <v>27</v>
      </c>
      <c r="H225" s="16">
        <v>1</v>
      </c>
      <c r="I225" s="15" t="s">
        <v>49</v>
      </c>
      <c r="J225" s="16" t="s">
        <v>0</v>
      </c>
      <c r="K225" s="16" t="s">
        <v>0</v>
      </c>
      <c r="L225" s="3" t="s">
        <v>69</v>
      </c>
    </row>
    <row r="226" spans="1:12" ht="16.5" customHeight="1" x14ac:dyDescent="0.25">
      <c r="A226" s="26">
        <f t="shared" si="10"/>
        <v>43677</v>
      </c>
      <c r="B226" s="27">
        <v>43677</v>
      </c>
      <c r="C226" s="6" t="s">
        <v>51</v>
      </c>
      <c r="D226" s="6" t="s">
        <v>52</v>
      </c>
      <c r="E226" s="21">
        <v>0.375</v>
      </c>
      <c r="F226" s="21">
        <v>0.625</v>
      </c>
      <c r="G226" s="7" t="s">
        <v>25</v>
      </c>
      <c r="H226" s="7" t="s">
        <v>0</v>
      </c>
      <c r="I226" s="6" t="s">
        <v>50</v>
      </c>
      <c r="J226" s="7" t="s">
        <v>0</v>
      </c>
      <c r="K226" s="8" t="s">
        <v>0</v>
      </c>
    </row>
    <row r="227" spans="1:12" ht="16.5" customHeight="1" x14ac:dyDescent="0.25">
      <c r="A227" s="26">
        <f t="shared" si="10"/>
        <v>43677</v>
      </c>
      <c r="B227" s="27">
        <v>43677</v>
      </c>
      <c r="C227" s="6" t="s">
        <v>53</v>
      </c>
      <c r="D227" s="6" t="s">
        <v>54</v>
      </c>
      <c r="E227" s="21">
        <v>0.77083333333333304</v>
      </c>
      <c r="F227" s="21">
        <v>0.8125</v>
      </c>
      <c r="G227" s="7" t="s">
        <v>24</v>
      </c>
      <c r="H227" s="7" t="s">
        <v>0</v>
      </c>
      <c r="I227" s="6" t="s">
        <v>55</v>
      </c>
      <c r="J227" s="7" t="s">
        <v>0</v>
      </c>
      <c r="K227" s="8" t="s">
        <v>0</v>
      </c>
      <c r="L227" s="3" t="s">
        <v>69</v>
      </c>
    </row>
    <row r="228" spans="1:12" ht="16.5" customHeight="1" x14ac:dyDescent="0.25">
      <c r="A228" s="26">
        <f t="shared" si="10"/>
        <v>43677</v>
      </c>
      <c r="B228" s="27">
        <v>43677</v>
      </c>
      <c r="C228" s="6" t="s">
        <v>56</v>
      </c>
      <c r="D228" s="6" t="s">
        <v>57</v>
      </c>
      <c r="E228" s="21">
        <v>0.58333333333333304</v>
      </c>
      <c r="F228" s="21">
        <v>0.6875</v>
      </c>
      <c r="G228" s="7" t="s">
        <v>24</v>
      </c>
      <c r="H228" s="7" t="s">
        <v>0</v>
      </c>
      <c r="I228" s="6" t="s">
        <v>55</v>
      </c>
      <c r="J228" s="7" t="s">
        <v>0</v>
      </c>
      <c r="K228" s="8" t="s">
        <v>0</v>
      </c>
      <c r="L228" s="3" t="s">
        <v>69</v>
      </c>
    </row>
    <row r="229" spans="1:12" ht="16.5" customHeight="1" x14ac:dyDescent="0.25">
      <c r="A229" s="26">
        <f t="shared" si="10"/>
        <v>43677</v>
      </c>
      <c r="B229" s="27">
        <v>43677</v>
      </c>
      <c r="C229" s="6" t="s">
        <v>94</v>
      </c>
      <c r="D229" s="6" t="s">
        <v>95</v>
      </c>
      <c r="E229" s="21">
        <v>0.79166666666666663</v>
      </c>
      <c r="F229" s="21">
        <v>0.875</v>
      </c>
      <c r="G229" s="7" t="s">
        <v>27</v>
      </c>
      <c r="H229" s="7">
        <v>1</v>
      </c>
      <c r="I229" s="6" t="s">
        <v>49</v>
      </c>
      <c r="J229" s="7" t="s">
        <v>0</v>
      </c>
      <c r="K229" s="8" t="s">
        <v>0</v>
      </c>
      <c r="L229" s="3" t="s">
        <v>69</v>
      </c>
    </row>
    <row r="230" spans="1:12" ht="16.5" customHeight="1" x14ac:dyDescent="0.25">
      <c r="A230" s="26">
        <f t="shared" si="10"/>
        <v>43677</v>
      </c>
      <c r="B230" s="27">
        <v>43677</v>
      </c>
      <c r="C230" s="6" t="s">
        <v>122</v>
      </c>
      <c r="D230" s="6" t="s">
        <v>121</v>
      </c>
      <c r="E230" s="30">
        <v>0.5625</v>
      </c>
      <c r="F230" s="30">
        <v>0.64583333333333304</v>
      </c>
      <c r="G230" s="7" t="s">
        <v>30</v>
      </c>
      <c r="H230" s="7" t="s">
        <v>0</v>
      </c>
      <c r="I230" s="6" t="s">
        <v>123</v>
      </c>
      <c r="J230" s="7" t="s">
        <v>0</v>
      </c>
      <c r="K230" s="8" t="s">
        <v>0</v>
      </c>
    </row>
    <row r="231" spans="1:12" ht="16.5" customHeight="1" x14ac:dyDescent="0.25">
      <c r="A231" s="26">
        <f t="shared" si="10"/>
        <v>43679</v>
      </c>
      <c r="B231" s="27">
        <v>43679</v>
      </c>
      <c r="C231" s="6" t="s">
        <v>10</v>
      </c>
      <c r="D231" s="6" t="s">
        <v>7</v>
      </c>
      <c r="E231" s="30">
        <v>0.8125</v>
      </c>
      <c r="F231" s="30">
        <v>0.95833333333333337</v>
      </c>
      <c r="G231" s="7" t="s">
        <v>24</v>
      </c>
      <c r="H231" s="7" t="s">
        <v>0</v>
      </c>
      <c r="I231" s="6" t="s">
        <v>8</v>
      </c>
      <c r="J231" s="7" t="s">
        <v>6</v>
      </c>
      <c r="K231" s="8" t="s">
        <v>39</v>
      </c>
      <c r="L231" s="3" t="s">
        <v>6</v>
      </c>
    </row>
    <row r="232" spans="1:12" ht="16.5" customHeight="1" x14ac:dyDescent="0.25">
      <c r="A232" s="13">
        <v>43680</v>
      </c>
      <c r="B232" s="14">
        <v>43680</v>
      </c>
      <c r="C232" s="15" t="s">
        <v>18</v>
      </c>
      <c r="D232" s="15" t="s">
        <v>7</v>
      </c>
      <c r="E232" s="22">
        <v>0.33333333333333331</v>
      </c>
      <c r="F232" s="22">
        <v>0.70833333333333337</v>
      </c>
      <c r="G232" s="16" t="s">
        <v>25</v>
      </c>
      <c r="H232" s="16" t="s">
        <v>0</v>
      </c>
      <c r="I232" s="15" t="s">
        <v>13</v>
      </c>
      <c r="J232" s="16" t="s">
        <v>6</v>
      </c>
      <c r="K232" s="16" t="s">
        <v>38</v>
      </c>
      <c r="L232" s="3" t="s">
        <v>69</v>
      </c>
    </row>
    <row r="233" spans="1:12" ht="16.5" customHeight="1" x14ac:dyDescent="0.25">
      <c r="A233" s="13">
        <f t="shared" ref="A233:A242" si="11">B233</f>
        <v>43680</v>
      </c>
      <c r="B233" s="14">
        <v>43680</v>
      </c>
      <c r="C233" s="15" t="s">
        <v>10</v>
      </c>
      <c r="D233" s="15" t="s">
        <v>7</v>
      </c>
      <c r="E233" s="23">
        <v>0.33333333333333331</v>
      </c>
      <c r="F233" s="23">
        <v>0.58333333333333337</v>
      </c>
      <c r="G233" s="16" t="s">
        <v>24</v>
      </c>
      <c r="H233" s="16" t="s">
        <v>0</v>
      </c>
      <c r="I233" s="15" t="s">
        <v>8</v>
      </c>
      <c r="J233" s="16" t="s">
        <v>6</v>
      </c>
      <c r="K233" s="16" t="s">
        <v>40</v>
      </c>
      <c r="L233" s="3" t="s">
        <v>6</v>
      </c>
    </row>
    <row r="234" spans="1:12" ht="16.5" customHeight="1" x14ac:dyDescent="0.25">
      <c r="A234" s="13">
        <f t="shared" si="11"/>
        <v>43680</v>
      </c>
      <c r="B234" s="14">
        <v>43680</v>
      </c>
      <c r="C234" s="15" t="s">
        <v>94</v>
      </c>
      <c r="D234" s="15" t="s">
        <v>95</v>
      </c>
      <c r="E234" s="22">
        <v>0.33333333333333331</v>
      </c>
      <c r="F234" s="22">
        <v>0.5</v>
      </c>
      <c r="G234" s="16" t="s">
        <v>27</v>
      </c>
      <c r="H234" s="16">
        <v>1</v>
      </c>
      <c r="I234" s="15" t="s">
        <v>49</v>
      </c>
      <c r="J234" s="16" t="s">
        <v>0</v>
      </c>
      <c r="K234" s="16" t="s">
        <v>0</v>
      </c>
      <c r="L234" s="3" t="s">
        <v>6</v>
      </c>
    </row>
    <row r="235" spans="1:12" ht="16.5" customHeight="1" x14ac:dyDescent="0.25">
      <c r="A235" s="13">
        <f t="shared" si="11"/>
        <v>43680</v>
      </c>
      <c r="B235" s="14">
        <v>43680</v>
      </c>
      <c r="C235" s="15" t="s">
        <v>138</v>
      </c>
      <c r="D235" s="15" t="s">
        <v>177</v>
      </c>
      <c r="E235" s="22">
        <v>0.33333333333333331</v>
      </c>
      <c r="F235" s="22">
        <v>0.5</v>
      </c>
      <c r="G235" s="16" t="s">
        <v>27</v>
      </c>
      <c r="H235" s="16">
        <v>2</v>
      </c>
      <c r="I235" s="15" t="s">
        <v>49</v>
      </c>
      <c r="J235" s="16" t="s">
        <v>0</v>
      </c>
      <c r="K235" s="16" t="s">
        <v>0</v>
      </c>
      <c r="L235" s="3" t="s">
        <v>6</v>
      </c>
    </row>
    <row r="236" spans="1:12" ht="16.5" customHeight="1" x14ac:dyDescent="0.25">
      <c r="A236" s="26">
        <f t="shared" si="11"/>
        <v>43684</v>
      </c>
      <c r="B236" s="27">
        <v>43684</v>
      </c>
      <c r="C236" s="6" t="s">
        <v>51</v>
      </c>
      <c r="D236" s="6" t="s">
        <v>52</v>
      </c>
      <c r="E236" s="21">
        <v>0.375</v>
      </c>
      <c r="F236" s="21">
        <v>0.625</v>
      </c>
      <c r="G236" s="7" t="s">
        <v>25</v>
      </c>
      <c r="H236" s="7" t="s">
        <v>0</v>
      </c>
      <c r="I236" s="6" t="s">
        <v>50</v>
      </c>
      <c r="J236" s="7" t="s">
        <v>0</v>
      </c>
      <c r="K236" s="8" t="s">
        <v>0</v>
      </c>
      <c r="L236" s="3" t="s">
        <v>6</v>
      </c>
    </row>
    <row r="237" spans="1:12" ht="16.5" customHeight="1" x14ac:dyDescent="0.25">
      <c r="A237" s="26">
        <f t="shared" si="11"/>
        <v>43684</v>
      </c>
      <c r="B237" s="27">
        <v>43684</v>
      </c>
      <c r="C237" s="6" t="s">
        <v>53</v>
      </c>
      <c r="D237" s="6" t="s">
        <v>54</v>
      </c>
      <c r="E237" s="21">
        <v>0.77083333333333304</v>
      </c>
      <c r="F237" s="21">
        <v>0.8125</v>
      </c>
      <c r="G237" s="7" t="s">
        <v>24</v>
      </c>
      <c r="H237" s="7" t="s">
        <v>0</v>
      </c>
      <c r="I237" s="6" t="s">
        <v>55</v>
      </c>
      <c r="J237" s="7" t="s">
        <v>0</v>
      </c>
      <c r="K237" s="8" t="s">
        <v>0</v>
      </c>
    </row>
    <row r="238" spans="1:12" ht="16.5" customHeight="1" x14ac:dyDescent="0.25">
      <c r="A238" s="26">
        <f t="shared" si="11"/>
        <v>43684</v>
      </c>
      <c r="B238" s="27">
        <v>43684</v>
      </c>
      <c r="C238" s="6" t="s">
        <v>56</v>
      </c>
      <c r="D238" s="6" t="s">
        <v>57</v>
      </c>
      <c r="E238" s="21">
        <v>0.58333333333333304</v>
      </c>
      <c r="F238" s="21">
        <v>0.6875</v>
      </c>
      <c r="G238" s="7" t="s">
        <v>24</v>
      </c>
      <c r="H238" s="7" t="s">
        <v>0</v>
      </c>
      <c r="I238" s="6" t="s">
        <v>55</v>
      </c>
      <c r="J238" s="7" t="s">
        <v>0</v>
      </c>
      <c r="K238" s="8" t="s">
        <v>0</v>
      </c>
      <c r="L238" s="3" t="s">
        <v>69</v>
      </c>
    </row>
    <row r="239" spans="1:12" ht="16.5" customHeight="1" x14ac:dyDescent="0.25">
      <c r="A239" s="26">
        <f t="shared" si="11"/>
        <v>43684</v>
      </c>
      <c r="B239" s="27">
        <v>43684</v>
      </c>
      <c r="C239" s="6" t="s">
        <v>94</v>
      </c>
      <c r="D239" s="6" t="s">
        <v>95</v>
      </c>
      <c r="E239" s="21">
        <v>0.79166666666666663</v>
      </c>
      <c r="F239" s="21">
        <v>0.875</v>
      </c>
      <c r="G239" s="7" t="s">
        <v>27</v>
      </c>
      <c r="H239" s="7">
        <v>1</v>
      </c>
      <c r="I239" s="6" t="s">
        <v>49</v>
      </c>
      <c r="J239" s="7" t="s">
        <v>0</v>
      </c>
      <c r="K239" s="8" t="s">
        <v>0</v>
      </c>
      <c r="L239" s="3" t="s">
        <v>69</v>
      </c>
    </row>
    <row r="240" spans="1:12" ht="16.5" customHeight="1" x14ac:dyDescent="0.25">
      <c r="A240" s="26">
        <f t="shared" si="11"/>
        <v>43684</v>
      </c>
      <c r="B240" s="27">
        <v>43684</v>
      </c>
      <c r="C240" s="6" t="s">
        <v>122</v>
      </c>
      <c r="D240" s="6" t="s">
        <v>121</v>
      </c>
      <c r="E240" s="30">
        <v>0.5625</v>
      </c>
      <c r="F240" s="30">
        <v>0.64583333333333304</v>
      </c>
      <c r="G240" s="7" t="s">
        <v>30</v>
      </c>
      <c r="H240" s="7" t="s">
        <v>0</v>
      </c>
      <c r="I240" s="6" t="s">
        <v>123</v>
      </c>
      <c r="J240" s="7" t="s">
        <v>0</v>
      </c>
      <c r="K240" s="8" t="s">
        <v>0</v>
      </c>
      <c r="L240" s="3" t="s">
        <v>69</v>
      </c>
    </row>
    <row r="241" spans="1:12" ht="16.5" customHeight="1" x14ac:dyDescent="0.25">
      <c r="A241" s="13">
        <f t="shared" si="11"/>
        <v>43687</v>
      </c>
      <c r="B241" s="14">
        <v>43687</v>
      </c>
      <c r="C241" s="15" t="s">
        <v>37</v>
      </c>
      <c r="D241" s="15" t="s">
        <v>7</v>
      </c>
      <c r="E241" s="22">
        <v>0.33333333333333331</v>
      </c>
      <c r="F241" s="22">
        <v>0.58333333333333337</v>
      </c>
      <c r="G241" s="16" t="s">
        <v>26</v>
      </c>
      <c r="H241" s="16" t="s">
        <v>0</v>
      </c>
      <c r="I241" s="15" t="s">
        <v>35</v>
      </c>
      <c r="J241" s="16" t="s">
        <v>6</v>
      </c>
      <c r="K241" s="16" t="s">
        <v>0</v>
      </c>
    </row>
    <row r="242" spans="1:12" ht="16.5" customHeight="1" x14ac:dyDescent="0.25">
      <c r="A242" s="13">
        <f t="shared" si="11"/>
        <v>43687</v>
      </c>
      <c r="B242" s="14">
        <v>43687</v>
      </c>
      <c r="C242" s="15" t="s">
        <v>34</v>
      </c>
      <c r="D242" s="15" t="s">
        <v>7</v>
      </c>
      <c r="E242" s="22">
        <v>0.33333333333333331</v>
      </c>
      <c r="F242" s="22">
        <v>0.58333333333333337</v>
      </c>
      <c r="G242" s="16" t="s">
        <v>26</v>
      </c>
      <c r="H242" s="16" t="s">
        <v>0</v>
      </c>
      <c r="I242" s="15" t="s">
        <v>35</v>
      </c>
      <c r="J242" s="16" t="s">
        <v>6</v>
      </c>
      <c r="K242" s="16" t="s">
        <v>36</v>
      </c>
      <c r="L242" s="3" t="s">
        <v>6</v>
      </c>
    </row>
    <row r="243" spans="1:12" ht="16.5" customHeight="1" x14ac:dyDescent="0.25">
      <c r="A243" s="13">
        <v>43687</v>
      </c>
      <c r="B243" s="14">
        <v>43687</v>
      </c>
      <c r="C243" s="17" t="s">
        <v>19</v>
      </c>
      <c r="D243" s="15" t="s">
        <v>7</v>
      </c>
      <c r="E243" s="22">
        <v>0.33333333333333331</v>
      </c>
      <c r="F243" s="22">
        <v>0.54166666666666663</v>
      </c>
      <c r="G243" s="16" t="s">
        <v>26</v>
      </c>
      <c r="H243" s="16" t="s">
        <v>0</v>
      </c>
      <c r="I243" s="15" t="s">
        <v>32</v>
      </c>
      <c r="J243" s="16" t="s">
        <v>6</v>
      </c>
      <c r="K243" s="16" t="s">
        <v>33</v>
      </c>
      <c r="L243" s="3" t="s">
        <v>69</v>
      </c>
    </row>
    <row r="244" spans="1:12" ht="16.5" customHeight="1" x14ac:dyDescent="0.25">
      <c r="A244" s="13">
        <v>43687</v>
      </c>
      <c r="B244" s="14">
        <v>43687</v>
      </c>
      <c r="C244" s="17" t="s">
        <v>20</v>
      </c>
      <c r="D244" s="15" t="s">
        <v>7</v>
      </c>
      <c r="E244" s="22">
        <v>0.33333333333333331</v>
      </c>
      <c r="F244" s="22">
        <v>0.54166666666666663</v>
      </c>
      <c r="G244" s="16" t="s">
        <v>26</v>
      </c>
      <c r="H244" s="16" t="s">
        <v>0</v>
      </c>
      <c r="I244" s="15" t="s">
        <v>9</v>
      </c>
      <c r="J244" s="16" t="s">
        <v>6</v>
      </c>
      <c r="K244" s="16" t="s">
        <v>33</v>
      </c>
    </row>
    <row r="245" spans="1:12" ht="16.5" customHeight="1" x14ac:dyDescent="0.25">
      <c r="A245" s="13">
        <f t="shared" ref="A245:A251" si="12">B245</f>
        <v>43687</v>
      </c>
      <c r="B245" s="14">
        <v>43687</v>
      </c>
      <c r="C245" s="15" t="s">
        <v>94</v>
      </c>
      <c r="D245" s="15" t="s">
        <v>95</v>
      </c>
      <c r="E245" s="22">
        <v>0.33333333333333331</v>
      </c>
      <c r="F245" s="22">
        <v>0.5</v>
      </c>
      <c r="G245" s="16" t="s">
        <v>27</v>
      </c>
      <c r="H245" s="16">
        <v>1</v>
      </c>
      <c r="I245" s="15" t="s">
        <v>49</v>
      </c>
      <c r="J245" s="16" t="s">
        <v>0</v>
      </c>
      <c r="K245" s="16" t="s">
        <v>0</v>
      </c>
      <c r="L245" s="3" t="s">
        <v>69</v>
      </c>
    </row>
    <row r="246" spans="1:12" ht="16.5" customHeight="1" x14ac:dyDescent="0.25">
      <c r="A246" s="26">
        <f t="shared" si="12"/>
        <v>43691</v>
      </c>
      <c r="B246" s="27">
        <v>43691</v>
      </c>
      <c r="C246" s="6" t="s">
        <v>51</v>
      </c>
      <c r="D246" s="6" t="s">
        <v>52</v>
      </c>
      <c r="E246" s="21">
        <v>0.375</v>
      </c>
      <c r="F246" s="21">
        <v>0.625</v>
      </c>
      <c r="G246" s="7" t="s">
        <v>25</v>
      </c>
      <c r="H246" s="7" t="s">
        <v>0</v>
      </c>
      <c r="I246" s="6" t="s">
        <v>50</v>
      </c>
      <c r="J246" s="7" t="s">
        <v>0</v>
      </c>
      <c r="K246" s="8" t="s">
        <v>0</v>
      </c>
      <c r="L246" s="3" t="s">
        <v>69</v>
      </c>
    </row>
    <row r="247" spans="1:12" ht="16.5" customHeight="1" x14ac:dyDescent="0.25">
      <c r="A247" s="26">
        <f t="shared" si="12"/>
        <v>43691</v>
      </c>
      <c r="B247" s="27">
        <v>43691</v>
      </c>
      <c r="C247" s="6" t="s">
        <v>53</v>
      </c>
      <c r="D247" s="6" t="s">
        <v>54</v>
      </c>
      <c r="E247" s="21">
        <v>0.77083333333333304</v>
      </c>
      <c r="F247" s="21">
        <v>0.8125</v>
      </c>
      <c r="G247" s="7" t="s">
        <v>24</v>
      </c>
      <c r="H247" s="7" t="s">
        <v>0</v>
      </c>
      <c r="I247" s="6" t="s">
        <v>55</v>
      </c>
      <c r="J247" s="7" t="s">
        <v>0</v>
      </c>
      <c r="K247" s="8" t="s">
        <v>0</v>
      </c>
      <c r="L247" s="3" t="s">
        <v>69</v>
      </c>
    </row>
    <row r="248" spans="1:12" ht="16.5" customHeight="1" x14ac:dyDescent="0.25">
      <c r="A248" s="26">
        <f t="shared" si="12"/>
        <v>43691</v>
      </c>
      <c r="B248" s="27">
        <v>43691</v>
      </c>
      <c r="C248" s="6" t="s">
        <v>56</v>
      </c>
      <c r="D248" s="6" t="s">
        <v>57</v>
      </c>
      <c r="E248" s="21">
        <v>0.58333333333333304</v>
      </c>
      <c r="F248" s="21">
        <v>0.6875</v>
      </c>
      <c r="G248" s="7" t="s">
        <v>24</v>
      </c>
      <c r="H248" s="7" t="s">
        <v>0</v>
      </c>
      <c r="I248" s="6" t="s">
        <v>55</v>
      </c>
      <c r="J248" s="7" t="s">
        <v>0</v>
      </c>
      <c r="K248" s="8" t="s">
        <v>0</v>
      </c>
    </row>
    <row r="249" spans="1:12" ht="16.5" customHeight="1" x14ac:dyDescent="0.25">
      <c r="A249" s="26">
        <f t="shared" si="12"/>
        <v>43691</v>
      </c>
      <c r="B249" s="27">
        <v>43691</v>
      </c>
      <c r="C249" s="6" t="s">
        <v>94</v>
      </c>
      <c r="D249" s="6" t="s">
        <v>95</v>
      </c>
      <c r="E249" s="21">
        <v>0.79166666666666663</v>
      </c>
      <c r="F249" s="21">
        <v>0.875</v>
      </c>
      <c r="G249" s="7" t="s">
        <v>27</v>
      </c>
      <c r="H249" s="7">
        <v>1</v>
      </c>
      <c r="I249" s="6" t="s">
        <v>49</v>
      </c>
      <c r="J249" s="7" t="s">
        <v>0</v>
      </c>
      <c r="K249" s="8" t="s">
        <v>0</v>
      </c>
      <c r="L249" s="3" t="s">
        <v>6</v>
      </c>
    </row>
    <row r="250" spans="1:12" ht="16.5" customHeight="1" x14ac:dyDescent="0.25">
      <c r="A250" s="26">
        <f t="shared" si="12"/>
        <v>43691</v>
      </c>
      <c r="B250" s="27">
        <v>43691</v>
      </c>
      <c r="C250" s="6" t="s">
        <v>122</v>
      </c>
      <c r="D250" s="6" t="s">
        <v>121</v>
      </c>
      <c r="E250" s="30">
        <v>0.5625</v>
      </c>
      <c r="F250" s="30">
        <v>0.64583333333333304</v>
      </c>
      <c r="G250" s="7" t="s">
        <v>30</v>
      </c>
      <c r="H250" s="7" t="s">
        <v>0</v>
      </c>
      <c r="I250" s="6" t="s">
        <v>123</v>
      </c>
      <c r="J250" s="7" t="s">
        <v>0</v>
      </c>
      <c r="K250" s="8" t="s">
        <v>0</v>
      </c>
      <c r="L250" s="3" t="s">
        <v>69</v>
      </c>
    </row>
    <row r="251" spans="1:12" ht="16.5" customHeight="1" x14ac:dyDescent="0.25">
      <c r="A251" s="26">
        <f t="shared" si="12"/>
        <v>43693</v>
      </c>
      <c r="B251" s="27">
        <v>43693</v>
      </c>
      <c r="C251" s="6" t="s">
        <v>10</v>
      </c>
      <c r="D251" s="6" t="s">
        <v>7</v>
      </c>
      <c r="E251" s="30">
        <v>0.8125</v>
      </c>
      <c r="F251" s="30">
        <v>0.95833333333333337</v>
      </c>
      <c r="G251" s="7" t="s">
        <v>24</v>
      </c>
      <c r="H251" s="7" t="s">
        <v>0</v>
      </c>
      <c r="I251" s="6" t="s">
        <v>8</v>
      </c>
      <c r="J251" s="7" t="s">
        <v>6</v>
      </c>
      <c r="K251" s="8" t="s">
        <v>39</v>
      </c>
      <c r="L251" s="3" t="s">
        <v>6</v>
      </c>
    </row>
    <row r="252" spans="1:12" ht="16.5" customHeight="1" x14ac:dyDescent="0.25">
      <c r="A252" s="13">
        <v>43694</v>
      </c>
      <c r="B252" s="14">
        <v>43694</v>
      </c>
      <c r="C252" s="15" t="s">
        <v>18</v>
      </c>
      <c r="D252" s="15" t="s">
        <v>7</v>
      </c>
      <c r="E252" s="22">
        <v>0.33333333333333331</v>
      </c>
      <c r="F252" s="22">
        <v>0.70833333333333337</v>
      </c>
      <c r="G252" s="16" t="s">
        <v>25</v>
      </c>
      <c r="H252" s="16" t="s">
        <v>0</v>
      </c>
      <c r="I252" s="15" t="s">
        <v>13</v>
      </c>
      <c r="J252" s="16" t="s">
        <v>6</v>
      </c>
      <c r="K252" s="16" t="s">
        <v>38</v>
      </c>
      <c r="L252" s="3" t="s">
        <v>6</v>
      </c>
    </row>
    <row r="253" spans="1:12" ht="16.5" customHeight="1" x14ac:dyDescent="0.25">
      <c r="A253" s="13">
        <f t="shared" ref="A253:A262" si="13">B253</f>
        <v>43694</v>
      </c>
      <c r="B253" s="14">
        <v>43694</v>
      </c>
      <c r="C253" s="15" t="s">
        <v>10</v>
      </c>
      <c r="D253" s="15" t="s">
        <v>7</v>
      </c>
      <c r="E253" s="23">
        <v>0.33333333333333331</v>
      </c>
      <c r="F253" s="23">
        <v>0.58333333333333337</v>
      </c>
      <c r="G253" s="16" t="s">
        <v>24</v>
      </c>
      <c r="H253" s="16" t="s">
        <v>0</v>
      </c>
      <c r="I253" s="15" t="s">
        <v>8</v>
      </c>
      <c r="J253" s="16" t="s">
        <v>6</v>
      </c>
      <c r="K253" s="16" t="s">
        <v>40</v>
      </c>
      <c r="L253" s="3" t="s">
        <v>6</v>
      </c>
    </row>
    <row r="254" spans="1:12" ht="16.5" customHeight="1" x14ac:dyDescent="0.25">
      <c r="A254" s="13">
        <f t="shared" si="13"/>
        <v>43694</v>
      </c>
      <c r="B254" s="14">
        <v>43694</v>
      </c>
      <c r="C254" s="15" t="s">
        <v>94</v>
      </c>
      <c r="D254" s="15" t="s">
        <v>95</v>
      </c>
      <c r="E254" s="22">
        <v>0.33333333333333331</v>
      </c>
      <c r="F254" s="22">
        <v>0.5</v>
      </c>
      <c r="G254" s="16" t="s">
        <v>27</v>
      </c>
      <c r="H254" s="16">
        <v>1</v>
      </c>
      <c r="I254" s="15" t="s">
        <v>49</v>
      </c>
      <c r="J254" s="16" t="s">
        <v>0</v>
      </c>
      <c r="K254" s="16" t="s">
        <v>0</v>
      </c>
      <c r="L254" s="3" t="s">
        <v>6</v>
      </c>
    </row>
    <row r="255" spans="1:12" ht="16.5" customHeight="1" x14ac:dyDescent="0.25">
      <c r="A255" s="13">
        <f t="shared" si="13"/>
        <v>43694</v>
      </c>
      <c r="B255" s="14">
        <v>43694</v>
      </c>
      <c r="C255" s="15" t="s">
        <v>138</v>
      </c>
      <c r="D255" s="15" t="s">
        <v>177</v>
      </c>
      <c r="E255" s="22">
        <v>0.33333333333333331</v>
      </c>
      <c r="F255" s="22">
        <v>0.5</v>
      </c>
      <c r="G255" s="16" t="s">
        <v>27</v>
      </c>
      <c r="H255" s="16">
        <v>2</v>
      </c>
      <c r="I255" s="15" t="s">
        <v>49</v>
      </c>
      <c r="J255" s="16" t="s">
        <v>0</v>
      </c>
      <c r="K255" s="16" t="s">
        <v>0</v>
      </c>
    </row>
    <row r="256" spans="1:12" ht="16.5" customHeight="1" x14ac:dyDescent="0.25">
      <c r="A256" s="26">
        <f t="shared" si="13"/>
        <v>43698</v>
      </c>
      <c r="B256" s="27">
        <v>43698</v>
      </c>
      <c r="C256" s="6" t="s">
        <v>51</v>
      </c>
      <c r="D256" s="6" t="s">
        <v>52</v>
      </c>
      <c r="E256" s="21">
        <v>0.375</v>
      </c>
      <c r="F256" s="21">
        <v>0.625</v>
      </c>
      <c r="G256" s="7" t="s">
        <v>25</v>
      </c>
      <c r="H256" s="7" t="s">
        <v>0</v>
      </c>
      <c r="I256" s="6" t="s">
        <v>50</v>
      </c>
      <c r="J256" s="7" t="s">
        <v>0</v>
      </c>
      <c r="K256" s="8" t="s">
        <v>0</v>
      </c>
      <c r="L256" s="3" t="s">
        <v>69</v>
      </c>
    </row>
    <row r="257" spans="1:12" ht="16.5" customHeight="1" x14ac:dyDescent="0.25">
      <c r="A257" s="26">
        <f t="shared" si="13"/>
        <v>43698</v>
      </c>
      <c r="B257" s="27">
        <v>43698</v>
      </c>
      <c r="C257" s="6" t="s">
        <v>53</v>
      </c>
      <c r="D257" s="6" t="s">
        <v>54</v>
      </c>
      <c r="E257" s="21">
        <v>0.77083333333333304</v>
      </c>
      <c r="F257" s="21">
        <v>0.8125</v>
      </c>
      <c r="G257" s="7" t="s">
        <v>24</v>
      </c>
      <c r="H257" s="7" t="s">
        <v>0</v>
      </c>
      <c r="I257" s="6" t="s">
        <v>55</v>
      </c>
      <c r="J257" s="7" t="s">
        <v>0</v>
      </c>
      <c r="K257" s="8" t="s">
        <v>0</v>
      </c>
      <c r="L257" s="3" t="s">
        <v>69</v>
      </c>
    </row>
    <row r="258" spans="1:12" ht="16.5" customHeight="1" x14ac:dyDescent="0.25">
      <c r="A258" s="26">
        <f t="shared" si="13"/>
        <v>43698</v>
      </c>
      <c r="B258" s="27">
        <v>43698</v>
      </c>
      <c r="C258" s="6" t="s">
        <v>56</v>
      </c>
      <c r="D258" s="6" t="s">
        <v>57</v>
      </c>
      <c r="E258" s="21">
        <v>0.58333333333333304</v>
      </c>
      <c r="F258" s="21">
        <v>0.6875</v>
      </c>
      <c r="G258" s="7" t="s">
        <v>24</v>
      </c>
      <c r="H258" s="7" t="s">
        <v>0</v>
      </c>
      <c r="I258" s="6" t="s">
        <v>55</v>
      </c>
      <c r="J258" s="7" t="s">
        <v>0</v>
      </c>
      <c r="K258" s="8" t="s">
        <v>0</v>
      </c>
      <c r="L258" s="3" t="s">
        <v>69</v>
      </c>
    </row>
    <row r="259" spans="1:12" ht="16.5" customHeight="1" x14ac:dyDescent="0.25">
      <c r="A259" s="26">
        <f t="shared" si="13"/>
        <v>43698</v>
      </c>
      <c r="B259" s="27">
        <v>43698</v>
      </c>
      <c r="C259" s="6" t="s">
        <v>94</v>
      </c>
      <c r="D259" s="6" t="s">
        <v>95</v>
      </c>
      <c r="E259" s="21">
        <v>0.79166666666666663</v>
      </c>
      <c r="F259" s="21">
        <v>0.875</v>
      </c>
      <c r="G259" s="7" t="s">
        <v>27</v>
      </c>
      <c r="H259" s="7">
        <v>1</v>
      </c>
      <c r="I259" s="6" t="s">
        <v>49</v>
      </c>
      <c r="J259" s="7" t="s">
        <v>0</v>
      </c>
      <c r="K259" s="8" t="s">
        <v>0</v>
      </c>
    </row>
    <row r="260" spans="1:12" ht="16.5" customHeight="1" x14ac:dyDescent="0.25">
      <c r="A260" s="26">
        <f t="shared" si="13"/>
        <v>43698</v>
      </c>
      <c r="B260" s="27">
        <v>43698</v>
      </c>
      <c r="C260" s="6" t="s">
        <v>122</v>
      </c>
      <c r="D260" s="6" t="s">
        <v>121</v>
      </c>
      <c r="E260" s="30">
        <v>0.5625</v>
      </c>
      <c r="F260" s="30">
        <v>0.64583333333333304</v>
      </c>
      <c r="G260" s="7" t="s">
        <v>30</v>
      </c>
      <c r="H260" s="7" t="s">
        <v>0</v>
      </c>
      <c r="I260" s="6" t="s">
        <v>123</v>
      </c>
      <c r="J260" s="7" t="s">
        <v>0</v>
      </c>
      <c r="K260" s="8" t="s">
        <v>0</v>
      </c>
      <c r="L260" s="3" t="s">
        <v>6</v>
      </c>
    </row>
    <row r="261" spans="1:12" ht="16.5" customHeight="1" x14ac:dyDescent="0.25">
      <c r="A261" s="13">
        <f t="shared" si="13"/>
        <v>43701</v>
      </c>
      <c r="B261" s="14">
        <v>43701</v>
      </c>
      <c r="C261" s="15" t="s">
        <v>37</v>
      </c>
      <c r="D261" s="15" t="s">
        <v>7</v>
      </c>
      <c r="E261" s="22">
        <v>0.33333333333333331</v>
      </c>
      <c r="F261" s="22">
        <v>0.58333333333333337</v>
      </c>
      <c r="G261" s="16" t="s">
        <v>26</v>
      </c>
      <c r="H261" s="16" t="s">
        <v>0</v>
      </c>
      <c r="I261" s="15" t="s">
        <v>35</v>
      </c>
      <c r="J261" s="16" t="s">
        <v>6</v>
      </c>
      <c r="K261" s="16" t="s">
        <v>0</v>
      </c>
      <c r="L261" s="3" t="s">
        <v>69</v>
      </c>
    </row>
    <row r="262" spans="1:12" ht="16.5" customHeight="1" x14ac:dyDescent="0.25">
      <c r="A262" s="13">
        <f t="shared" si="13"/>
        <v>43701</v>
      </c>
      <c r="B262" s="14">
        <v>43701</v>
      </c>
      <c r="C262" s="15" t="s">
        <v>34</v>
      </c>
      <c r="D262" s="15" t="s">
        <v>7</v>
      </c>
      <c r="E262" s="22">
        <v>0.33333333333333331</v>
      </c>
      <c r="F262" s="22">
        <v>0.58333333333333337</v>
      </c>
      <c r="G262" s="16" t="s">
        <v>26</v>
      </c>
      <c r="H262" s="16" t="s">
        <v>0</v>
      </c>
      <c r="I262" s="15" t="s">
        <v>35</v>
      </c>
      <c r="J262" s="16" t="s">
        <v>6</v>
      </c>
      <c r="K262" s="16" t="s">
        <v>36</v>
      </c>
      <c r="L262" s="3" t="s">
        <v>6</v>
      </c>
    </row>
    <row r="263" spans="1:12" ht="16.5" customHeight="1" x14ac:dyDescent="0.25">
      <c r="A263" s="13">
        <v>43687</v>
      </c>
      <c r="B263" s="14">
        <v>43701</v>
      </c>
      <c r="C263" s="17" t="s">
        <v>19</v>
      </c>
      <c r="D263" s="15" t="s">
        <v>7</v>
      </c>
      <c r="E263" s="22">
        <v>0.33333333333333331</v>
      </c>
      <c r="F263" s="22">
        <v>0.54166666666666663</v>
      </c>
      <c r="G263" s="16" t="s">
        <v>26</v>
      </c>
      <c r="H263" s="16" t="s">
        <v>0</v>
      </c>
      <c r="I263" s="15" t="s">
        <v>32</v>
      </c>
      <c r="J263" s="16" t="s">
        <v>6</v>
      </c>
      <c r="K263" s="16" t="s">
        <v>33</v>
      </c>
      <c r="L263" s="3" t="s">
        <v>6</v>
      </c>
    </row>
    <row r="264" spans="1:12" ht="16.5" customHeight="1" x14ac:dyDescent="0.25">
      <c r="A264" s="13">
        <v>43687</v>
      </c>
      <c r="B264" s="14">
        <v>43701</v>
      </c>
      <c r="C264" s="17" t="s">
        <v>20</v>
      </c>
      <c r="D264" s="15" t="s">
        <v>7</v>
      </c>
      <c r="E264" s="22">
        <v>0.33333333333333331</v>
      </c>
      <c r="F264" s="22">
        <v>0.54166666666666663</v>
      </c>
      <c r="G264" s="16" t="s">
        <v>26</v>
      </c>
      <c r="H264" s="16" t="s">
        <v>0</v>
      </c>
      <c r="I264" s="15" t="s">
        <v>9</v>
      </c>
      <c r="J264" s="16" t="s">
        <v>6</v>
      </c>
      <c r="K264" s="16" t="s">
        <v>33</v>
      </c>
    </row>
    <row r="265" spans="1:12" ht="16.5" customHeight="1" x14ac:dyDescent="0.25">
      <c r="A265" s="13">
        <f t="shared" ref="A265:A271" si="14">B265</f>
        <v>43701</v>
      </c>
      <c r="B265" s="14">
        <v>43701</v>
      </c>
      <c r="C265" s="15" t="s">
        <v>94</v>
      </c>
      <c r="D265" s="15" t="s">
        <v>95</v>
      </c>
      <c r="E265" s="22">
        <v>0.33333333333333331</v>
      </c>
      <c r="F265" s="22">
        <v>0.5</v>
      </c>
      <c r="G265" s="16" t="s">
        <v>27</v>
      </c>
      <c r="H265" s="16">
        <v>1</v>
      </c>
      <c r="I265" s="15" t="s">
        <v>49</v>
      </c>
      <c r="J265" s="16" t="s">
        <v>0</v>
      </c>
      <c r="K265" s="16" t="s">
        <v>0</v>
      </c>
      <c r="L265" s="3" t="s">
        <v>69</v>
      </c>
    </row>
    <row r="266" spans="1:12" ht="16.5" customHeight="1" x14ac:dyDescent="0.25">
      <c r="A266" s="26">
        <f t="shared" si="14"/>
        <v>43705</v>
      </c>
      <c r="B266" s="27">
        <v>43705</v>
      </c>
      <c r="C266" s="6" t="s">
        <v>51</v>
      </c>
      <c r="D266" s="6" t="s">
        <v>52</v>
      </c>
      <c r="E266" s="21">
        <v>0.375</v>
      </c>
      <c r="F266" s="21">
        <v>0.625</v>
      </c>
      <c r="G266" s="7" t="s">
        <v>25</v>
      </c>
      <c r="H266" s="7" t="s">
        <v>0</v>
      </c>
      <c r="I266" s="6" t="s">
        <v>50</v>
      </c>
      <c r="J266" s="7" t="s">
        <v>0</v>
      </c>
      <c r="K266" s="8" t="s">
        <v>0</v>
      </c>
      <c r="L266" s="3" t="s">
        <v>69</v>
      </c>
    </row>
    <row r="267" spans="1:12" ht="16.5" customHeight="1" x14ac:dyDescent="0.25">
      <c r="A267" s="26">
        <f t="shared" si="14"/>
        <v>43705</v>
      </c>
      <c r="B267" s="27">
        <v>43705</v>
      </c>
      <c r="C267" s="6" t="s">
        <v>53</v>
      </c>
      <c r="D267" s="6" t="s">
        <v>54</v>
      </c>
      <c r="E267" s="21">
        <v>0.77083333333333304</v>
      </c>
      <c r="F267" s="21">
        <v>0.8125</v>
      </c>
      <c r="G267" s="7" t="s">
        <v>24</v>
      </c>
      <c r="H267" s="7" t="s">
        <v>0</v>
      </c>
      <c r="I267" s="6" t="s">
        <v>55</v>
      </c>
      <c r="J267" s="7" t="s">
        <v>0</v>
      </c>
      <c r="K267" s="8" t="s">
        <v>0</v>
      </c>
      <c r="L267" s="3" t="s">
        <v>69</v>
      </c>
    </row>
    <row r="268" spans="1:12" ht="16.5" customHeight="1" x14ac:dyDescent="0.25">
      <c r="A268" s="26">
        <f t="shared" si="14"/>
        <v>43705</v>
      </c>
      <c r="B268" s="27">
        <v>43705</v>
      </c>
      <c r="C268" s="6" t="s">
        <v>56</v>
      </c>
      <c r="D268" s="6" t="s">
        <v>57</v>
      </c>
      <c r="E268" s="21">
        <v>0.58333333333333304</v>
      </c>
      <c r="F268" s="21">
        <v>0.6875</v>
      </c>
      <c r="G268" s="7" t="s">
        <v>24</v>
      </c>
      <c r="H268" s="7" t="s">
        <v>0</v>
      </c>
      <c r="I268" s="6" t="s">
        <v>55</v>
      </c>
      <c r="J268" s="7" t="s">
        <v>0</v>
      </c>
      <c r="K268" s="8" t="s">
        <v>0</v>
      </c>
    </row>
    <row r="269" spans="1:12" ht="16.5" customHeight="1" x14ac:dyDescent="0.25">
      <c r="A269" s="26">
        <f t="shared" si="14"/>
        <v>43705</v>
      </c>
      <c r="B269" s="27">
        <v>43705</v>
      </c>
      <c r="C269" s="6" t="s">
        <v>94</v>
      </c>
      <c r="D269" s="6" t="s">
        <v>95</v>
      </c>
      <c r="E269" s="21">
        <v>0.79166666666666663</v>
      </c>
      <c r="F269" s="21">
        <v>0.875</v>
      </c>
      <c r="G269" s="7" t="s">
        <v>27</v>
      </c>
      <c r="H269" s="7">
        <v>1</v>
      </c>
      <c r="I269" s="6" t="s">
        <v>49</v>
      </c>
      <c r="J269" s="7" t="s">
        <v>0</v>
      </c>
      <c r="K269" s="8" t="s">
        <v>0</v>
      </c>
      <c r="L269" s="3" t="s">
        <v>69</v>
      </c>
    </row>
    <row r="270" spans="1:12" ht="16.5" customHeight="1" x14ac:dyDescent="0.25">
      <c r="A270" s="26">
        <f t="shared" si="14"/>
        <v>43705</v>
      </c>
      <c r="B270" s="27">
        <v>43705</v>
      </c>
      <c r="C270" s="6" t="s">
        <v>122</v>
      </c>
      <c r="D270" s="6" t="s">
        <v>121</v>
      </c>
      <c r="E270" s="30">
        <v>0.5625</v>
      </c>
      <c r="F270" s="30">
        <v>0.64583333333333304</v>
      </c>
      <c r="G270" s="7" t="s">
        <v>30</v>
      </c>
      <c r="H270" s="7" t="s">
        <v>0</v>
      </c>
      <c r="I270" s="6" t="s">
        <v>123</v>
      </c>
      <c r="J270" s="7" t="s">
        <v>0</v>
      </c>
      <c r="K270" s="8" t="s">
        <v>0</v>
      </c>
      <c r="L270" s="3" t="s">
        <v>69</v>
      </c>
    </row>
    <row r="271" spans="1:12" ht="16.5" customHeight="1" x14ac:dyDescent="0.25">
      <c r="A271" s="26">
        <f t="shared" si="14"/>
        <v>43707</v>
      </c>
      <c r="B271" s="27">
        <v>43707</v>
      </c>
      <c r="C271" s="6" t="s">
        <v>10</v>
      </c>
      <c r="D271" s="6" t="s">
        <v>7</v>
      </c>
      <c r="E271" s="30">
        <v>0.8125</v>
      </c>
      <c r="F271" s="30">
        <v>0.95833333333333337</v>
      </c>
      <c r="G271" s="7" t="s">
        <v>24</v>
      </c>
      <c r="H271" s="7" t="s">
        <v>0</v>
      </c>
      <c r="I271" s="6" t="s">
        <v>8</v>
      </c>
      <c r="J271" s="7" t="s">
        <v>6</v>
      </c>
      <c r="K271" s="8" t="s">
        <v>39</v>
      </c>
      <c r="L271" s="3" t="s">
        <v>69</v>
      </c>
    </row>
    <row r="272" spans="1:12" ht="16.5" customHeight="1" x14ac:dyDescent="0.25">
      <c r="A272" s="13">
        <v>43708</v>
      </c>
      <c r="B272" s="14">
        <v>43708</v>
      </c>
      <c r="C272" s="15" t="s">
        <v>18</v>
      </c>
      <c r="D272" s="15" t="s">
        <v>7</v>
      </c>
      <c r="E272" s="22">
        <v>0.33333333333333331</v>
      </c>
      <c r="F272" s="22">
        <v>0.70833333333333337</v>
      </c>
      <c r="G272" s="16" t="s">
        <v>25</v>
      </c>
      <c r="H272" s="16" t="s">
        <v>0</v>
      </c>
      <c r="I272" s="15" t="s">
        <v>13</v>
      </c>
      <c r="J272" s="16" t="s">
        <v>6</v>
      </c>
      <c r="K272" s="16" t="s">
        <v>38</v>
      </c>
    </row>
    <row r="273" spans="1:12" ht="16.5" customHeight="1" x14ac:dyDescent="0.25">
      <c r="A273" s="13">
        <f t="shared" ref="A273:A293" si="15">B273</f>
        <v>43708</v>
      </c>
      <c r="B273" s="14">
        <v>43708</v>
      </c>
      <c r="C273" s="15" t="s">
        <v>10</v>
      </c>
      <c r="D273" s="15" t="s">
        <v>7</v>
      </c>
      <c r="E273" s="23">
        <v>0.33333333333333331</v>
      </c>
      <c r="F273" s="23">
        <v>0.58333333333333337</v>
      </c>
      <c r="G273" s="16" t="s">
        <v>24</v>
      </c>
      <c r="H273" s="16" t="s">
        <v>0</v>
      </c>
      <c r="I273" s="15" t="s">
        <v>8</v>
      </c>
      <c r="J273" s="16" t="s">
        <v>6</v>
      </c>
      <c r="K273" s="16" t="s">
        <v>40</v>
      </c>
      <c r="L273" s="3" t="s">
        <v>6</v>
      </c>
    </row>
    <row r="274" spans="1:12" ht="16.5" customHeight="1" x14ac:dyDescent="0.25">
      <c r="A274" s="13">
        <f t="shared" si="15"/>
        <v>43708</v>
      </c>
      <c r="B274" s="14">
        <v>43708</v>
      </c>
      <c r="C274" s="15" t="s">
        <v>94</v>
      </c>
      <c r="D274" s="15" t="s">
        <v>95</v>
      </c>
      <c r="E274" s="22">
        <v>0.33333333333333331</v>
      </c>
      <c r="F274" s="22">
        <v>0.5</v>
      </c>
      <c r="G274" s="16" t="s">
        <v>27</v>
      </c>
      <c r="H274" s="16">
        <v>1</v>
      </c>
      <c r="I274" s="15" t="s">
        <v>49</v>
      </c>
      <c r="J274" s="16" t="s">
        <v>0</v>
      </c>
      <c r="K274" s="16" t="s">
        <v>0</v>
      </c>
      <c r="L274" s="3" t="s">
        <v>6</v>
      </c>
    </row>
    <row r="275" spans="1:12" ht="16.5" customHeight="1" x14ac:dyDescent="0.25">
      <c r="A275" s="13">
        <f t="shared" si="15"/>
        <v>43708</v>
      </c>
      <c r="B275" s="14">
        <v>43708</v>
      </c>
      <c r="C275" s="15" t="s">
        <v>138</v>
      </c>
      <c r="D275" s="15" t="s">
        <v>177</v>
      </c>
      <c r="E275" s="22">
        <v>0.33333333333333331</v>
      </c>
      <c r="F275" s="22">
        <v>0.5</v>
      </c>
      <c r="G275" s="16" t="s">
        <v>27</v>
      </c>
      <c r="H275" s="16">
        <v>2</v>
      </c>
      <c r="I275" s="15" t="s">
        <v>49</v>
      </c>
      <c r="J275" s="16" t="s">
        <v>0</v>
      </c>
      <c r="K275" s="16" t="s">
        <v>0</v>
      </c>
      <c r="L275" s="3" t="s">
        <v>6</v>
      </c>
    </row>
    <row r="276" spans="1:12" ht="16.5" customHeight="1" x14ac:dyDescent="0.25">
      <c r="A276" s="26">
        <f t="shared" si="15"/>
        <v>43710</v>
      </c>
      <c r="B276" s="27">
        <v>43710</v>
      </c>
      <c r="C276" s="6" t="s">
        <v>104</v>
      </c>
      <c r="D276" s="6" t="s">
        <v>105</v>
      </c>
      <c r="E276" s="21">
        <v>0.75</v>
      </c>
      <c r="F276" s="21">
        <v>0.95833333333333337</v>
      </c>
      <c r="G276" s="7" t="s">
        <v>30</v>
      </c>
      <c r="H276" s="7" t="s">
        <v>0</v>
      </c>
      <c r="I276" s="6" t="s">
        <v>106</v>
      </c>
      <c r="J276" s="7" t="s">
        <v>6</v>
      </c>
      <c r="K276" s="8" t="s">
        <v>101</v>
      </c>
      <c r="L276" s="3" t="s">
        <v>69</v>
      </c>
    </row>
    <row r="277" spans="1:12" ht="16.5" customHeight="1" x14ac:dyDescent="0.25">
      <c r="A277" s="26">
        <f t="shared" si="15"/>
        <v>43711</v>
      </c>
      <c r="B277" s="27">
        <v>43711</v>
      </c>
      <c r="C277" s="6" t="s">
        <v>104</v>
      </c>
      <c r="D277" s="6" t="s">
        <v>105</v>
      </c>
      <c r="E277" s="21">
        <v>0.75</v>
      </c>
      <c r="F277" s="21">
        <v>0.95833333333333337</v>
      </c>
      <c r="G277" s="7" t="s">
        <v>30</v>
      </c>
      <c r="H277" s="7" t="s">
        <v>0</v>
      </c>
      <c r="I277" s="6" t="s">
        <v>106</v>
      </c>
      <c r="J277" s="7" t="s">
        <v>6</v>
      </c>
      <c r="K277" s="8" t="s">
        <v>101</v>
      </c>
      <c r="L277" s="3" t="s">
        <v>69</v>
      </c>
    </row>
    <row r="278" spans="1:12" ht="16.5" customHeight="1" x14ac:dyDescent="0.25">
      <c r="A278" s="26">
        <f t="shared" si="15"/>
        <v>43712</v>
      </c>
      <c r="B278" s="27">
        <v>43712</v>
      </c>
      <c r="C278" s="6" t="s">
        <v>104</v>
      </c>
      <c r="D278" s="6" t="s">
        <v>105</v>
      </c>
      <c r="E278" s="21">
        <v>0.75</v>
      </c>
      <c r="F278" s="21">
        <v>0.95833333333333304</v>
      </c>
      <c r="G278" s="7" t="s">
        <v>30</v>
      </c>
      <c r="H278" s="7" t="s">
        <v>0</v>
      </c>
      <c r="I278" s="6" t="s">
        <v>106</v>
      </c>
      <c r="J278" s="7" t="s">
        <v>6</v>
      </c>
      <c r="K278" s="8" t="s">
        <v>101</v>
      </c>
      <c r="L278" s="3" t="s">
        <v>69</v>
      </c>
    </row>
    <row r="279" spans="1:12" ht="16.5" customHeight="1" x14ac:dyDescent="0.25">
      <c r="A279" s="26">
        <f t="shared" si="15"/>
        <v>43712</v>
      </c>
      <c r="B279" s="27">
        <v>43712</v>
      </c>
      <c r="C279" s="6" t="s">
        <v>51</v>
      </c>
      <c r="D279" s="6" t="s">
        <v>52</v>
      </c>
      <c r="E279" s="21">
        <v>0.375</v>
      </c>
      <c r="F279" s="21">
        <v>0.625</v>
      </c>
      <c r="G279" s="7" t="s">
        <v>25</v>
      </c>
      <c r="H279" s="7" t="s">
        <v>0</v>
      </c>
      <c r="I279" s="6" t="s">
        <v>50</v>
      </c>
      <c r="J279" s="7" t="s">
        <v>0</v>
      </c>
      <c r="K279" s="8" t="s">
        <v>0</v>
      </c>
      <c r="L279" s="3" t="s">
        <v>69</v>
      </c>
    </row>
    <row r="280" spans="1:12" ht="16.5" customHeight="1" x14ac:dyDescent="0.25">
      <c r="A280" s="26">
        <f t="shared" si="15"/>
        <v>43712</v>
      </c>
      <c r="B280" s="27">
        <v>43712</v>
      </c>
      <c r="C280" s="6" t="s">
        <v>53</v>
      </c>
      <c r="D280" s="6" t="s">
        <v>54</v>
      </c>
      <c r="E280" s="21">
        <v>0.77083333333333304</v>
      </c>
      <c r="F280" s="21">
        <v>0.8125</v>
      </c>
      <c r="G280" s="7" t="s">
        <v>24</v>
      </c>
      <c r="H280" s="7" t="s">
        <v>0</v>
      </c>
      <c r="I280" s="6" t="s">
        <v>55</v>
      </c>
      <c r="J280" s="7" t="s">
        <v>0</v>
      </c>
      <c r="K280" s="8" t="s">
        <v>0</v>
      </c>
      <c r="L280" s="3" t="s">
        <v>6</v>
      </c>
    </row>
    <row r="281" spans="1:12" ht="16.5" customHeight="1" x14ac:dyDescent="0.25">
      <c r="A281" s="26">
        <f t="shared" si="15"/>
        <v>43712</v>
      </c>
      <c r="B281" s="27">
        <v>43712</v>
      </c>
      <c r="C281" s="6" t="s">
        <v>56</v>
      </c>
      <c r="D281" s="6" t="s">
        <v>57</v>
      </c>
      <c r="E281" s="21">
        <v>0.58333333333333304</v>
      </c>
      <c r="F281" s="21">
        <v>0.6875</v>
      </c>
      <c r="G281" s="7" t="s">
        <v>24</v>
      </c>
      <c r="H281" s="7" t="s">
        <v>0</v>
      </c>
      <c r="I281" s="6" t="s">
        <v>55</v>
      </c>
      <c r="J281" s="7" t="s">
        <v>0</v>
      </c>
      <c r="K281" s="8" t="s">
        <v>0</v>
      </c>
      <c r="L281" s="3" t="s">
        <v>6</v>
      </c>
    </row>
    <row r="282" spans="1:12" ht="16.5" customHeight="1" x14ac:dyDescent="0.25">
      <c r="A282" s="26">
        <f t="shared" si="15"/>
        <v>43712</v>
      </c>
      <c r="B282" s="27">
        <v>43712</v>
      </c>
      <c r="C282" s="6" t="s">
        <v>94</v>
      </c>
      <c r="D282" s="6" t="s">
        <v>95</v>
      </c>
      <c r="E282" s="21">
        <v>0.79166666666666663</v>
      </c>
      <c r="F282" s="21">
        <v>0.875</v>
      </c>
      <c r="G282" s="7" t="s">
        <v>27</v>
      </c>
      <c r="H282" s="7">
        <v>1</v>
      </c>
      <c r="I282" s="6" t="s">
        <v>49</v>
      </c>
      <c r="J282" s="7" t="s">
        <v>0</v>
      </c>
      <c r="K282" s="8" t="s">
        <v>0</v>
      </c>
      <c r="L282" s="3" t="s">
        <v>69</v>
      </c>
    </row>
    <row r="283" spans="1:12" ht="16.5" customHeight="1" x14ac:dyDescent="0.25">
      <c r="A283" s="26">
        <f t="shared" si="15"/>
        <v>43712</v>
      </c>
      <c r="B283" s="27">
        <v>43712</v>
      </c>
      <c r="C283" s="6" t="s">
        <v>122</v>
      </c>
      <c r="D283" s="6" t="s">
        <v>121</v>
      </c>
      <c r="E283" s="30">
        <v>0.5625</v>
      </c>
      <c r="F283" s="30">
        <v>0.64583333333333304</v>
      </c>
      <c r="G283" s="7" t="s">
        <v>30</v>
      </c>
      <c r="H283" s="7" t="s">
        <v>0</v>
      </c>
      <c r="I283" s="6" t="s">
        <v>123</v>
      </c>
      <c r="J283" s="7" t="s">
        <v>0</v>
      </c>
      <c r="K283" s="8" t="s">
        <v>0</v>
      </c>
      <c r="L283" s="3" t="s">
        <v>69</v>
      </c>
    </row>
    <row r="284" spans="1:12" ht="16.5" customHeight="1" x14ac:dyDescent="0.25">
      <c r="A284" s="26">
        <f t="shared" si="15"/>
        <v>43713</v>
      </c>
      <c r="B284" s="27">
        <v>43713</v>
      </c>
      <c r="C284" s="6" t="s">
        <v>104</v>
      </c>
      <c r="D284" s="6" t="s">
        <v>105</v>
      </c>
      <c r="E284" s="21">
        <v>0.75</v>
      </c>
      <c r="F284" s="21">
        <v>0.95833333333333304</v>
      </c>
      <c r="G284" s="7" t="s">
        <v>30</v>
      </c>
      <c r="H284" s="7" t="s">
        <v>0</v>
      </c>
      <c r="I284" s="6" t="s">
        <v>106</v>
      </c>
      <c r="J284" s="7" t="s">
        <v>6</v>
      </c>
      <c r="K284" s="8" t="s">
        <v>101</v>
      </c>
      <c r="L284" s="3" t="s">
        <v>69</v>
      </c>
    </row>
    <row r="285" spans="1:12" ht="16.5" customHeight="1" x14ac:dyDescent="0.25">
      <c r="A285" s="26">
        <f t="shared" si="15"/>
        <v>43714</v>
      </c>
      <c r="B285" s="27">
        <v>43714</v>
      </c>
      <c r="C285" s="6" t="s">
        <v>104</v>
      </c>
      <c r="D285" s="6" t="s">
        <v>105</v>
      </c>
      <c r="E285" s="21">
        <v>0.75</v>
      </c>
      <c r="F285" s="21">
        <v>0.95833333333333304</v>
      </c>
      <c r="G285" s="7" t="s">
        <v>30</v>
      </c>
      <c r="H285" s="7" t="s">
        <v>0</v>
      </c>
      <c r="I285" s="6" t="s">
        <v>106</v>
      </c>
      <c r="J285" s="7" t="s">
        <v>6</v>
      </c>
      <c r="K285" s="8" t="s">
        <v>101</v>
      </c>
      <c r="L285" s="3" t="s">
        <v>69</v>
      </c>
    </row>
    <row r="286" spans="1:12" ht="16.5" customHeight="1" x14ac:dyDescent="0.25">
      <c r="A286" s="26">
        <f t="shared" si="15"/>
        <v>43719</v>
      </c>
      <c r="B286" s="27">
        <v>43719</v>
      </c>
      <c r="C286" s="6" t="s">
        <v>51</v>
      </c>
      <c r="D286" s="6" t="s">
        <v>52</v>
      </c>
      <c r="E286" s="21">
        <v>0.375</v>
      </c>
      <c r="F286" s="21">
        <v>0.625</v>
      </c>
      <c r="G286" s="7" t="s">
        <v>25</v>
      </c>
      <c r="H286" s="7" t="s">
        <v>0</v>
      </c>
      <c r="I286" s="6" t="s">
        <v>50</v>
      </c>
      <c r="J286" s="7" t="s">
        <v>0</v>
      </c>
      <c r="K286" s="8" t="s">
        <v>0</v>
      </c>
      <c r="L286" s="3" t="s">
        <v>69</v>
      </c>
    </row>
    <row r="287" spans="1:12" ht="16.5" customHeight="1" x14ac:dyDescent="0.25">
      <c r="A287" s="26">
        <f t="shared" si="15"/>
        <v>43719</v>
      </c>
      <c r="B287" s="27">
        <v>43719</v>
      </c>
      <c r="C287" s="6" t="s">
        <v>53</v>
      </c>
      <c r="D287" s="6" t="s">
        <v>54</v>
      </c>
      <c r="E287" s="21">
        <v>0.77083333333333304</v>
      </c>
      <c r="F287" s="21">
        <v>0.8125</v>
      </c>
      <c r="G287" s="7" t="s">
        <v>24</v>
      </c>
      <c r="H287" s="7" t="s">
        <v>0</v>
      </c>
      <c r="I287" s="6" t="s">
        <v>55</v>
      </c>
      <c r="J287" s="7" t="s">
        <v>0</v>
      </c>
      <c r="K287" s="8" t="s">
        <v>0</v>
      </c>
      <c r="L287" s="3" t="s">
        <v>69</v>
      </c>
    </row>
    <row r="288" spans="1:12" ht="16.5" customHeight="1" x14ac:dyDescent="0.25">
      <c r="A288" s="26">
        <f t="shared" si="15"/>
        <v>43719</v>
      </c>
      <c r="B288" s="27">
        <v>43719</v>
      </c>
      <c r="C288" s="6" t="s">
        <v>56</v>
      </c>
      <c r="D288" s="6" t="s">
        <v>57</v>
      </c>
      <c r="E288" s="21">
        <v>0.58333333333333304</v>
      </c>
      <c r="F288" s="21">
        <v>0.6875</v>
      </c>
      <c r="G288" s="7" t="s">
        <v>24</v>
      </c>
      <c r="H288" s="7" t="s">
        <v>0</v>
      </c>
      <c r="I288" s="6" t="s">
        <v>55</v>
      </c>
      <c r="J288" s="7" t="s">
        <v>0</v>
      </c>
      <c r="K288" s="8" t="s">
        <v>0</v>
      </c>
    </row>
    <row r="289" spans="1:12" ht="16.5" customHeight="1" x14ac:dyDescent="0.25">
      <c r="A289" s="26">
        <f t="shared" si="15"/>
        <v>43719</v>
      </c>
      <c r="B289" s="27">
        <v>43719</v>
      </c>
      <c r="C289" s="6" t="s">
        <v>94</v>
      </c>
      <c r="D289" s="6" t="s">
        <v>95</v>
      </c>
      <c r="E289" s="21">
        <v>0.79166666666666663</v>
      </c>
      <c r="F289" s="21">
        <v>0.875</v>
      </c>
      <c r="G289" s="7" t="s">
        <v>27</v>
      </c>
      <c r="H289" s="7">
        <v>1</v>
      </c>
      <c r="I289" s="6" t="s">
        <v>49</v>
      </c>
      <c r="J289" s="7" t="s">
        <v>0</v>
      </c>
      <c r="K289" s="8" t="s">
        <v>0</v>
      </c>
      <c r="L289" s="3" t="s">
        <v>6</v>
      </c>
    </row>
    <row r="290" spans="1:12" ht="16.5" customHeight="1" x14ac:dyDescent="0.25">
      <c r="A290" s="26">
        <f t="shared" si="15"/>
        <v>43719</v>
      </c>
      <c r="B290" s="27">
        <v>43719</v>
      </c>
      <c r="C290" s="6" t="s">
        <v>122</v>
      </c>
      <c r="D290" s="6" t="s">
        <v>121</v>
      </c>
      <c r="E290" s="30">
        <v>0.5625</v>
      </c>
      <c r="F290" s="30">
        <v>0.64583333333333304</v>
      </c>
      <c r="G290" s="7" t="s">
        <v>30</v>
      </c>
      <c r="H290" s="7" t="s">
        <v>0</v>
      </c>
      <c r="I290" s="6" t="s">
        <v>123</v>
      </c>
      <c r="J290" s="7" t="s">
        <v>0</v>
      </c>
      <c r="K290" s="8" t="s">
        <v>0</v>
      </c>
      <c r="L290" s="3" t="s">
        <v>69</v>
      </c>
    </row>
    <row r="291" spans="1:12" ht="16.5" customHeight="1" x14ac:dyDescent="0.25">
      <c r="A291" s="26">
        <f t="shared" si="15"/>
        <v>43721</v>
      </c>
      <c r="B291" s="27">
        <v>43721</v>
      </c>
      <c r="C291" s="29" t="s">
        <v>10</v>
      </c>
      <c r="D291" s="29" t="s">
        <v>7</v>
      </c>
      <c r="E291" s="30">
        <v>0.8125</v>
      </c>
      <c r="F291" s="30">
        <v>0.95833333333333337</v>
      </c>
      <c r="G291" s="31" t="s">
        <v>24</v>
      </c>
      <c r="H291" s="31" t="s">
        <v>0</v>
      </c>
      <c r="I291" s="29" t="s">
        <v>8</v>
      </c>
      <c r="J291" s="31" t="s">
        <v>6</v>
      </c>
      <c r="K291" s="8" t="s">
        <v>39</v>
      </c>
      <c r="L291" s="3" t="s">
        <v>6</v>
      </c>
    </row>
    <row r="292" spans="1:12" ht="16.5" customHeight="1" x14ac:dyDescent="0.25">
      <c r="A292" s="13">
        <f t="shared" si="15"/>
        <v>43722</v>
      </c>
      <c r="B292" s="14">
        <v>43722</v>
      </c>
      <c r="C292" s="15" t="s">
        <v>37</v>
      </c>
      <c r="D292" s="15" t="s">
        <v>7</v>
      </c>
      <c r="E292" s="22">
        <v>0.33333333333333331</v>
      </c>
      <c r="F292" s="22">
        <v>0.58333333333333337</v>
      </c>
      <c r="G292" s="16" t="s">
        <v>26</v>
      </c>
      <c r="H292" s="16" t="s">
        <v>0</v>
      </c>
      <c r="I292" s="15" t="s">
        <v>35</v>
      </c>
      <c r="J292" s="16" t="s">
        <v>6</v>
      </c>
      <c r="K292" s="16" t="s">
        <v>0</v>
      </c>
      <c r="L292" s="3" t="s">
        <v>6</v>
      </c>
    </row>
    <row r="293" spans="1:12" ht="16.5" customHeight="1" x14ac:dyDescent="0.25">
      <c r="A293" s="13">
        <f t="shared" si="15"/>
        <v>43722</v>
      </c>
      <c r="B293" s="14">
        <v>43722</v>
      </c>
      <c r="C293" s="15" t="s">
        <v>34</v>
      </c>
      <c r="D293" s="15" t="s">
        <v>7</v>
      </c>
      <c r="E293" s="22">
        <v>0.33333333333333331</v>
      </c>
      <c r="F293" s="22">
        <v>0.58333333333333337</v>
      </c>
      <c r="G293" s="16" t="s">
        <v>26</v>
      </c>
      <c r="H293" s="16" t="s">
        <v>0</v>
      </c>
      <c r="I293" s="15" t="s">
        <v>35</v>
      </c>
      <c r="J293" s="16" t="s">
        <v>6</v>
      </c>
      <c r="K293" s="16" t="s">
        <v>36</v>
      </c>
      <c r="L293" s="3" t="s">
        <v>6</v>
      </c>
    </row>
    <row r="294" spans="1:12" ht="16.5" customHeight="1" x14ac:dyDescent="0.25">
      <c r="A294" s="13">
        <v>43687</v>
      </c>
      <c r="B294" s="14">
        <v>43722</v>
      </c>
      <c r="C294" s="17" t="s">
        <v>19</v>
      </c>
      <c r="D294" s="15" t="s">
        <v>7</v>
      </c>
      <c r="E294" s="22">
        <v>0.33333333333333331</v>
      </c>
      <c r="F294" s="22">
        <v>0.54166666666666663</v>
      </c>
      <c r="G294" s="16" t="s">
        <v>26</v>
      </c>
      <c r="H294" s="16" t="s">
        <v>0</v>
      </c>
      <c r="I294" s="15" t="s">
        <v>32</v>
      </c>
      <c r="J294" s="16" t="s">
        <v>6</v>
      </c>
      <c r="K294" s="16" t="s">
        <v>33</v>
      </c>
    </row>
    <row r="295" spans="1:12" ht="16.5" customHeight="1" x14ac:dyDescent="0.25">
      <c r="A295" s="13">
        <v>43687</v>
      </c>
      <c r="B295" s="14">
        <v>43722</v>
      </c>
      <c r="C295" s="17" t="s">
        <v>20</v>
      </c>
      <c r="D295" s="15" t="s">
        <v>7</v>
      </c>
      <c r="E295" s="22">
        <v>0.33333333333333331</v>
      </c>
      <c r="F295" s="22">
        <v>0.54166666666666663</v>
      </c>
      <c r="G295" s="16" t="s">
        <v>26</v>
      </c>
      <c r="H295" s="16" t="s">
        <v>0</v>
      </c>
      <c r="I295" s="15" t="s">
        <v>9</v>
      </c>
      <c r="J295" s="16" t="s">
        <v>6</v>
      </c>
      <c r="K295" s="16" t="s">
        <v>33</v>
      </c>
      <c r="L295" s="3" t="s">
        <v>69</v>
      </c>
    </row>
    <row r="296" spans="1:12" ht="16.5" customHeight="1" x14ac:dyDescent="0.25">
      <c r="A296" s="13">
        <v>43722</v>
      </c>
      <c r="B296" s="14">
        <v>43722</v>
      </c>
      <c r="C296" s="15" t="s">
        <v>18</v>
      </c>
      <c r="D296" s="15" t="s">
        <v>7</v>
      </c>
      <c r="E296" s="22">
        <v>0.33333333333333331</v>
      </c>
      <c r="F296" s="22">
        <v>0.70833333333333337</v>
      </c>
      <c r="G296" s="16" t="s">
        <v>25</v>
      </c>
      <c r="H296" s="16" t="s">
        <v>0</v>
      </c>
      <c r="I296" s="15" t="s">
        <v>13</v>
      </c>
      <c r="J296" s="16" t="s">
        <v>6</v>
      </c>
      <c r="K296" s="16" t="s">
        <v>38</v>
      </c>
      <c r="L296" s="3" t="s">
        <v>69</v>
      </c>
    </row>
    <row r="297" spans="1:12" ht="16.5" customHeight="1" x14ac:dyDescent="0.25">
      <c r="A297" s="13">
        <f t="shared" ref="A297:A314" si="16">B297</f>
        <v>43722</v>
      </c>
      <c r="B297" s="14">
        <v>43722</v>
      </c>
      <c r="C297" s="18" t="s">
        <v>10</v>
      </c>
      <c r="D297" s="18" t="s">
        <v>7</v>
      </c>
      <c r="E297" s="23">
        <v>0.33333333333333331</v>
      </c>
      <c r="F297" s="23">
        <v>0.58333333333333337</v>
      </c>
      <c r="G297" s="19" t="s">
        <v>24</v>
      </c>
      <c r="H297" s="19" t="s">
        <v>0</v>
      </c>
      <c r="I297" s="18" t="s">
        <v>8</v>
      </c>
      <c r="J297" s="19" t="s">
        <v>6</v>
      </c>
      <c r="K297" s="16" t="s">
        <v>40</v>
      </c>
    </row>
    <row r="298" spans="1:12" ht="16.5" customHeight="1" x14ac:dyDescent="0.25">
      <c r="A298" s="13">
        <f t="shared" si="16"/>
        <v>43722</v>
      </c>
      <c r="B298" s="14">
        <v>43722</v>
      </c>
      <c r="C298" s="15" t="s">
        <v>94</v>
      </c>
      <c r="D298" s="15" t="s">
        <v>95</v>
      </c>
      <c r="E298" s="22">
        <v>0.33333333333333331</v>
      </c>
      <c r="F298" s="22">
        <v>0.5</v>
      </c>
      <c r="G298" s="16" t="s">
        <v>27</v>
      </c>
      <c r="H298" s="16">
        <v>1</v>
      </c>
      <c r="I298" s="15" t="s">
        <v>49</v>
      </c>
      <c r="J298" s="16" t="s">
        <v>0</v>
      </c>
      <c r="K298" s="16" t="s">
        <v>0</v>
      </c>
      <c r="L298" s="3" t="s">
        <v>69</v>
      </c>
    </row>
    <row r="299" spans="1:12" ht="16.5" customHeight="1" x14ac:dyDescent="0.25">
      <c r="A299" s="13">
        <f t="shared" si="16"/>
        <v>43722</v>
      </c>
      <c r="B299" s="14">
        <v>43722</v>
      </c>
      <c r="C299" s="15" t="s">
        <v>138</v>
      </c>
      <c r="D299" s="15" t="s">
        <v>177</v>
      </c>
      <c r="E299" s="22">
        <v>0.33333333333333331</v>
      </c>
      <c r="F299" s="22">
        <v>0.5</v>
      </c>
      <c r="G299" s="16" t="s">
        <v>27</v>
      </c>
      <c r="H299" s="16">
        <v>2</v>
      </c>
      <c r="I299" s="15" t="s">
        <v>49</v>
      </c>
      <c r="J299" s="16" t="s">
        <v>0</v>
      </c>
      <c r="K299" s="16" t="s">
        <v>0</v>
      </c>
      <c r="L299" s="3" t="s">
        <v>69</v>
      </c>
    </row>
    <row r="300" spans="1:12" ht="16.5" customHeight="1" x14ac:dyDescent="0.25">
      <c r="A300" s="26">
        <f t="shared" si="16"/>
        <v>43726</v>
      </c>
      <c r="B300" s="27">
        <v>43726</v>
      </c>
      <c r="C300" s="6" t="s">
        <v>51</v>
      </c>
      <c r="D300" s="6" t="s">
        <v>52</v>
      </c>
      <c r="E300" s="21">
        <v>0.375</v>
      </c>
      <c r="F300" s="21">
        <v>0.625</v>
      </c>
      <c r="G300" s="7" t="s">
        <v>25</v>
      </c>
      <c r="H300" s="7" t="s">
        <v>0</v>
      </c>
      <c r="I300" s="6" t="s">
        <v>50</v>
      </c>
      <c r="J300" s="7" t="s">
        <v>0</v>
      </c>
      <c r="K300" s="8" t="s">
        <v>0</v>
      </c>
      <c r="L300" s="3" t="s">
        <v>69</v>
      </c>
    </row>
    <row r="301" spans="1:12" ht="16.5" customHeight="1" x14ac:dyDescent="0.25">
      <c r="A301" s="26">
        <f t="shared" si="16"/>
        <v>43726</v>
      </c>
      <c r="B301" s="27">
        <v>43726</v>
      </c>
      <c r="C301" s="6" t="s">
        <v>53</v>
      </c>
      <c r="D301" s="6" t="s">
        <v>54</v>
      </c>
      <c r="E301" s="21">
        <v>0.77083333333333304</v>
      </c>
      <c r="F301" s="21">
        <v>0.8125</v>
      </c>
      <c r="G301" s="7" t="s">
        <v>24</v>
      </c>
      <c r="H301" s="7" t="s">
        <v>0</v>
      </c>
      <c r="I301" s="6" t="s">
        <v>55</v>
      </c>
      <c r="J301" s="7" t="s">
        <v>0</v>
      </c>
      <c r="K301" s="8" t="s">
        <v>0</v>
      </c>
      <c r="L301" s="3" t="s">
        <v>6</v>
      </c>
    </row>
    <row r="302" spans="1:12" ht="16.5" customHeight="1" x14ac:dyDescent="0.25">
      <c r="A302" s="26">
        <f t="shared" si="16"/>
        <v>43726</v>
      </c>
      <c r="B302" s="27">
        <v>43726</v>
      </c>
      <c r="C302" s="6" t="s">
        <v>56</v>
      </c>
      <c r="D302" s="6" t="s">
        <v>57</v>
      </c>
      <c r="E302" s="21">
        <v>0.58333333333333304</v>
      </c>
      <c r="F302" s="21">
        <v>0.6875</v>
      </c>
      <c r="G302" s="7" t="s">
        <v>24</v>
      </c>
      <c r="H302" s="7" t="s">
        <v>0</v>
      </c>
      <c r="I302" s="6" t="s">
        <v>55</v>
      </c>
      <c r="J302" s="7" t="s">
        <v>0</v>
      </c>
      <c r="K302" s="8" t="s">
        <v>0</v>
      </c>
      <c r="L302" s="3" t="s">
        <v>69</v>
      </c>
    </row>
    <row r="303" spans="1:12" ht="16.5" customHeight="1" x14ac:dyDescent="0.25">
      <c r="A303" s="26">
        <f t="shared" si="16"/>
        <v>43726</v>
      </c>
      <c r="B303" s="27">
        <v>43726</v>
      </c>
      <c r="C303" s="6" t="s">
        <v>94</v>
      </c>
      <c r="D303" s="6" t="s">
        <v>95</v>
      </c>
      <c r="E303" s="21">
        <v>0.79166666666666663</v>
      </c>
      <c r="F303" s="21">
        <v>0.875</v>
      </c>
      <c r="G303" s="7" t="s">
        <v>27</v>
      </c>
      <c r="H303" s="7">
        <v>1</v>
      </c>
      <c r="I303" s="6" t="s">
        <v>49</v>
      </c>
      <c r="J303" s="7" t="s">
        <v>0</v>
      </c>
      <c r="K303" s="8" t="s">
        <v>0</v>
      </c>
      <c r="L303" s="3" t="s">
        <v>6</v>
      </c>
    </row>
    <row r="304" spans="1:12" ht="16.5" customHeight="1" x14ac:dyDescent="0.25">
      <c r="A304" s="26">
        <f t="shared" si="16"/>
        <v>43726</v>
      </c>
      <c r="B304" s="27">
        <v>43726</v>
      </c>
      <c r="C304" s="6" t="s">
        <v>122</v>
      </c>
      <c r="D304" s="6" t="s">
        <v>121</v>
      </c>
      <c r="E304" s="30">
        <v>0.5625</v>
      </c>
      <c r="F304" s="30">
        <v>0.64583333333333304</v>
      </c>
      <c r="G304" s="7" t="s">
        <v>30</v>
      </c>
      <c r="H304" s="7" t="s">
        <v>0</v>
      </c>
      <c r="I304" s="6" t="s">
        <v>123</v>
      </c>
      <c r="J304" s="7" t="s">
        <v>0</v>
      </c>
      <c r="K304" s="8" t="s">
        <v>0</v>
      </c>
      <c r="L304" s="3" t="s">
        <v>6</v>
      </c>
    </row>
    <row r="305" spans="1:12" ht="16.5" customHeight="1" x14ac:dyDescent="0.25">
      <c r="A305" s="26">
        <f t="shared" si="16"/>
        <v>43728</v>
      </c>
      <c r="B305" s="27">
        <v>43728</v>
      </c>
      <c r="C305" s="29" t="s">
        <v>10</v>
      </c>
      <c r="D305" s="29" t="s">
        <v>7</v>
      </c>
      <c r="E305" s="30">
        <v>0.8125</v>
      </c>
      <c r="F305" s="30">
        <v>0.95833333333333337</v>
      </c>
      <c r="G305" s="31" t="s">
        <v>24</v>
      </c>
      <c r="H305" s="31" t="s">
        <v>0</v>
      </c>
      <c r="I305" s="29" t="s">
        <v>8</v>
      </c>
      <c r="J305" s="31" t="s">
        <v>6</v>
      </c>
      <c r="K305" s="8" t="s">
        <v>39</v>
      </c>
    </row>
    <row r="306" spans="1:12" ht="16.5" customHeight="1" x14ac:dyDescent="0.25">
      <c r="A306" s="13">
        <f t="shared" si="16"/>
        <v>43729</v>
      </c>
      <c r="B306" s="14">
        <v>43729</v>
      </c>
      <c r="C306" s="15" t="s">
        <v>94</v>
      </c>
      <c r="D306" s="15" t="s">
        <v>95</v>
      </c>
      <c r="E306" s="22">
        <v>0.33333333333333331</v>
      </c>
      <c r="F306" s="22">
        <v>0.5</v>
      </c>
      <c r="G306" s="16" t="s">
        <v>27</v>
      </c>
      <c r="H306" s="16">
        <v>1</v>
      </c>
      <c r="I306" s="15" t="s">
        <v>49</v>
      </c>
      <c r="J306" s="16" t="s">
        <v>0</v>
      </c>
      <c r="K306" s="16" t="s">
        <v>0</v>
      </c>
      <c r="L306" s="3" t="s">
        <v>69</v>
      </c>
    </row>
    <row r="307" spans="1:12" ht="16.5" customHeight="1" x14ac:dyDescent="0.25">
      <c r="A307" s="26">
        <f t="shared" si="16"/>
        <v>43733</v>
      </c>
      <c r="B307" s="27">
        <v>43733</v>
      </c>
      <c r="C307" s="6" t="s">
        <v>51</v>
      </c>
      <c r="D307" s="6" t="s">
        <v>52</v>
      </c>
      <c r="E307" s="21">
        <v>0.375</v>
      </c>
      <c r="F307" s="21">
        <v>0.625</v>
      </c>
      <c r="G307" s="7" t="s">
        <v>25</v>
      </c>
      <c r="H307" s="7" t="s">
        <v>0</v>
      </c>
      <c r="I307" s="6" t="s">
        <v>50</v>
      </c>
      <c r="J307" s="7" t="s">
        <v>0</v>
      </c>
      <c r="K307" s="8" t="s">
        <v>0</v>
      </c>
      <c r="L307" s="3" t="s">
        <v>69</v>
      </c>
    </row>
    <row r="308" spans="1:12" ht="16.5" customHeight="1" x14ac:dyDescent="0.25">
      <c r="A308" s="26">
        <f t="shared" si="16"/>
        <v>43733</v>
      </c>
      <c r="B308" s="27">
        <v>43733</v>
      </c>
      <c r="C308" s="6" t="s">
        <v>53</v>
      </c>
      <c r="D308" s="6" t="s">
        <v>54</v>
      </c>
      <c r="E308" s="21">
        <v>0.77083333333333304</v>
      </c>
      <c r="F308" s="21">
        <v>0.8125</v>
      </c>
      <c r="G308" s="7" t="s">
        <v>24</v>
      </c>
      <c r="H308" s="7" t="s">
        <v>0</v>
      </c>
      <c r="I308" s="6" t="s">
        <v>55</v>
      </c>
      <c r="J308" s="7" t="s">
        <v>0</v>
      </c>
      <c r="K308" s="8" t="s">
        <v>0</v>
      </c>
      <c r="L308" s="3" t="s">
        <v>69</v>
      </c>
    </row>
    <row r="309" spans="1:12" ht="16.5" customHeight="1" x14ac:dyDescent="0.25">
      <c r="A309" s="26">
        <f t="shared" si="16"/>
        <v>43733</v>
      </c>
      <c r="B309" s="27">
        <v>43733</v>
      </c>
      <c r="C309" s="6" t="s">
        <v>56</v>
      </c>
      <c r="D309" s="6" t="s">
        <v>57</v>
      </c>
      <c r="E309" s="21">
        <v>0.58333333333333304</v>
      </c>
      <c r="F309" s="21">
        <v>0.6875</v>
      </c>
      <c r="G309" s="7" t="s">
        <v>24</v>
      </c>
      <c r="H309" s="7" t="s">
        <v>0</v>
      </c>
      <c r="I309" s="6" t="s">
        <v>55</v>
      </c>
      <c r="J309" s="7" t="s">
        <v>0</v>
      </c>
      <c r="K309" s="8" t="s">
        <v>0</v>
      </c>
    </row>
    <row r="310" spans="1:12" ht="16.5" customHeight="1" x14ac:dyDescent="0.25">
      <c r="A310" s="26">
        <f t="shared" si="16"/>
        <v>43733</v>
      </c>
      <c r="B310" s="27">
        <v>43733</v>
      </c>
      <c r="C310" s="6" t="s">
        <v>94</v>
      </c>
      <c r="D310" s="6" t="s">
        <v>95</v>
      </c>
      <c r="E310" s="21">
        <v>0.79166666666666663</v>
      </c>
      <c r="F310" s="21">
        <v>0.875</v>
      </c>
      <c r="G310" s="7" t="s">
        <v>27</v>
      </c>
      <c r="H310" s="7">
        <v>1</v>
      </c>
      <c r="I310" s="6" t="s">
        <v>49</v>
      </c>
      <c r="J310" s="7" t="s">
        <v>0</v>
      </c>
      <c r="K310" s="8" t="s">
        <v>0</v>
      </c>
      <c r="L310" s="3" t="s">
        <v>6</v>
      </c>
    </row>
    <row r="311" spans="1:12" ht="16.5" customHeight="1" x14ac:dyDescent="0.25">
      <c r="A311" s="26">
        <f t="shared" si="16"/>
        <v>43733</v>
      </c>
      <c r="B311" s="27">
        <v>43733</v>
      </c>
      <c r="C311" s="6" t="s">
        <v>122</v>
      </c>
      <c r="D311" s="6" t="s">
        <v>121</v>
      </c>
      <c r="E311" s="30">
        <v>0.5625</v>
      </c>
      <c r="F311" s="30">
        <v>0.64583333333333304</v>
      </c>
      <c r="G311" s="7" t="s">
        <v>30</v>
      </c>
      <c r="H311" s="7" t="s">
        <v>0</v>
      </c>
      <c r="I311" s="6" t="s">
        <v>123</v>
      </c>
      <c r="J311" s="7" t="s">
        <v>0</v>
      </c>
      <c r="K311" s="8" t="s">
        <v>0</v>
      </c>
      <c r="L311" s="3" t="s">
        <v>6</v>
      </c>
    </row>
    <row r="312" spans="1:12" ht="16.5" customHeight="1" x14ac:dyDescent="0.25">
      <c r="A312" s="26">
        <f t="shared" si="16"/>
        <v>43735</v>
      </c>
      <c r="B312" s="27">
        <v>43735</v>
      </c>
      <c r="C312" s="6" t="s">
        <v>10</v>
      </c>
      <c r="D312" s="6" t="s">
        <v>7</v>
      </c>
      <c r="E312" s="30">
        <v>0.8125</v>
      </c>
      <c r="F312" s="30">
        <v>0.95833333333333337</v>
      </c>
      <c r="G312" s="7" t="s">
        <v>24</v>
      </c>
      <c r="H312" s="7" t="s">
        <v>0</v>
      </c>
      <c r="I312" s="6" t="s">
        <v>8</v>
      </c>
      <c r="J312" s="7" t="s">
        <v>6</v>
      </c>
      <c r="K312" s="8" t="s">
        <v>39</v>
      </c>
      <c r="L312" s="3" t="s">
        <v>6</v>
      </c>
    </row>
    <row r="313" spans="1:12" ht="16.5" customHeight="1" x14ac:dyDescent="0.25">
      <c r="A313" s="13">
        <f t="shared" si="16"/>
        <v>43736</v>
      </c>
      <c r="B313" s="14">
        <v>43736</v>
      </c>
      <c r="C313" s="15" t="s">
        <v>37</v>
      </c>
      <c r="D313" s="15" t="s">
        <v>7</v>
      </c>
      <c r="E313" s="22">
        <v>0.33333333333333331</v>
      </c>
      <c r="F313" s="22">
        <v>0.58333333333333337</v>
      </c>
      <c r="G313" s="16" t="s">
        <v>26</v>
      </c>
      <c r="H313" s="16" t="s">
        <v>0</v>
      </c>
      <c r="I313" s="15" t="s">
        <v>35</v>
      </c>
      <c r="J313" s="16" t="s">
        <v>6</v>
      </c>
      <c r="K313" s="16" t="s">
        <v>0</v>
      </c>
    </row>
    <row r="314" spans="1:12" ht="16.5" customHeight="1" x14ac:dyDescent="0.25">
      <c r="A314" s="13">
        <f t="shared" si="16"/>
        <v>43736</v>
      </c>
      <c r="B314" s="14">
        <v>43736</v>
      </c>
      <c r="C314" s="15" t="s">
        <v>34</v>
      </c>
      <c r="D314" s="15" t="s">
        <v>7</v>
      </c>
      <c r="E314" s="22">
        <v>0.33333333333333331</v>
      </c>
      <c r="F314" s="22">
        <v>0.58333333333333337</v>
      </c>
      <c r="G314" s="16" t="s">
        <v>26</v>
      </c>
      <c r="H314" s="16" t="s">
        <v>0</v>
      </c>
      <c r="I314" s="15" t="s">
        <v>35</v>
      </c>
      <c r="J314" s="16" t="s">
        <v>6</v>
      </c>
      <c r="K314" s="16" t="s">
        <v>36</v>
      </c>
      <c r="L314" s="3" t="s">
        <v>69</v>
      </c>
    </row>
    <row r="315" spans="1:12" ht="16.5" customHeight="1" x14ac:dyDescent="0.25">
      <c r="A315" s="13">
        <v>43722</v>
      </c>
      <c r="B315" s="14">
        <v>43736</v>
      </c>
      <c r="C315" s="17" t="s">
        <v>19</v>
      </c>
      <c r="D315" s="15" t="s">
        <v>7</v>
      </c>
      <c r="E315" s="22">
        <v>0.33333333333333331</v>
      </c>
      <c r="F315" s="22">
        <v>0.54166666666666663</v>
      </c>
      <c r="G315" s="16" t="s">
        <v>26</v>
      </c>
      <c r="H315" s="16" t="s">
        <v>0</v>
      </c>
      <c r="I315" s="15" t="s">
        <v>32</v>
      </c>
      <c r="J315" s="16" t="s">
        <v>6</v>
      </c>
      <c r="K315" s="16" t="s">
        <v>33</v>
      </c>
      <c r="L315" s="3" t="s">
        <v>69</v>
      </c>
    </row>
    <row r="316" spans="1:12" ht="16.5" customHeight="1" x14ac:dyDescent="0.25">
      <c r="A316" s="13">
        <v>43722</v>
      </c>
      <c r="B316" s="14">
        <v>43736</v>
      </c>
      <c r="C316" s="17" t="s">
        <v>20</v>
      </c>
      <c r="D316" s="15" t="s">
        <v>7</v>
      </c>
      <c r="E316" s="22">
        <v>0.33333333333333331</v>
      </c>
      <c r="F316" s="22">
        <v>0.54166666666666663</v>
      </c>
      <c r="G316" s="16" t="s">
        <v>26</v>
      </c>
      <c r="H316" s="16" t="s">
        <v>0</v>
      </c>
      <c r="I316" s="15" t="s">
        <v>9</v>
      </c>
      <c r="J316" s="16" t="s">
        <v>6</v>
      </c>
      <c r="K316" s="16" t="s">
        <v>33</v>
      </c>
      <c r="L316" s="3" t="s">
        <v>69</v>
      </c>
    </row>
    <row r="317" spans="1:12" ht="16.5" customHeight="1" x14ac:dyDescent="0.25">
      <c r="A317" s="13">
        <v>43736</v>
      </c>
      <c r="B317" s="14">
        <v>43736</v>
      </c>
      <c r="C317" s="15" t="s">
        <v>18</v>
      </c>
      <c r="D317" s="15" t="s">
        <v>7</v>
      </c>
      <c r="E317" s="22">
        <v>0.33333333333333331</v>
      </c>
      <c r="F317" s="22">
        <v>0.70833333333333337</v>
      </c>
      <c r="G317" s="16" t="s">
        <v>25</v>
      </c>
      <c r="H317" s="16" t="s">
        <v>0</v>
      </c>
      <c r="I317" s="15" t="s">
        <v>13</v>
      </c>
      <c r="J317" s="16" t="s">
        <v>6</v>
      </c>
      <c r="K317" s="16" t="s">
        <v>38</v>
      </c>
    </row>
    <row r="318" spans="1:12" ht="16.5" customHeight="1" x14ac:dyDescent="0.25">
      <c r="A318" s="13">
        <f t="shared" ref="A318:A342" si="17">B318</f>
        <v>43736</v>
      </c>
      <c r="B318" s="14">
        <v>43736</v>
      </c>
      <c r="C318" s="15" t="s">
        <v>10</v>
      </c>
      <c r="D318" s="15" t="s">
        <v>7</v>
      </c>
      <c r="E318" s="23">
        <v>0.33333333333333331</v>
      </c>
      <c r="F318" s="23">
        <v>0.58333333333333337</v>
      </c>
      <c r="G318" s="16" t="s">
        <v>24</v>
      </c>
      <c r="H318" s="16" t="s">
        <v>0</v>
      </c>
      <c r="I318" s="15" t="s">
        <v>8</v>
      </c>
      <c r="J318" s="16" t="s">
        <v>6</v>
      </c>
      <c r="K318" s="16" t="s">
        <v>40</v>
      </c>
      <c r="L318" s="3" t="s">
        <v>6</v>
      </c>
    </row>
    <row r="319" spans="1:12" ht="16.5" customHeight="1" x14ac:dyDescent="0.25">
      <c r="A319" s="13">
        <f t="shared" si="17"/>
        <v>43736</v>
      </c>
      <c r="B319" s="14">
        <v>43736</v>
      </c>
      <c r="C319" s="15" t="s">
        <v>94</v>
      </c>
      <c r="D319" s="15" t="s">
        <v>95</v>
      </c>
      <c r="E319" s="22">
        <v>0.33333333333333331</v>
      </c>
      <c r="F319" s="22">
        <v>0.5</v>
      </c>
      <c r="G319" s="16" t="s">
        <v>27</v>
      </c>
      <c r="H319" s="16">
        <v>1</v>
      </c>
      <c r="I319" s="15" t="s">
        <v>49</v>
      </c>
      <c r="J319" s="16" t="s">
        <v>0</v>
      </c>
      <c r="K319" s="16" t="s">
        <v>0</v>
      </c>
      <c r="L319" s="3" t="s">
        <v>6</v>
      </c>
    </row>
    <row r="320" spans="1:12" ht="16.5" customHeight="1" x14ac:dyDescent="0.25">
      <c r="A320" s="13">
        <f t="shared" si="17"/>
        <v>43736</v>
      </c>
      <c r="B320" s="14">
        <v>43736</v>
      </c>
      <c r="C320" s="15" t="s">
        <v>138</v>
      </c>
      <c r="D320" s="15" t="s">
        <v>177</v>
      </c>
      <c r="E320" s="22">
        <v>0.33333333333333331</v>
      </c>
      <c r="F320" s="22">
        <v>0.5</v>
      </c>
      <c r="G320" s="16" t="s">
        <v>27</v>
      </c>
      <c r="H320" s="16">
        <v>2</v>
      </c>
      <c r="I320" s="15" t="s">
        <v>49</v>
      </c>
      <c r="J320" s="16" t="s">
        <v>0</v>
      </c>
      <c r="K320" s="16" t="s">
        <v>0</v>
      </c>
    </row>
    <row r="321" spans="1:12" ht="16.5" customHeight="1" x14ac:dyDescent="0.25">
      <c r="A321" s="26">
        <f t="shared" si="17"/>
        <v>43740</v>
      </c>
      <c r="B321" s="27">
        <v>43740</v>
      </c>
      <c r="C321" s="6" t="s">
        <v>51</v>
      </c>
      <c r="D321" s="6" t="s">
        <v>52</v>
      </c>
      <c r="E321" s="21">
        <v>0.375</v>
      </c>
      <c r="F321" s="21">
        <v>0.625</v>
      </c>
      <c r="G321" s="7" t="s">
        <v>25</v>
      </c>
      <c r="H321" s="7" t="s">
        <v>0</v>
      </c>
      <c r="I321" s="6" t="s">
        <v>50</v>
      </c>
      <c r="J321" s="7" t="s">
        <v>0</v>
      </c>
      <c r="K321" s="8" t="s">
        <v>0</v>
      </c>
      <c r="L321" s="3" t="s">
        <v>69</v>
      </c>
    </row>
    <row r="322" spans="1:12" ht="16.5" customHeight="1" x14ac:dyDescent="0.25">
      <c r="A322" s="26">
        <f t="shared" si="17"/>
        <v>43740</v>
      </c>
      <c r="B322" s="27">
        <v>43740</v>
      </c>
      <c r="C322" s="6" t="s">
        <v>53</v>
      </c>
      <c r="D322" s="6" t="s">
        <v>54</v>
      </c>
      <c r="E322" s="21">
        <v>0.77083333333333304</v>
      </c>
      <c r="F322" s="21">
        <v>0.8125</v>
      </c>
      <c r="G322" s="7" t="s">
        <v>24</v>
      </c>
      <c r="H322" s="7" t="s">
        <v>0</v>
      </c>
      <c r="I322" s="6" t="s">
        <v>55</v>
      </c>
      <c r="J322" s="7" t="s">
        <v>0</v>
      </c>
      <c r="K322" s="8" t="s">
        <v>0</v>
      </c>
      <c r="L322" s="3" t="s">
        <v>69</v>
      </c>
    </row>
    <row r="323" spans="1:12" ht="16.5" customHeight="1" x14ac:dyDescent="0.25">
      <c r="A323" s="26">
        <f t="shared" si="17"/>
        <v>43740</v>
      </c>
      <c r="B323" s="27">
        <v>43740</v>
      </c>
      <c r="C323" s="6" t="s">
        <v>56</v>
      </c>
      <c r="D323" s="6" t="s">
        <v>57</v>
      </c>
      <c r="E323" s="21">
        <v>0.58333333333333304</v>
      </c>
      <c r="F323" s="21">
        <v>0.6875</v>
      </c>
      <c r="G323" s="7" t="s">
        <v>24</v>
      </c>
      <c r="H323" s="7" t="s">
        <v>0</v>
      </c>
      <c r="I323" s="6" t="s">
        <v>55</v>
      </c>
      <c r="J323" s="7" t="s">
        <v>0</v>
      </c>
      <c r="K323" s="8" t="s">
        <v>0</v>
      </c>
      <c r="L323" s="3" t="s">
        <v>69</v>
      </c>
    </row>
    <row r="324" spans="1:12" ht="16.5" customHeight="1" x14ac:dyDescent="0.25">
      <c r="A324" s="26">
        <f t="shared" si="17"/>
        <v>43740</v>
      </c>
      <c r="B324" s="27">
        <v>43740</v>
      </c>
      <c r="C324" s="6" t="s">
        <v>94</v>
      </c>
      <c r="D324" s="6" t="s">
        <v>95</v>
      </c>
      <c r="E324" s="21">
        <v>0.79166666666666663</v>
      </c>
      <c r="F324" s="21">
        <v>0.875</v>
      </c>
      <c r="G324" s="7" t="s">
        <v>27</v>
      </c>
      <c r="H324" s="7">
        <v>1</v>
      </c>
      <c r="I324" s="6" t="s">
        <v>49</v>
      </c>
      <c r="J324" s="7" t="s">
        <v>0</v>
      </c>
      <c r="K324" s="8" t="s">
        <v>0</v>
      </c>
    </row>
    <row r="325" spans="1:12" ht="16.5" customHeight="1" x14ac:dyDescent="0.25">
      <c r="A325" s="26">
        <f t="shared" si="17"/>
        <v>43740</v>
      </c>
      <c r="B325" s="27">
        <v>43740</v>
      </c>
      <c r="C325" s="6" t="s">
        <v>122</v>
      </c>
      <c r="D325" s="6" t="s">
        <v>121</v>
      </c>
      <c r="E325" s="30">
        <v>0.5625</v>
      </c>
      <c r="F325" s="30">
        <v>0.64583333333333304</v>
      </c>
      <c r="G325" s="7" t="s">
        <v>30</v>
      </c>
      <c r="H325" s="7" t="s">
        <v>0</v>
      </c>
      <c r="I325" s="6" t="s">
        <v>123</v>
      </c>
      <c r="J325" s="7" t="s">
        <v>0</v>
      </c>
      <c r="K325" s="8" t="s">
        <v>0</v>
      </c>
      <c r="L325" s="3" t="s">
        <v>6</v>
      </c>
    </row>
    <row r="326" spans="1:12" ht="16.5" customHeight="1" x14ac:dyDescent="0.25">
      <c r="A326" s="26">
        <f t="shared" si="17"/>
        <v>43742</v>
      </c>
      <c r="B326" s="27">
        <v>43742</v>
      </c>
      <c r="C326" s="6" t="s">
        <v>10</v>
      </c>
      <c r="D326" s="6" t="s">
        <v>7</v>
      </c>
      <c r="E326" s="30">
        <v>0.8125</v>
      </c>
      <c r="F326" s="30">
        <v>0.95833333333333337</v>
      </c>
      <c r="G326" s="7" t="s">
        <v>24</v>
      </c>
      <c r="H326" s="7" t="s">
        <v>0</v>
      </c>
      <c r="I326" s="6" t="s">
        <v>8</v>
      </c>
      <c r="J326" s="7" t="s">
        <v>6</v>
      </c>
      <c r="K326" s="8" t="s">
        <v>39</v>
      </c>
      <c r="L326" s="3" t="s">
        <v>6</v>
      </c>
    </row>
    <row r="327" spans="1:12" ht="16.5" customHeight="1" x14ac:dyDescent="0.25">
      <c r="A327" s="13">
        <f t="shared" si="17"/>
        <v>43743</v>
      </c>
      <c r="B327" s="14">
        <v>43743</v>
      </c>
      <c r="C327" s="15" t="s">
        <v>37</v>
      </c>
      <c r="D327" s="15" t="s">
        <v>7</v>
      </c>
      <c r="E327" s="22">
        <v>0.33333333333333331</v>
      </c>
      <c r="F327" s="22">
        <v>0.58333333333333337</v>
      </c>
      <c r="G327" s="16" t="s">
        <v>26</v>
      </c>
      <c r="H327" s="16" t="s">
        <v>0</v>
      </c>
      <c r="I327" s="15" t="s">
        <v>35</v>
      </c>
      <c r="J327" s="16" t="s">
        <v>6</v>
      </c>
      <c r="K327" s="16" t="s">
        <v>0</v>
      </c>
      <c r="L327" s="3" t="s">
        <v>6</v>
      </c>
    </row>
    <row r="328" spans="1:12" ht="16.5" customHeight="1" x14ac:dyDescent="0.25">
      <c r="A328" s="13">
        <f t="shared" si="17"/>
        <v>43743</v>
      </c>
      <c r="B328" s="14">
        <v>43743</v>
      </c>
      <c r="C328" s="15" t="s">
        <v>34</v>
      </c>
      <c r="D328" s="15" t="s">
        <v>7</v>
      </c>
      <c r="E328" s="22">
        <v>0.33333333333333331</v>
      </c>
      <c r="F328" s="22">
        <v>0.58333333333333337</v>
      </c>
      <c r="G328" s="16" t="s">
        <v>26</v>
      </c>
      <c r="H328" s="16" t="s">
        <v>0</v>
      </c>
      <c r="I328" s="15" t="s">
        <v>35</v>
      </c>
      <c r="J328" s="16" t="s">
        <v>6</v>
      </c>
      <c r="K328" s="16" t="s">
        <v>36</v>
      </c>
    </row>
    <row r="329" spans="1:12" ht="16.5" customHeight="1" x14ac:dyDescent="0.25">
      <c r="A329" s="13">
        <f t="shared" si="17"/>
        <v>43743</v>
      </c>
      <c r="B329" s="14">
        <v>43743</v>
      </c>
      <c r="C329" s="15" t="s">
        <v>10</v>
      </c>
      <c r="D329" s="15" t="s">
        <v>7</v>
      </c>
      <c r="E329" s="23">
        <v>0.33333333333333331</v>
      </c>
      <c r="F329" s="23">
        <v>0.58333333333333337</v>
      </c>
      <c r="G329" s="16" t="s">
        <v>24</v>
      </c>
      <c r="H329" s="16" t="s">
        <v>0</v>
      </c>
      <c r="I329" s="15" t="s">
        <v>8</v>
      </c>
      <c r="J329" s="16" t="s">
        <v>6</v>
      </c>
      <c r="K329" s="16" t="s">
        <v>40</v>
      </c>
      <c r="L329" s="3" t="s">
        <v>69</v>
      </c>
    </row>
    <row r="330" spans="1:12" ht="16.5" customHeight="1" x14ac:dyDescent="0.25">
      <c r="A330" s="13">
        <f t="shared" si="17"/>
        <v>43743</v>
      </c>
      <c r="B330" s="14">
        <v>43743</v>
      </c>
      <c r="C330" s="15" t="s">
        <v>94</v>
      </c>
      <c r="D330" s="15" t="s">
        <v>95</v>
      </c>
      <c r="E330" s="22">
        <v>0.33333333333333331</v>
      </c>
      <c r="F330" s="22">
        <v>0.5</v>
      </c>
      <c r="G330" s="16" t="s">
        <v>27</v>
      </c>
      <c r="H330" s="16">
        <v>1</v>
      </c>
      <c r="I330" s="15" t="s">
        <v>49</v>
      </c>
      <c r="J330" s="16" t="s">
        <v>0</v>
      </c>
      <c r="K330" s="16" t="s">
        <v>0</v>
      </c>
      <c r="L330" s="3" t="s">
        <v>69</v>
      </c>
    </row>
    <row r="331" spans="1:12" ht="16.5" customHeight="1" x14ac:dyDescent="0.25">
      <c r="A331" s="26">
        <f t="shared" si="17"/>
        <v>43747</v>
      </c>
      <c r="B331" s="27">
        <v>43747</v>
      </c>
      <c r="C331" s="6" t="s">
        <v>51</v>
      </c>
      <c r="D331" s="6" t="s">
        <v>52</v>
      </c>
      <c r="E331" s="21">
        <v>0.375</v>
      </c>
      <c r="F331" s="21">
        <v>0.625</v>
      </c>
      <c r="G331" s="7" t="s">
        <v>25</v>
      </c>
      <c r="H331" s="7" t="s">
        <v>0</v>
      </c>
      <c r="I331" s="6" t="s">
        <v>50</v>
      </c>
      <c r="J331" s="7" t="s">
        <v>0</v>
      </c>
      <c r="K331" s="8" t="s">
        <v>0</v>
      </c>
      <c r="L331" s="3" t="s">
        <v>69</v>
      </c>
    </row>
    <row r="332" spans="1:12" ht="16.5" customHeight="1" x14ac:dyDescent="0.25">
      <c r="A332" s="26">
        <f t="shared" si="17"/>
        <v>43747</v>
      </c>
      <c r="B332" s="27">
        <v>43747</v>
      </c>
      <c r="C332" s="6" t="s">
        <v>53</v>
      </c>
      <c r="D332" s="6" t="s">
        <v>54</v>
      </c>
      <c r="E332" s="21">
        <v>0.77083333333333304</v>
      </c>
      <c r="F332" s="21">
        <v>0.8125</v>
      </c>
      <c r="G332" s="7" t="s">
        <v>24</v>
      </c>
      <c r="H332" s="7" t="s">
        <v>0</v>
      </c>
      <c r="I332" s="6" t="s">
        <v>55</v>
      </c>
      <c r="J332" s="7" t="s">
        <v>0</v>
      </c>
      <c r="K332" s="8" t="s">
        <v>0</v>
      </c>
    </row>
    <row r="333" spans="1:12" ht="16.5" customHeight="1" x14ac:dyDescent="0.25">
      <c r="A333" s="26">
        <f t="shared" si="17"/>
        <v>43747</v>
      </c>
      <c r="B333" s="27">
        <v>43747</v>
      </c>
      <c r="C333" s="6" t="s">
        <v>56</v>
      </c>
      <c r="D333" s="6" t="s">
        <v>57</v>
      </c>
      <c r="E333" s="21">
        <v>0.58333333333333304</v>
      </c>
      <c r="F333" s="21">
        <v>0.6875</v>
      </c>
      <c r="G333" s="7" t="s">
        <v>24</v>
      </c>
      <c r="H333" s="7" t="s">
        <v>0</v>
      </c>
      <c r="I333" s="6" t="s">
        <v>55</v>
      </c>
      <c r="J333" s="7" t="s">
        <v>0</v>
      </c>
      <c r="K333" s="8" t="s">
        <v>0</v>
      </c>
      <c r="L333" s="3" t="s">
        <v>69</v>
      </c>
    </row>
    <row r="334" spans="1:12" ht="16.5" customHeight="1" x14ac:dyDescent="0.25">
      <c r="A334" s="26">
        <f t="shared" si="17"/>
        <v>43747</v>
      </c>
      <c r="B334" s="27">
        <v>43747</v>
      </c>
      <c r="C334" s="6" t="s">
        <v>94</v>
      </c>
      <c r="D334" s="6" t="s">
        <v>95</v>
      </c>
      <c r="E334" s="21">
        <v>0.79166666666666663</v>
      </c>
      <c r="F334" s="21">
        <v>0.875</v>
      </c>
      <c r="G334" s="7" t="s">
        <v>27</v>
      </c>
      <c r="H334" s="7">
        <v>1</v>
      </c>
      <c r="I334" s="6" t="s">
        <v>49</v>
      </c>
      <c r="J334" s="7" t="s">
        <v>0</v>
      </c>
      <c r="K334" s="8" t="s">
        <v>0</v>
      </c>
      <c r="L334" s="3" t="s">
        <v>69</v>
      </c>
    </row>
    <row r="335" spans="1:12" ht="16.5" customHeight="1" x14ac:dyDescent="0.25">
      <c r="A335" s="26">
        <f t="shared" si="17"/>
        <v>43747</v>
      </c>
      <c r="B335" s="27">
        <v>43747</v>
      </c>
      <c r="C335" s="6" t="s">
        <v>122</v>
      </c>
      <c r="D335" s="6" t="s">
        <v>121</v>
      </c>
      <c r="E335" s="30">
        <v>0.5625</v>
      </c>
      <c r="F335" s="30">
        <v>0.64583333333333304</v>
      </c>
      <c r="G335" s="7" t="s">
        <v>30</v>
      </c>
      <c r="H335" s="7" t="s">
        <v>0</v>
      </c>
      <c r="I335" s="6" t="s">
        <v>123</v>
      </c>
      <c r="J335" s="7" t="s">
        <v>0</v>
      </c>
      <c r="K335" s="8" t="s">
        <v>0</v>
      </c>
      <c r="L335" s="3" t="s">
        <v>69</v>
      </c>
    </row>
    <row r="336" spans="1:12" ht="16.5" customHeight="1" x14ac:dyDescent="0.25">
      <c r="A336" s="26">
        <f t="shared" si="17"/>
        <v>43754</v>
      </c>
      <c r="B336" s="27">
        <v>43754</v>
      </c>
      <c r="C336" s="6" t="s">
        <v>51</v>
      </c>
      <c r="D336" s="6" t="s">
        <v>52</v>
      </c>
      <c r="E336" s="21">
        <v>0.375</v>
      </c>
      <c r="F336" s="21">
        <v>0.625</v>
      </c>
      <c r="G336" s="7" t="s">
        <v>25</v>
      </c>
      <c r="H336" s="7" t="s">
        <v>0</v>
      </c>
      <c r="I336" s="6" t="s">
        <v>50</v>
      </c>
      <c r="J336" s="7" t="s">
        <v>0</v>
      </c>
      <c r="K336" s="8" t="s">
        <v>0</v>
      </c>
    </row>
    <row r="337" spans="1:12" ht="16.5" customHeight="1" x14ac:dyDescent="0.25">
      <c r="A337" s="26">
        <f t="shared" si="17"/>
        <v>43754</v>
      </c>
      <c r="B337" s="27">
        <v>43754</v>
      </c>
      <c r="C337" s="6" t="s">
        <v>53</v>
      </c>
      <c r="D337" s="6" t="s">
        <v>54</v>
      </c>
      <c r="E337" s="21">
        <v>0.77083333333333304</v>
      </c>
      <c r="F337" s="21">
        <v>0.8125</v>
      </c>
      <c r="G337" s="7" t="s">
        <v>24</v>
      </c>
      <c r="H337" s="7" t="s">
        <v>0</v>
      </c>
      <c r="I337" s="6" t="s">
        <v>55</v>
      </c>
      <c r="J337" s="7" t="s">
        <v>0</v>
      </c>
      <c r="K337" s="8" t="s">
        <v>0</v>
      </c>
      <c r="L337" s="3" t="s">
        <v>69</v>
      </c>
    </row>
    <row r="338" spans="1:12" ht="16.5" customHeight="1" x14ac:dyDescent="0.25">
      <c r="A338" s="26">
        <f t="shared" si="17"/>
        <v>43754</v>
      </c>
      <c r="B338" s="27">
        <v>43754</v>
      </c>
      <c r="C338" s="6" t="s">
        <v>56</v>
      </c>
      <c r="D338" s="6" t="s">
        <v>57</v>
      </c>
      <c r="E338" s="21">
        <v>0.58333333333333304</v>
      </c>
      <c r="F338" s="21">
        <v>0.6875</v>
      </c>
      <c r="G338" s="7" t="s">
        <v>24</v>
      </c>
      <c r="H338" s="7" t="s">
        <v>0</v>
      </c>
      <c r="I338" s="6" t="s">
        <v>55</v>
      </c>
      <c r="J338" s="7" t="s">
        <v>0</v>
      </c>
      <c r="K338" s="8" t="s">
        <v>0</v>
      </c>
      <c r="L338" s="3" t="s">
        <v>6</v>
      </c>
    </row>
    <row r="339" spans="1:12" ht="16.5" customHeight="1" x14ac:dyDescent="0.25">
      <c r="A339" s="26">
        <f t="shared" si="17"/>
        <v>43754</v>
      </c>
      <c r="B339" s="27">
        <v>43754</v>
      </c>
      <c r="C339" s="6" t="s">
        <v>94</v>
      </c>
      <c r="D339" s="6" t="s">
        <v>95</v>
      </c>
      <c r="E339" s="21">
        <v>0.79166666666666663</v>
      </c>
      <c r="F339" s="21">
        <v>0.875</v>
      </c>
      <c r="G339" s="7" t="s">
        <v>27</v>
      </c>
      <c r="H339" s="7">
        <v>1</v>
      </c>
      <c r="I339" s="6" t="s">
        <v>49</v>
      </c>
      <c r="J339" s="7" t="s">
        <v>0</v>
      </c>
      <c r="K339" s="8" t="s">
        <v>0</v>
      </c>
    </row>
    <row r="340" spans="1:12" ht="16.5" customHeight="1" x14ac:dyDescent="0.25">
      <c r="A340" s="26">
        <f t="shared" si="17"/>
        <v>43754</v>
      </c>
      <c r="B340" s="27">
        <v>43754</v>
      </c>
      <c r="C340" s="6" t="s">
        <v>122</v>
      </c>
      <c r="D340" s="6" t="s">
        <v>121</v>
      </c>
      <c r="E340" s="30">
        <v>0.5625</v>
      </c>
      <c r="F340" s="30">
        <v>0.64583333333333304</v>
      </c>
      <c r="G340" s="7" t="s">
        <v>30</v>
      </c>
      <c r="H340" s="7" t="s">
        <v>0</v>
      </c>
      <c r="I340" s="6" t="s">
        <v>123</v>
      </c>
      <c r="J340" s="7" t="s">
        <v>0</v>
      </c>
      <c r="K340" s="8" t="s">
        <v>0</v>
      </c>
    </row>
    <row r="341" spans="1:12" ht="16.5" customHeight="1" x14ac:dyDescent="0.25">
      <c r="A341" s="26">
        <f t="shared" si="17"/>
        <v>43756</v>
      </c>
      <c r="B341" s="27">
        <v>43756</v>
      </c>
      <c r="C341" s="6" t="s">
        <v>10</v>
      </c>
      <c r="D341" s="6" t="s">
        <v>7</v>
      </c>
      <c r="E341" s="30">
        <v>0.8125</v>
      </c>
      <c r="F341" s="30">
        <v>0.95833333333333337</v>
      </c>
      <c r="G341" s="7" t="s">
        <v>24</v>
      </c>
      <c r="H341" s="7" t="s">
        <v>0</v>
      </c>
      <c r="I341" s="6" t="s">
        <v>8</v>
      </c>
      <c r="J341" s="7" t="s">
        <v>6</v>
      </c>
      <c r="K341" s="8" t="s">
        <v>39</v>
      </c>
    </row>
    <row r="342" spans="1:12" ht="16.5" customHeight="1" x14ac:dyDescent="0.25">
      <c r="A342" s="13">
        <f t="shared" si="17"/>
        <v>43757</v>
      </c>
      <c r="B342" s="14">
        <v>43757</v>
      </c>
      <c r="C342" s="15" t="s">
        <v>80</v>
      </c>
      <c r="D342" s="15" t="s">
        <v>81</v>
      </c>
      <c r="E342" s="22">
        <v>0.375</v>
      </c>
      <c r="F342" s="22">
        <v>0.5</v>
      </c>
      <c r="G342" s="16" t="s">
        <v>30</v>
      </c>
      <c r="H342" s="16" t="s">
        <v>0</v>
      </c>
      <c r="I342" s="15" t="s">
        <v>31</v>
      </c>
      <c r="J342" s="16" t="s">
        <v>0</v>
      </c>
      <c r="K342" s="16" t="s">
        <v>0</v>
      </c>
    </row>
    <row r="343" spans="1:12" ht="16.5" customHeight="1" x14ac:dyDescent="0.25">
      <c r="A343" s="13">
        <v>43757</v>
      </c>
      <c r="B343" s="14">
        <v>43757</v>
      </c>
      <c r="C343" s="15" t="s">
        <v>18</v>
      </c>
      <c r="D343" s="15" t="s">
        <v>7</v>
      </c>
      <c r="E343" s="22">
        <v>0.33333333333333331</v>
      </c>
      <c r="F343" s="22">
        <v>0.70833333333333337</v>
      </c>
      <c r="G343" s="16" t="s">
        <v>25</v>
      </c>
      <c r="H343" s="16" t="s">
        <v>0</v>
      </c>
      <c r="I343" s="15" t="s">
        <v>13</v>
      </c>
      <c r="J343" s="16" t="s">
        <v>6</v>
      </c>
      <c r="K343" s="16" t="s">
        <v>38</v>
      </c>
      <c r="L343" s="3" t="s">
        <v>69</v>
      </c>
    </row>
    <row r="344" spans="1:12" ht="16.5" customHeight="1" x14ac:dyDescent="0.25">
      <c r="A344" s="13">
        <f t="shared" ref="A344:A351" si="18">B344</f>
        <v>43757</v>
      </c>
      <c r="B344" s="14">
        <v>43757</v>
      </c>
      <c r="C344" s="15" t="s">
        <v>10</v>
      </c>
      <c r="D344" s="15" t="s">
        <v>7</v>
      </c>
      <c r="E344" s="22">
        <v>0.33333333333333331</v>
      </c>
      <c r="F344" s="22">
        <v>0.58333333333333337</v>
      </c>
      <c r="G344" s="16" t="s">
        <v>24</v>
      </c>
      <c r="H344" s="16" t="s">
        <v>0</v>
      </c>
      <c r="I344" s="15" t="s">
        <v>8</v>
      </c>
      <c r="J344" s="16" t="s">
        <v>6</v>
      </c>
      <c r="K344" s="16" t="s">
        <v>40</v>
      </c>
      <c r="L344" s="3" t="s">
        <v>6</v>
      </c>
    </row>
    <row r="345" spans="1:12" ht="16.5" customHeight="1" x14ac:dyDescent="0.25">
      <c r="A345" s="13">
        <f t="shared" si="18"/>
        <v>43758</v>
      </c>
      <c r="B345" s="14">
        <v>43758</v>
      </c>
      <c r="C345" s="15" t="s">
        <v>80</v>
      </c>
      <c r="D345" s="15" t="s">
        <v>81</v>
      </c>
      <c r="E345" s="22">
        <v>0.4375</v>
      </c>
      <c r="F345" s="22">
        <v>0.5</v>
      </c>
      <c r="G345" s="16" t="s">
        <v>30</v>
      </c>
      <c r="H345" s="16" t="s">
        <v>0</v>
      </c>
      <c r="I345" s="15" t="s">
        <v>31</v>
      </c>
      <c r="J345" s="16" t="s">
        <v>0</v>
      </c>
      <c r="K345" s="16" t="s">
        <v>0</v>
      </c>
    </row>
    <row r="346" spans="1:12" ht="16.5" customHeight="1" x14ac:dyDescent="0.25">
      <c r="A346" s="26">
        <f t="shared" si="18"/>
        <v>43761</v>
      </c>
      <c r="B346" s="27">
        <v>43761</v>
      </c>
      <c r="C346" s="6" t="s">
        <v>51</v>
      </c>
      <c r="D346" s="6" t="s">
        <v>52</v>
      </c>
      <c r="E346" s="21">
        <v>0.375</v>
      </c>
      <c r="F346" s="21">
        <v>0.625</v>
      </c>
      <c r="G346" s="7" t="s">
        <v>25</v>
      </c>
      <c r="H346" s="7" t="s">
        <v>0</v>
      </c>
      <c r="I346" s="6" t="s">
        <v>50</v>
      </c>
      <c r="J346" s="7" t="s">
        <v>0</v>
      </c>
      <c r="K346" s="8" t="s">
        <v>0</v>
      </c>
    </row>
    <row r="347" spans="1:12" ht="16.5" customHeight="1" x14ac:dyDescent="0.25">
      <c r="A347" s="26">
        <f t="shared" si="18"/>
        <v>43761</v>
      </c>
      <c r="B347" s="27">
        <v>43761</v>
      </c>
      <c r="C347" s="6" t="s">
        <v>53</v>
      </c>
      <c r="D347" s="6" t="s">
        <v>54</v>
      </c>
      <c r="E347" s="21">
        <v>0.77083333333333304</v>
      </c>
      <c r="F347" s="21">
        <v>0.8125</v>
      </c>
      <c r="G347" s="7" t="s">
        <v>24</v>
      </c>
      <c r="H347" s="7" t="s">
        <v>0</v>
      </c>
      <c r="I347" s="6" t="s">
        <v>55</v>
      </c>
      <c r="J347" s="7" t="s">
        <v>0</v>
      </c>
      <c r="K347" s="8" t="s">
        <v>0</v>
      </c>
      <c r="L347" s="3" t="s">
        <v>6</v>
      </c>
    </row>
    <row r="348" spans="1:12" ht="16.5" customHeight="1" x14ac:dyDescent="0.25">
      <c r="A348" s="26">
        <f t="shared" si="18"/>
        <v>43761</v>
      </c>
      <c r="B348" s="27">
        <v>43761</v>
      </c>
      <c r="C348" s="6" t="s">
        <v>56</v>
      </c>
      <c r="D348" s="6" t="s">
        <v>57</v>
      </c>
      <c r="E348" s="21">
        <v>0.58333333333333304</v>
      </c>
      <c r="F348" s="21">
        <v>0.6875</v>
      </c>
      <c r="G348" s="7" t="s">
        <v>24</v>
      </c>
      <c r="H348" s="7" t="s">
        <v>0</v>
      </c>
      <c r="I348" s="6" t="s">
        <v>55</v>
      </c>
      <c r="J348" s="7" t="s">
        <v>0</v>
      </c>
      <c r="K348" s="8" t="s">
        <v>0</v>
      </c>
    </row>
    <row r="349" spans="1:12" ht="16.5" customHeight="1" x14ac:dyDescent="0.25">
      <c r="A349" s="26">
        <f t="shared" si="18"/>
        <v>43761</v>
      </c>
      <c r="B349" s="27">
        <v>43761</v>
      </c>
      <c r="C349" s="6" t="s">
        <v>122</v>
      </c>
      <c r="D349" s="6" t="s">
        <v>121</v>
      </c>
      <c r="E349" s="30">
        <v>0.5625</v>
      </c>
      <c r="F349" s="30">
        <v>0.64583333333333304</v>
      </c>
      <c r="G349" s="7" t="s">
        <v>30</v>
      </c>
      <c r="H349" s="7" t="s">
        <v>0</v>
      </c>
      <c r="I349" s="6" t="s">
        <v>123</v>
      </c>
      <c r="J349" s="7" t="s">
        <v>0</v>
      </c>
      <c r="K349" s="8" t="s">
        <v>0</v>
      </c>
    </row>
    <row r="350" spans="1:12" ht="16.5" customHeight="1" x14ac:dyDescent="0.25">
      <c r="A350" s="13">
        <f t="shared" si="18"/>
        <v>43764</v>
      </c>
      <c r="B350" s="14">
        <v>43764</v>
      </c>
      <c r="C350" s="15" t="s">
        <v>37</v>
      </c>
      <c r="D350" s="15" t="s">
        <v>7</v>
      </c>
      <c r="E350" s="22">
        <v>0.33333333333333331</v>
      </c>
      <c r="F350" s="22">
        <v>0.58333333333333337</v>
      </c>
      <c r="G350" s="16" t="s">
        <v>26</v>
      </c>
      <c r="H350" s="16" t="s">
        <v>0</v>
      </c>
      <c r="I350" s="15" t="s">
        <v>35</v>
      </c>
      <c r="J350" s="16" t="s">
        <v>6</v>
      </c>
      <c r="K350" s="16" t="s">
        <v>0</v>
      </c>
      <c r="L350" s="3" t="s">
        <v>69</v>
      </c>
    </row>
    <row r="351" spans="1:12" ht="16.5" customHeight="1" x14ac:dyDescent="0.25">
      <c r="A351" s="13">
        <f t="shared" si="18"/>
        <v>43764</v>
      </c>
      <c r="B351" s="14">
        <v>43764</v>
      </c>
      <c r="C351" s="15" t="s">
        <v>34</v>
      </c>
      <c r="D351" s="15" t="s">
        <v>7</v>
      </c>
      <c r="E351" s="22">
        <v>0.33333333333333331</v>
      </c>
      <c r="F351" s="22">
        <v>0.58333333333333337</v>
      </c>
      <c r="G351" s="16" t="s">
        <v>26</v>
      </c>
      <c r="H351" s="16" t="s">
        <v>0</v>
      </c>
      <c r="I351" s="15" t="s">
        <v>35</v>
      </c>
      <c r="J351" s="16" t="s">
        <v>6</v>
      </c>
      <c r="K351" s="16" t="s">
        <v>36</v>
      </c>
      <c r="L351" s="3" t="s">
        <v>6</v>
      </c>
    </row>
    <row r="352" spans="1:12" ht="16.5" customHeight="1" x14ac:dyDescent="0.25">
      <c r="A352" s="13">
        <v>43764</v>
      </c>
      <c r="B352" s="14">
        <v>43764</v>
      </c>
      <c r="C352" s="15" t="s">
        <v>18</v>
      </c>
      <c r="D352" s="15" t="s">
        <v>7</v>
      </c>
      <c r="E352" s="22">
        <v>0.33333333333333331</v>
      </c>
      <c r="F352" s="22">
        <v>0.70833333333333337</v>
      </c>
      <c r="G352" s="16" t="s">
        <v>25</v>
      </c>
      <c r="H352" s="16" t="s">
        <v>0</v>
      </c>
      <c r="I352" s="15" t="s">
        <v>13</v>
      </c>
      <c r="J352" s="16" t="s">
        <v>6</v>
      </c>
      <c r="K352" s="16" t="s">
        <v>38</v>
      </c>
    </row>
    <row r="353" spans="1:12" ht="16.5" customHeight="1" x14ac:dyDescent="0.25">
      <c r="A353" s="13">
        <f t="shared" ref="A353:A365" si="19">B353</f>
        <v>43764</v>
      </c>
      <c r="B353" s="14">
        <v>43764</v>
      </c>
      <c r="C353" s="15" t="s">
        <v>138</v>
      </c>
      <c r="D353" s="15" t="s">
        <v>177</v>
      </c>
      <c r="E353" s="22">
        <v>0.33333333333333331</v>
      </c>
      <c r="F353" s="22">
        <v>0.5</v>
      </c>
      <c r="G353" s="16" t="s">
        <v>27</v>
      </c>
      <c r="H353" s="16">
        <v>2</v>
      </c>
      <c r="I353" s="15" t="s">
        <v>49</v>
      </c>
      <c r="J353" s="16" t="s">
        <v>0</v>
      </c>
      <c r="K353" s="16" t="s">
        <v>0</v>
      </c>
    </row>
    <row r="354" spans="1:12" ht="16.5" customHeight="1" x14ac:dyDescent="0.25">
      <c r="A354" s="26">
        <f t="shared" si="19"/>
        <v>43768</v>
      </c>
      <c r="B354" s="27">
        <v>43768</v>
      </c>
      <c r="C354" s="6" t="s">
        <v>51</v>
      </c>
      <c r="D354" s="6" t="s">
        <v>52</v>
      </c>
      <c r="E354" s="21">
        <v>0.375</v>
      </c>
      <c r="F354" s="21">
        <v>0.625</v>
      </c>
      <c r="G354" s="7" t="s">
        <v>25</v>
      </c>
      <c r="H354" s="7" t="s">
        <v>0</v>
      </c>
      <c r="I354" s="6" t="s">
        <v>50</v>
      </c>
      <c r="J354" s="7" t="s">
        <v>0</v>
      </c>
      <c r="K354" s="8" t="s">
        <v>0</v>
      </c>
      <c r="L354" s="3" t="s">
        <v>6</v>
      </c>
    </row>
    <row r="355" spans="1:12" ht="16.5" customHeight="1" x14ac:dyDescent="0.25">
      <c r="A355" s="26">
        <f t="shared" si="19"/>
        <v>43768</v>
      </c>
      <c r="B355" s="27">
        <v>43768</v>
      </c>
      <c r="C355" s="6" t="s">
        <v>53</v>
      </c>
      <c r="D355" s="6" t="s">
        <v>54</v>
      </c>
      <c r="E355" s="21">
        <v>0.77083333333333304</v>
      </c>
      <c r="F355" s="21">
        <v>0.8125</v>
      </c>
      <c r="G355" s="7" t="s">
        <v>24</v>
      </c>
      <c r="H355" s="7" t="s">
        <v>0</v>
      </c>
      <c r="I355" s="6" t="s">
        <v>55</v>
      </c>
      <c r="J355" s="7" t="s">
        <v>0</v>
      </c>
      <c r="K355" s="8" t="s">
        <v>0</v>
      </c>
    </row>
    <row r="356" spans="1:12" ht="16.5" customHeight="1" x14ac:dyDescent="0.25">
      <c r="A356" s="26">
        <f t="shared" si="19"/>
        <v>43768</v>
      </c>
      <c r="B356" s="27">
        <v>43768</v>
      </c>
      <c r="C356" s="6" t="s">
        <v>56</v>
      </c>
      <c r="D356" s="6" t="s">
        <v>57</v>
      </c>
      <c r="E356" s="21">
        <v>0.58333333333333304</v>
      </c>
      <c r="F356" s="21">
        <v>0.6875</v>
      </c>
      <c r="G356" s="7" t="s">
        <v>24</v>
      </c>
      <c r="H356" s="7" t="s">
        <v>0</v>
      </c>
      <c r="I356" s="6" t="s">
        <v>55</v>
      </c>
      <c r="J356" s="7" t="s">
        <v>0</v>
      </c>
      <c r="K356" s="8" t="s">
        <v>0</v>
      </c>
    </row>
    <row r="357" spans="1:12" ht="16.5" customHeight="1" x14ac:dyDescent="0.25">
      <c r="A357" s="26">
        <f t="shared" si="19"/>
        <v>43768</v>
      </c>
      <c r="B357" s="27">
        <v>43768</v>
      </c>
      <c r="C357" s="6" t="s">
        <v>122</v>
      </c>
      <c r="D357" s="6" t="s">
        <v>121</v>
      </c>
      <c r="E357" s="30">
        <v>0.5625</v>
      </c>
      <c r="F357" s="30">
        <v>0.64583333333333304</v>
      </c>
      <c r="G357" s="7" t="s">
        <v>30</v>
      </c>
      <c r="H357" s="7" t="s">
        <v>0</v>
      </c>
      <c r="I357" s="6" t="s">
        <v>123</v>
      </c>
      <c r="J357" s="7" t="s">
        <v>0</v>
      </c>
      <c r="K357" s="8" t="s">
        <v>0</v>
      </c>
      <c r="L357" s="3" t="s">
        <v>69</v>
      </c>
    </row>
    <row r="358" spans="1:12" ht="16.5" customHeight="1" x14ac:dyDescent="0.25">
      <c r="A358" s="26">
        <f t="shared" si="19"/>
        <v>43775</v>
      </c>
      <c r="B358" s="27">
        <v>43775</v>
      </c>
      <c r="C358" s="6" t="s">
        <v>51</v>
      </c>
      <c r="D358" s="6" t="s">
        <v>52</v>
      </c>
      <c r="E358" s="21">
        <v>0.375</v>
      </c>
      <c r="F358" s="21">
        <v>0.625</v>
      </c>
      <c r="G358" s="7" t="s">
        <v>25</v>
      </c>
      <c r="H358" s="7" t="s">
        <v>0</v>
      </c>
      <c r="I358" s="6" t="s">
        <v>50</v>
      </c>
      <c r="J358" s="7" t="s">
        <v>0</v>
      </c>
      <c r="K358" s="8" t="s">
        <v>0</v>
      </c>
      <c r="L358" s="3" t="s">
        <v>6</v>
      </c>
    </row>
    <row r="359" spans="1:12" ht="16.5" customHeight="1" x14ac:dyDescent="0.25">
      <c r="A359" s="26">
        <f t="shared" si="19"/>
        <v>43775</v>
      </c>
      <c r="B359" s="27">
        <v>43775</v>
      </c>
      <c r="C359" s="6" t="s">
        <v>53</v>
      </c>
      <c r="D359" s="6" t="s">
        <v>54</v>
      </c>
      <c r="E359" s="21">
        <v>0.77083333333333304</v>
      </c>
      <c r="F359" s="21">
        <v>0.8125</v>
      </c>
      <c r="G359" s="7" t="s">
        <v>24</v>
      </c>
      <c r="H359" s="7" t="s">
        <v>0</v>
      </c>
      <c r="I359" s="6" t="s">
        <v>55</v>
      </c>
      <c r="J359" s="7" t="s">
        <v>0</v>
      </c>
      <c r="K359" s="8" t="s">
        <v>0</v>
      </c>
      <c r="L359" s="3" t="s">
        <v>6</v>
      </c>
    </row>
    <row r="360" spans="1:12" ht="16.5" customHeight="1" x14ac:dyDescent="0.25">
      <c r="A360" s="26">
        <f t="shared" si="19"/>
        <v>43775</v>
      </c>
      <c r="B360" s="27">
        <v>43775</v>
      </c>
      <c r="C360" s="6" t="s">
        <v>56</v>
      </c>
      <c r="D360" s="6" t="s">
        <v>57</v>
      </c>
      <c r="E360" s="21">
        <v>0.58333333333333304</v>
      </c>
      <c r="F360" s="21">
        <v>0.6875</v>
      </c>
      <c r="G360" s="7" t="s">
        <v>24</v>
      </c>
      <c r="H360" s="7" t="s">
        <v>0</v>
      </c>
      <c r="I360" s="6" t="s">
        <v>55</v>
      </c>
      <c r="J360" s="7" t="s">
        <v>0</v>
      </c>
      <c r="K360" s="8" t="s">
        <v>0</v>
      </c>
    </row>
    <row r="361" spans="1:12" ht="16.5" customHeight="1" x14ac:dyDescent="0.25">
      <c r="A361" s="26">
        <f t="shared" si="19"/>
        <v>43775</v>
      </c>
      <c r="B361" s="27">
        <v>43775</v>
      </c>
      <c r="C361" s="6" t="s">
        <v>94</v>
      </c>
      <c r="D361" s="6" t="s">
        <v>95</v>
      </c>
      <c r="E361" s="21">
        <v>0.79166666666666663</v>
      </c>
      <c r="F361" s="21">
        <v>0.875</v>
      </c>
      <c r="G361" s="7" t="s">
        <v>27</v>
      </c>
      <c r="H361" s="7">
        <v>1</v>
      </c>
      <c r="I361" s="6" t="s">
        <v>49</v>
      </c>
      <c r="J361" s="7" t="s">
        <v>0</v>
      </c>
      <c r="K361" s="8" t="s">
        <v>0</v>
      </c>
    </row>
    <row r="362" spans="1:12" ht="16.5" customHeight="1" x14ac:dyDescent="0.25">
      <c r="A362" s="26">
        <f t="shared" si="19"/>
        <v>43775</v>
      </c>
      <c r="B362" s="27">
        <v>43775</v>
      </c>
      <c r="C362" s="6" t="s">
        <v>122</v>
      </c>
      <c r="D362" s="6" t="s">
        <v>121</v>
      </c>
      <c r="E362" s="30">
        <v>0.5625</v>
      </c>
      <c r="F362" s="30">
        <v>0.64583333333333304</v>
      </c>
      <c r="G362" s="7" t="s">
        <v>30</v>
      </c>
      <c r="H362" s="7" t="s">
        <v>0</v>
      </c>
      <c r="I362" s="6" t="s">
        <v>123</v>
      </c>
      <c r="J362" s="7" t="s">
        <v>0</v>
      </c>
      <c r="K362" s="8" t="s">
        <v>0</v>
      </c>
    </row>
    <row r="363" spans="1:12" ht="16.5" customHeight="1" x14ac:dyDescent="0.25">
      <c r="A363" s="26">
        <f t="shared" si="19"/>
        <v>43777</v>
      </c>
      <c r="B363" s="27">
        <v>43777</v>
      </c>
      <c r="C363" s="6" t="s">
        <v>10</v>
      </c>
      <c r="D363" s="29" t="s">
        <v>7</v>
      </c>
      <c r="E363" s="30">
        <v>0.8125</v>
      </c>
      <c r="F363" s="30">
        <v>0.95833333333333337</v>
      </c>
      <c r="G363" s="7" t="s">
        <v>24</v>
      </c>
      <c r="H363" s="7" t="s">
        <v>0</v>
      </c>
      <c r="I363" s="6" t="s">
        <v>8</v>
      </c>
      <c r="J363" s="7" t="s">
        <v>6</v>
      </c>
      <c r="K363" s="8" t="s">
        <v>39</v>
      </c>
    </row>
    <row r="364" spans="1:12" ht="16.5" customHeight="1" x14ac:dyDescent="0.25">
      <c r="A364" s="13">
        <f t="shared" si="19"/>
        <v>43778</v>
      </c>
      <c r="B364" s="14">
        <v>43778</v>
      </c>
      <c r="C364" s="15" t="s">
        <v>37</v>
      </c>
      <c r="D364" s="15" t="s">
        <v>7</v>
      </c>
      <c r="E364" s="22">
        <v>0.33333333333333331</v>
      </c>
      <c r="F364" s="22">
        <v>0.58333333333333337</v>
      </c>
      <c r="G364" s="16" t="s">
        <v>26</v>
      </c>
      <c r="H364" s="16" t="s">
        <v>0</v>
      </c>
      <c r="I364" s="15" t="s">
        <v>35</v>
      </c>
      <c r="J364" s="16" t="s">
        <v>6</v>
      </c>
      <c r="K364" s="16" t="s">
        <v>0</v>
      </c>
      <c r="L364" s="3" t="s">
        <v>69</v>
      </c>
    </row>
    <row r="365" spans="1:12" ht="16.5" customHeight="1" x14ac:dyDescent="0.25">
      <c r="A365" s="13">
        <f t="shared" si="19"/>
        <v>43778</v>
      </c>
      <c r="B365" s="14">
        <v>43778</v>
      </c>
      <c r="C365" s="15" t="s">
        <v>34</v>
      </c>
      <c r="D365" s="15" t="s">
        <v>7</v>
      </c>
      <c r="E365" s="22">
        <v>0.33333333333333331</v>
      </c>
      <c r="F365" s="22">
        <v>0.58333333333333337</v>
      </c>
      <c r="G365" s="16" t="s">
        <v>26</v>
      </c>
      <c r="H365" s="16" t="s">
        <v>0</v>
      </c>
      <c r="I365" s="15" t="s">
        <v>35</v>
      </c>
      <c r="J365" s="16" t="s">
        <v>6</v>
      </c>
      <c r="K365" s="16" t="s">
        <v>36</v>
      </c>
      <c r="L365" s="3" t="s">
        <v>6</v>
      </c>
    </row>
    <row r="366" spans="1:12" ht="16.5" customHeight="1" x14ac:dyDescent="0.25">
      <c r="A366" s="13">
        <v>43778</v>
      </c>
      <c r="B366" s="14">
        <v>43778</v>
      </c>
      <c r="C366" s="15" t="s">
        <v>18</v>
      </c>
      <c r="D366" s="15" t="s">
        <v>7</v>
      </c>
      <c r="E366" s="22">
        <v>0.33333333333333331</v>
      </c>
      <c r="F366" s="22">
        <v>0.70833333333333337</v>
      </c>
      <c r="G366" s="16" t="s">
        <v>25</v>
      </c>
      <c r="H366" s="16" t="s">
        <v>0</v>
      </c>
      <c r="I366" s="15" t="s">
        <v>13</v>
      </c>
      <c r="J366" s="16" t="s">
        <v>6</v>
      </c>
      <c r="K366" s="16" t="s">
        <v>38</v>
      </c>
      <c r="L366" s="3" t="s">
        <v>6</v>
      </c>
    </row>
    <row r="367" spans="1:12" ht="16.5" customHeight="1" x14ac:dyDescent="0.25">
      <c r="A367" s="13">
        <f t="shared" ref="A367:A390" si="20">B367</f>
        <v>43778</v>
      </c>
      <c r="B367" s="14">
        <v>43778</v>
      </c>
      <c r="C367" s="15" t="s">
        <v>10</v>
      </c>
      <c r="D367" s="15" t="s">
        <v>7</v>
      </c>
      <c r="E367" s="23">
        <v>0.33333333333333331</v>
      </c>
      <c r="F367" s="23">
        <v>0.58333333333333337</v>
      </c>
      <c r="G367" s="16" t="s">
        <v>24</v>
      </c>
      <c r="H367" s="16" t="s">
        <v>0</v>
      </c>
      <c r="I367" s="15" t="s">
        <v>8</v>
      </c>
      <c r="J367" s="16" t="s">
        <v>6</v>
      </c>
      <c r="K367" s="16" t="s">
        <v>40</v>
      </c>
    </row>
    <row r="368" spans="1:12" ht="16.5" customHeight="1" x14ac:dyDescent="0.25">
      <c r="A368" s="13">
        <f t="shared" si="20"/>
        <v>43778</v>
      </c>
      <c r="B368" s="14">
        <v>43778</v>
      </c>
      <c r="C368" s="15" t="s">
        <v>94</v>
      </c>
      <c r="D368" s="15" t="s">
        <v>95</v>
      </c>
      <c r="E368" s="22">
        <v>0.33333333333333331</v>
      </c>
      <c r="F368" s="22">
        <v>0.5</v>
      </c>
      <c r="G368" s="16" t="s">
        <v>27</v>
      </c>
      <c r="H368" s="16">
        <v>1</v>
      </c>
      <c r="I368" s="15" t="s">
        <v>49</v>
      </c>
      <c r="J368" s="16" t="s">
        <v>0</v>
      </c>
      <c r="K368" s="16" t="s">
        <v>0</v>
      </c>
    </row>
    <row r="369" spans="1:12" ht="16.5" customHeight="1" x14ac:dyDescent="0.25">
      <c r="A369" s="13">
        <f t="shared" si="20"/>
        <v>43778</v>
      </c>
      <c r="B369" s="14">
        <v>43778</v>
      </c>
      <c r="C369" s="15" t="s">
        <v>138</v>
      </c>
      <c r="D369" s="15" t="s">
        <v>177</v>
      </c>
      <c r="E369" s="22">
        <v>0.33333333333333331</v>
      </c>
      <c r="F369" s="22">
        <v>0.5</v>
      </c>
      <c r="G369" s="16" t="s">
        <v>27</v>
      </c>
      <c r="H369" s="16">
        <v>2</v>
      </c>
      <c r="I369" s="15" t="s">
        <v>49</v>
      </c>
      <c r="J369" s="16" t="s">
        <v>0</v>
      </c>
      <c r="K369" s="16" t="s">
        <v>0</v>
      </c>
    </row>
    <row r="370" spans="1:12" ht="16.5" customHeight="1" x14ac:dyDescent="0.25">
      <c r="A370" s="26">
        <f t="shared" si="20"/>
        <v>43782</v>
      </c>
      <c r="B370" s="27">
        <v>43782</v>
      </c>
      <c r="C370" s="6" t="s">
        <v>51</v>
      </c>
      <c r="D370" s="6" t="s">
        <v>52</v>
      </c>
      <c r="E370" s="21">
        <v>0.375</v>
      </c>
      <c r="F370" s="21">
        <v>0.625</v>
      </c>
      <c r="G370" s="7" t="s">
        <v>25</v>
      </c>
      <c r="H370" s="7" t="s">
        <v>0</v>
      </c>
      <c r="I370" s="6" t="s">
        <v>50</v>
      </c>
      <c r="J370" s="7" t="s">
        <v>0</v>
      </c>
      <c r="K370" s="8" t="s">
        <v>0</v>
      </c>
    </row>
    <row r="371" spans="1:12" ht="16.5" customHeight="1" x14ac:dyDescent="0.25">
      <c r="A371" s="26">
        <f t="shared" si="20"/>
        <v>43782</v>
      </c>
      <c r="B371" s="27">
        <v>43782</v>
      </c>
      <c r="C371" s="6" t="s">
        <v>53</v>
      </c>
      <c r="D371" s="6" t="s">
        <v>54</v>
      </c>
      <c r="E371" s="21">
        <v>0.77083333333333304</v>
      </c>
      <c r="F371" s="21">
        <v>0.8125</v>
      </c>
      <c r="G371" s="7" t="s">
        <v>24</v>
      </c>
      <c r="H371" s="7" t="s">
        <v>0</v>
      </c>
      <c r="I371" s="6" t="s">
        <v>55</v>
      </c>
      <c r="J371" s="7" t="s">
        <v>0</v>
      </c>
      <c r="K371" s="8" t="s">
        <v>0</v>
      </c>
      <c r="L371" s="3" t="s">
        <v>69</v>
      </c>
    </row>
    <row r="372" spans="1:12" ht="16.5" customHeight="1" x14ac:dyDescent="0.25">
      <c r="A372" s="26">
        <f t="shared" si="20"/>
        <v>43782</v>
      </c>
      <c r="B372" s="27">
        <v>43782</v>
      </c>
      <c r="C372" s="6" t="s">
        <v>56</v>
      </c>
      <c r="D372" s="6" t="s">
        <v>57</v>
      </c>
      <c r="E372" s="21">
        <v>0.58333333333333304</v>
      </c>
      <c r="F372" s="21">
        <v>0.6875</v>
      </c>
      <c r="G372" s="7" t="s">
        <v>24</v>
      </c>
      <c r="H372" s="7" t="s">
        <v>0</v>
      </c>
      <c r="I372" s="6" t="s">
        <v>55</v>
      </c>
      <c r="J372" s="7" t="s">
        <v>0</v>
      </c>
      <c r="K372" s="8" t="s">
        <v>0</v>
      </c>
      <c r="L372" s="3" t="s">
        <v>6</v>
      </c>
    </row>
    <row r="373" spans="1:12" ht="16.5" customHeight="1" x14ac:dyDescent="0.25">
      <c r="A373" s="26">
        <f t="shared" si="20"/>
        <v>43782</v>
      </c>
      <c r="B373" s="27">
        <v>43782</v>
      </c>
      <c r="C373" s="6" t="s">
        <v>94</v>
      </c>
      <c r="D373" s="6" t="s">
        <v>95</v>
      </c>
      <c r="E373" s="21">
        <v>0.79166666666666663</v>
      </c>
      <c r="F373" s="21">
        <v>0.875</v>
      </c>
      <c r="G373" s="7" t="s">
        <v>27</v>
      </c>
      <c r="H373" s="7">
        <v>1</v>
      </c>
      <c r="I373" s="6" t="s">
        <v>49</v>
      </c>
      <c r="J373" s="7" t="s">
        <v>0</v>
      </c>
      <c r="K373" s="8" t="s">
        <v>0</v>
      </c>
      <c r="L373" s="3" t="s">
        <v>6</v>
      </c>
    </row>
    <row r="374" spans="1:12" ht="16.5" customHeight="1" x14ac:dyDescent="0.25">
      <c r="A374" s="26">
        <f t="shared" si="20"/>
        <v>43782</v>
      </c>
      <c r="B374" s="27">
        <v>43782</v>
      </c>
      <c r="C374" s="6" t="s">
        <v>122</v>
      </c>
      <c r="D374" s="6" t="s">
        <v>121</v>
      </c>
      <c r="E374" s="30">
        <v>0.5625</v>
      </c>
      <c r="F374" s="30">
        <v>0.64583333333333304</v>
      </c>
      <c r="G374" s="7" t="s">
        <v>30</v>
      </c>
      <c r="H374" s="7" t="s">
        <v>0</v>
      </c>
      <c r="I374" s="6" t="s">
        <v>123</v>
      </c>
      <c r="J374" s="7" t="s">
        <v>0</v>
      </c>
      <c r="K374" s="8" t="s">
        <v>0</v>
      </c>
    </row>
    <row r="375" spans="1:12" ht="16.5" customHeight="1" x14ac:dyDescent="0.25">
      <c r="A375" s="26">
        <f t="shared" si="20"/>
        <v>43789</v>
      </c>
      <c r="B375" s="27">
        <v>43789</v>
      </c>
      <c r="C375" s="6" t="s">
        <v>51</v>
      </c>
      <c r="D375" s="6" t="s">
        <v>52</v>
      </c>
      <c r="E375" s="21">
        <v>0.375</v>
      </c>
      <c r="F375" s="21">
        <v>0.625</v>
      </c>
      <c r="G375" s="7" t="s">
        <v>25</v>
      </c>
      <c r="H375" s="7" t="s">
        <v>0</v>
      </c>
      <c r="I375" s="6" t="s">
        <v>50</v>
      </c>
      <c r="J375" s="7" t="s">
        <v>0</v>
      </c>
      <c r="K375" s="8" t="s">
        <v>0</v>
      </c>
    </row>
    <row r="376" spans="1:12" ht="16.5" customHeight="1" x14ac:dyDescent="0.25">
      <c r="A376" s="26">
        <f t="shared" si="20"/>
        <v>43789</v>
      </c>
      <c r="B376" s="27">
        <v>43789</v>
      </c>
      <c r="C376" s="6" t="s">
        <v>53</v>
      </c>
      <c r="D376" s="6" t="s">
        <v>54</v>
      </c>
      <c r="E376" s="21">
        <v>0.77083333333333304</v>
      </c>
      <c r="F376" s="21">
        <v>0.8125</v>
      </c>
      <c r="G376" s="7" t="s">
        <v>24</v>
      </c>
      <c r="H376" s="7" t="s">
        <v>0</v>
      </c>
      <c r="I376" s="6" t="s">
        <v>55</v>
      </c>
      <c r="J376" s="7" t="s">
        <v>0</v>
      </c>
      <c r="K376" s="8" t="s">
        <v>0</v>
      </c>
      <c r="L376" s="3" t="s">
        <v>69</v>
      </c>
    </row>
    <row r="377" spans="1:12" ht="16.5" customHeight="1" x14ac:dyDescent="0.25">
      <c r="A377" s="26">
        <f t="shared" si="20"/>
        <v>43789</v>
      </c>
      <c r="B377" s="27">
        <v>43789</v>
      </c>
      <c r="C377" s="6" t="s">
        <v>56</v>
      </c>
      <c r="D377" s="6" t="s">
        <v>57</v>
      </c>
      <c r="E377" s="21">
        <v>0.58333333333333304</v>
      </c>
      <c r="F377" s="21">
        <v>0.6875</v>
      </c>
      <c r="G377" s="7" t="s">
        <v>24</v>
      </c>
      <c r="H377" s="7" t="s">
        <v>0</v>
      </c>
      <c r="I377" s="6" t="s">
        <v>55</v>
      </c>
      <c r="J377" s="7" t="s">
        <v>0</v>
      </c>
      <c r="K377" s="8" t="s">
        <v>0</v>
      </c>
      <c r="L377" s="3" t="s">
        <v>6</v>
      </c>
    </row>
    <row r="378" spans="1:12" ht="16.5" customHeight="1" x14ac:dyDescent="0.25">
      <c r="A378" s="26">
        <f t="shared" si="20"/>
        <v>43789</v>
      </c>
      <c r="B378" s="27">
        <v>43789</v>
      </c>
      <c r="C378" s="6" t="s">
        <v>122</v>
      </c>
      <c r="D378" s="6" t="s">
        <v>121</v>
      </c>
      <c r="E378" s="30">
        <v>0.5625</v>
      </c>
      <c r="F378" s="30">
        <v>0.64583333333333304</v>
      </c>
      <c r="G378" s="7" t="s">
        <v>30</v>
      </c>
      <c r="H378" s="7" t="s">
        <v>0</v>
      </c>
      <c r="I378" s="6" t="s">
        <v>123</v>
      </c>
      <c r="J378" s="7" t="s">
        <v>0</v>
      </c>
      <c r="K378" s="8" t="s">
        <v>0</v>
      </c>
      <c r="L378" s="3" t="s">
        <v>6</v>
      </c>
    </row>
    <row r="379" spans="1:12" ht="16.5" customHeight="1" x14ac:dyDescent="0.25">
      <c r="A379" s="26">
        <f t="shared" si="20"/>
        <v>43791</v>
      </c>
      <c r="B379" s="27">
        <v>43791</v>
      </c>
      <c r="C379" s="6" t="s">
        <v>10</v>
      </c>
      <c r="D379" s="29" t="s">
        <v>7</v>
      </c>
      <c r="E379" s="30">
        <v>0.8125</v>
      </c>
      <c r="F379" s="30">
        <v>0.95833333333333337</v>
      </c>
      <c r="G379" s="7" t="s">
        <v>24</v>
      </c>
      <c r="H379" s="7" t="s">
        <v>0</v>
      </c>
      <c r="I379" s="6" t="s">
        <v>8</v>
      </c>
      <c r="J379" s="7" t="s">
        <v>6</v>
      </c>
      <c r="K379" s="8" t="s">
        <v>39</v>
      </c>
    </row>
    <row r="380" spans="1:12" ht="16.5" customHeight="1" x14ac:dyDescent="0.25">
      <c r="A380" s="13">
        <f t="shared" si="20"/>
        <v>43792</v>
      </c>
      <c r="B380" s="14">
        <v>43792</v>
      </c>
      <c r="C380" s="15" t="s">
        <v>37</v>
      </c>
      <c r="D380" s="15" t="s">
        <v>7</v>
      </c>
      <c r="E380" s="22">
        <v>0.33333333333333331</v>
      </c>
      <c r="F380" s="22">
        <v>0.58333333333333337</v>
      </c>
      <c r="G380" s="16" t="s">
        <v>26</v>
      </c>
      <c r="H380" s="16" t="s">
        <v>0</v>
      </c>
      <c r="I380" s="15" t="s">
        <v>35</v>
      </c>
      <c r="J380" s="16" t="s">
        <v>6</v>
      </c>
      <c r="K380" s="16" t="s">
        <v>0</v>
      </c>
    </row>
    <row r="381" spans="1:12" ht="16.5" customHeight="1" x14ac:dyDescent="0.25">
      <c r="A381" s="13">
        <f t="shared" si="20"/>
        <v>43792</v>
      </c>
      <c r="B381" s="14">
        <v>43792</v>
      </c>
      <c r="C381" s="15" t="s">
        <v>34</v>
      </c>
      <c r="D381" s="15" t="s">
        <v>7</v>
      </c>
      <c r="E381" s="22">
        <v>0.33333333333333331</v>
      </c>
      <c r="F381" s="22">
        <v>0.58333333333333337</v>
      </c>
      <c r="G381" s="16" t="s">
        <v>26</v>
      </c>
      <c r="H381" s="16" t="s">
        <v>0</v>
      </c>
      <c r="I381" s="15" t="s">
        <v>35</v>
      </c>
      <c r="J381" s="16" t="s">
        <v>6</v>
      </c>
      <c r="K381" s="16" t="s">
        <v>36</v>
      </c>
    </row>
    <row r="382" spans="1:12" ht="16.5" customHeight="1" x14ac:dyDescent="0.25">
      <c r="A382" s="13">
        <f t="shared" si="20"/>
        <v>43792</v>
      </c>
      <c r="B382" s="14">
        <v>43792</v>
      </c>
      <c r="C382" s="15" t="s">
        <v>10</v>
      </c>
      <c r="D382" s="15" t="s">
        <v>7</v>
      </c>
      <c r="E382" s="23">
        <v>0.33333333333333331</v>
      </c>
      <c r="F382" s="23">
        <v>0.58333333333333337</v>
      </c>
      <c r="G382" s="16" t="s">
        <v>24</v>
      </c>
      <c r="H382" s="16" t="s">
        <v>0</v>
      </c>
      <c r="I382" s="15" t="s">
        <v>8</v>
      </c>
      <c r="J382" s="16" t="s">
        <v>6</v>
      </c>
      <c r="K382" s="16" t="s">
        <v>40</v>
      </c>
    </row>
    <row r="383" spans="1:12" ht="16.5" customHeight="1" x14ac:dyDescent="0.25">
      <c r="A383" s="13">
        <f t="shared" si="20"/>
        <v>43792</v>
      </c>
      <c r="B383" s="14">
        <v>43792</v>
      </c>
      <c r="C383" s="15" t="s">
        <v>94</v>
      </c>
      <c r="D383" s="15" t="s">
        <v>95</v>
      </c>
      <c r="E383" s="22">
        <v>0.33333333333333331</v>
      </c>
      <c r="F383" s="22">
        <v>0.5</v>
      </c>
      <c r="G383" s="16" t="s">
        <v>27</v>
      </c>
      <c r="H383" s="16">
        <v>1</v>
      </c>
      <c r="I383" s="15" t="s">
        <v>49</v>
      </c>
      <c r="J383" s="16" t="s">
        <v>0</v>
      </c>
      <c r="K383" s="16" t="s">
        <v>0</v>
      </c>
      <c r="L383" s="3" t="s">
        <v>69</v>
      </c>
    </row>
    <row r="384" spans="1:12" ht="16.5" customHeight="1" x14ac:dyDescent="0.25">
      <c r="A384" s="13">
        <f t="shared" si="20"/>
        <v>43792</v>
      </c>
      <c r="B384" s="14">
        <v>43792</v>
      </c>
      <c r="C384" s="15" t="s">
        <v>138</v>
      </c>
      <c r="D384" s="15" t="s">
        <v>177</v>
      </c>
      <c r="E384" s="22">
        <v>0.33333333333333331</v>
      </c>
      <c r="F384" s="22">
        <v>0.5</v>
      </c>
      <c r="G384" s="16" t="s">
        <v>27</v>
      </c>
      <c r="H384" s="16">
        <v>2</v>
      </c>
      <c r="I384" s="15" t="s">
        <v>49</v>
      </c>
      <c r="J384" s="16" t="s">
        <v>0</v>
      </c>
      <c r="K384" s="16" t="s">
        <v>0</v>
      </c>
      <c r="L384" s="3" t="s">
        <v>6</v>
      </c>
    </row>
    <row r="385" spans="1:12" ht="16.5" customHeight="1" x14ac:dyDescent="0.25">
      <c r="A385" s="26">
        <f t="shared" si="20"/>
        <v>43796</v>
      </c>
      <c r="B385" s="27">
        <v>43796</v>
      </c>
      <c r="C385" s="6" t="s">
        <v>51</v>
      </c>
      <c r="D385" s="6" t="s">
        <v>52</v>
      </c>
      <c r="E385" s="21">
        <v>0.375</v>
      </c>
      <c r="F385" s="21">
        <v>0.625</v>
      </c>
      <c r="G385" s="7" t="s">
        <v>25</v>
      </c>
      <c r="H385" s="7" t="s">
        <v>0</v>
      </c>
      <c r="I385" s="6" t="s">
        <v>50</v>
      </c>
      <c r="J385" s="7" t="s">
        <v>0</v>
      </c>
      <c r="K385" s="8" t="s">
        <v>0</v>
      </c>
    </row>
    <row r="386" spans="1:12" ht="16.5" customHeight="1" x14ac:dyDescent="0.25">
      <c r="A386" s="26">
        <f t="shared" si="20"/>
        <v>43796</v>
      </c>
      <c r="B386" s="27">
        <v>43796</v>
      </c>
      <c r="C386" s="6" t="s">
        <v>53</v>
      </c>
      <c r="D386" s="6" t="s">
        <v>54</v>
      </c>
      <c r="E386" s="21">
        <v>0.77083333333333304</v>
      </c>
      <c r="F386" s="21">
        <v>0.8125</v>
      </c>
      <c r="G386" s="7" t="s">
        <v>24</v>
      </c>
      <c r="H386" s="7" t="s">
        <v>0</v>
      </c>
      <c r="I386" s="6" t="s">
        <v>55</v>
      </c>
      <c r="J386" s="7" t="s">
        <v>0</v>
      </c>
      <c r="K386" s="8" t="s">
        <v>0</v>
      </c>
    </row>
    <row r="387" spans="1:12" ht="16.5" customHeight="1" x14ac:dyDescent="0.25">
      <c r="A387" s="26">
        <f t="shared" si="20"/>
        <v>43796</v>
      </c>
      <c r="B387" s="27">
        <v>43796</v>
      </c>
      <c r="C387" s="6" t="s">
        <v>56</v>
      </c>
      <c r="D387" s="6" t="s">
        <v>57</v>
      </c>
      <c r="E387" s="21">
        <v>0.58333333333333304</v>
      </c>
      <c r="F387" s="21">
        <v>0.6875</v>
      </c>
      <c r="G387" s="7" t="s">
        <v>24</v>
      </c>
      <c r="H387" s="7" t="s">
        <v>0</v>
      </c>
      <c r="I387" s="6" t="s">
        <v>55</v>
      </c>
      <c r="J387" s="7" t="s">
        <v>0</v>
      </c>
      <c r="K387" s="8" t="s">
        <v>0</v>
      </c>
    </row>
    <row r="388" spans="1:12" ht="16.5" customHeight="1" x14ac:dyDescent="0.25">
      <c r="A388" s="26">
        <f t="shared" si="20"/>
        <v>43796</v>
      </c>
      <c r="B388" s="27">
        <v>43796</v>
      </c>
      <c r="C388" s="6" t="s">
        <v>94</v>
      </c>
      <c r="D388" s="6" t="s">
        <v>95</v>
      </c>
      <c r="E388" s="21">
        <v>0.79166666666666663</v>
      </c>
      <c r="F388" s="21">
        <v>0.875</v>
      </c>
      <c r="G388" s="7" t="s">
        <v>27</v>
      </c>
      <c r="H388" s="7">
        <v>1</v>
      </c>
      <c r="I388" s="6" t="s">
        <v>49</v>
      </c>
      <c r="J388" s="7" t="s">
        <v>0</v>
      </c>
      <c r="K388" s="8" t="s">
        <v>0</v>
      </c>
      <c r="L388" s="3" t="s">
        <v>69</v>
      </c>
    </row>
    <row r="389" spans="1:12" ht="16.5" customHeight="1" x14ac:dyDescent="0.25">
      <c r="A389" s="26">
        <f t="shared" si="20"/>
        <v>43796</v>
      </c>
      <c r="B389" s="27">
        <v>43796</v>
      </c>
      <c r="C389" s="6" t="s">
        <v>122</v>
      </c>
      <c r="D389" s="6" t="s">
        <v>121</v>
      </c>
      <c r="E389" s="30">
        <v>0.5625</v>
      </c>
      <c r="F389" s="30">
        <v>0.64583333333333304</v>
      </c>
      <c r="G389" s="7" t="s">
        <v>30</v>
      </c>
      <c r="H389" s="7" t="s">
        <v>0</v>
      </c>
      <c r="I389" s="6" t="s">
        <v>123</v>
      </c>
      <c r="J389" s="7" t="s">
        <v>0</v>
      </c>
      <c r="K389" s="8" t="s">
        <v>0</v>
      </c>
      <c r="L389" s="3" t="s">
        <v>6</v>
      </c>
    </row>
    <row r="390" spans="1:12" ht="16.5" customHeight="1" x14ac:dyDescent="0.25">
      <c r="A390" s="26">
        <f t="shared" si="20"/>
        <v>43798</v>
      </c>
      <c r="B390" s="27">
        <v>43798</v>
      </c>
      <c r="C390" s="6" t="s">
        <v>10</v>
      </c>
      <c r="D390" s="6" t="s">
        <v>7</v>
      </c>
      <c r="E390" s="30">
        <v>0.8125</v>
      </c>
      <c r="F390" s="30">
        <v>0.95833333333333337</v>
      </c>
      <c r="G390" s="7" t="s">
        <v>24</v>
      </c>
      <c r="H390" s="7" t="s">
        <v>0</v>
      </c>
      <c r="I390" s="6" t="s">
        <v>8</v>
      </c>
      <c r="J390" s="7" t="s">
        <v>6</v>
      </c>
      <c r="K390" s="8" t="s">
        <v>39</v>
      </c>
    </row>
    <row r="391" spans="1:12" ht="16.5" customHeight="1" x14ac:dyDescent="0.25">
      <c r="A391" s="13">
        <v>43799</v>
      </c>
      <c r="B391" s="14">
        <v>43799</v>
      </c>
      <c r="C391" s="15" t="s">
        <v>18</v>
      </c>
      <c r="D391" s="15" t="s">
        <v>7</v>
      </c>
      <c r="E391" s="22">
        <v>0.33333333333333331</v>
      </c>
      <c r="F391" s="22">
        <v>0.70833333333333337</v>
      </c>
      <c r="G391" s="16" t="s">
        <v>25</v>
      </c>
      <c r="H391" s="16" t="s">
        <v>0</v>
      </c>
      <c r="I391" s="15" t="s">
        <v>13</v>
      </c>
      <c r="J391" s="16" t="s">
        <v>6</v>
      </c>
      <c r="K391" s="16" t="s">
        <v>38</v>
      </c>
    </row>
    <row r="392" spans="1:12" ht="16.5" customHeight="1" x14ac:dyDescent="0.25">
      <c r="A392" s="13">
        <f t="shared" ref="A392:A399" si="21">B392</f>
        <v>43799</v>
      </c>
      <c r="B392" s="14">
        <v>43799</v>
      </c>
      <c r="C392" s="15" t="s">
        <v>10</v>
      </c>
      <c r="D392" s="15" t="s">
        <v>7</v>
      </c>
      <c r="E392" s="23">
        <v>0.33333333333333331</v>
      </c>
      <c r="F392" s="23">
        <v>0.58333333333333337</v>
      </c>
      <c r="G392" s="16" t="s">
        <v>24</v>
      </c>
      <c r="H392" s="16" t="s">
        <v>0</v>
      </c>
      <c r="I392" s="15" t="s">
        <v>8</v>
      </c>
      <c r="J392" s="16" t="s">
        <v>6</v>
      </c>
      <c r="K392" s="16" t="s">
        <v>40</v>
      </c>
    </row>
    <row r="393" spans="1:12" ht="16.5" customHeight="1" x14ac:dyDescent="0.25">
      <c r="A393" s="13">
        <f t="shared" si="21"/>
        <v>43799</v>
      </c>
      <c r="B393" s="14">
        <v>43799</v>
      </c>
      <c r="C393" s="15" t="s">
        <v>94</v>
      </c>
      <c r="D393" s="15" t="s">
        <v>95</v>
      </c>
      <c r="E393" s="22">
        <v>0.33333333333333331</v>
      </c>
      <c r="F393" s="22">
        <v>0.5</v>
      </c>
      <c r="G393" s="16" t="s">
        <v>27</v>
      </c>
      <c r="H393" s="16">
        <v>1</v>
      </c>
      <c r="I393" s="15" t="s">
        <v>49</v>
      </c>
      <c r="J393" s="16" t="s">
        <v>0</v>
      </c>
      <c r="K393" s="16" t="s">
        <v>0</v>
      </c>
    </row>
    <row r="394" spans="1:12" ht="16.5" customHeight="1" x14ac:dyDescent="0.25">
      <c r="A394" s="26">
        <f t="shared" si="21"/>
        <v>43803</v>
      </c>
      <c r="B394" s="27">
        <v>43803</v>
      </c>
      <c r="C394" s="6" t="s">
        <v>51</v>
      </c>
      <c r="D394" s="6" t="s">
        <v>52</v>
      </c>
      <c r="E394" s="21">
        <v>0.375</v>
      </c>
      <c r="F394" s="21">
        <v>0.625</v>
      </c>
      <c r="G394" s="7" t="s">
        <v>25</v>
      </c>
      <c r="H394" s="7" t="s">
        <v>0</v>
      </c>
      <c r="I394" s="6" t="s">
        <v>50</v>
      </c>
      <c r="J394" s="7" t="s">
        <v>0</v>
      </c>
      <c r="K394" s="8" t="s">
        <v>0</v>
      </c>
      <c r="L394" s="3" t="s">
        <v>69</v>
      </c>
    </row>
    <row r="395" spans="1:12" ht="16.5" customHeight="1" x14ac:dyDescent="0.25">
      <c r="A395" s="26">
        <f t="shared" si="21"/>
        <v>43803</v>
      </c>
      <c r="B395" s="27">
        <v>43803</v>
      </c>
      <c r="C395" s="6" t="s">
        <v>53</v>
      </c>
      <c r="D395" s="6" t="s">
        <v>54</v>
      </c>
      <c r="E395" s="21">
        <v>0.77083333333333304</v>
      </c>
      <c r="F395" s="21">
        <v>0.8125</v>
      </c>
      <c r="G395" s="7" t="s">
        <v>24</v>
      </c>
      <c r="H395" s="7" t="s">
        <v>0</v>
      </c>
      <c r="I395" s="6" t="s">
        <v>55</v>
      </c>
      <c r="J395" s="7" t="s">
        <v>0</v>
      </c>
      <c r="K395" s="8" t="s">
        <v>0</v>
      </c>
      <c r="L395" s="3" t="s">
        <v>6</v>
      </c>
    </row>
    <row r="396" spans="1:12" ht="16.5" customHeight="1" x14ac:dyDescent="0.25">
      <c r="A396" s="26">
        <f t="shared" si="21"/>
        <v>43803</v>
      </c>
      <c r="B396" s="27">
        <v>43803</v>
      </c>
      <c r="C396" s="6" t="s">
        <v>56</v>
      </c>
      <c r="D396" s="6" t="s">
        <v>57</v>
      </c>
      <c r="E396" s="21">
        <v>0.58333333333333304</v>
      </c>
      <c r="F396" s="21">
        <v>0.6875</v>
      </c>
      <c r="G396" s="7" t="s">
        <v>24</v>
      </c>
      <c r="H396" s="7" t="s">
        <v>0</v>
      </c>
      <c r="I396" s="6" t="s">
        <v>55</v>
      </c>
      <c r="J396" s="7" t="s">
        <v>0</v>
      </c>
      <c r="K396" s="8" t="s">
        <v>0</v>
      </c>
    </row>
    <row r="397" spans="1:12" ht="16.5" customHeight="1" x14ac:dyDescent="0.25">
      <c r="A397" s="26">
        <f t="shared" si="21"/>
        <v>43803</v>
      </c>
      <c r="B397" s="27">
        <v>43803</v>
      </c>
      <c r="C397" s="6" t="s">
        <v>94</v>
      </c>
      <c r="D397" s="6" t="s">
        <v>95</v>
      </c>
      <c r="E397" s="21">
        <v>0.79166666666666663</v>
      </c>
      <c r="F397" s="21">
        <v>0.875</v>
      </c>
      <c r="G397" s="7" t="s">
        <v>27</v>
      </c>
      <c r="H397" s="7">
        <v>1</v>
      </c>
      <c r="I397" s="6" t="s">
        <v>49</v>
      </c>
      <c r="J397" s="7" t="s">
        <v>0</v>
      </c>
      <c r="K397" s="8" t="s">
        <v>0</v>
      </c>
    </row>
    <row r="398" spans="1:12" ht="16.5" customHeight="1" x14ac:dyDescent="0.25">
      <c r="A398" s="26">
        <f t="shared" si="21"/>
        <v>43803</v>
      </c>
      <c r="B398" s="27">
        <v>43803</v>
      </c>
      <c r="C398" s="6" t="s">
        <v>122</v>
      </c>
      <c r="D398" s="6" t="s">
        <v>121</v>
      </c>
      <c r="E398" s="30">
        <v>0.5625</v>
      </c>
      <c r="F398" s="30">
        <v>0.64583333333333304</v>
      </c>
      <c r="G398" s="7" t="s">
        <v>30</v>
      </c>
      <c r="H398" s="7" t="s">
        <v>0</v>
      </c>
      <c r="I398" s="6" t="s">
        <v>123</v>
      </c>
      <c r="J398" s="7" t="s">
        <v>0</v>
      </c>
      <c r="K398" s="8" t="s">
        <v>0</v>
      </c>
    </row>
    <row r="399" spans="1:12" ht="16.5" customHeight="1" x14ac:dyDescent="0.25">
      <c r="A399" s="26">
        <f t="shared" si="21"/>
        <v>43805</v>
      </c>
      <c r="B399" s="27">
        <v>43805</v>
      </c>
      <c r="C399" s="6" t="s">
        <v>10</v>
      </c>
      <c r="D399" s="6" t="s">
        <v>7</v>
      </c>
      <c r="E399" s="30">
        <v>0.8125</v>
      </c>
      <c r="F399" s="30">
        <v>0.95833333333333337</v>
      </c>
      <c r="G399" s="7" t="s">
        <v>24</v>
      </c>
      <c r="H399" s="7" t="s">
        <v>0</v>
      </c>
      <c r="I399" s="6" t="s">
        <v>8</v>
      </c>
      <c r="J399" s="7" t="s">
        <v>6</v>
      </c>
      <c r="K399" s="8" t="s">
        <v>39</v>
      </c>
    </row>
    <row r="400" spans="1:12" ht="16.5" customHeight="1" x14ac:dyDescent="0.25">
      <c r="A400" s="13">
        <v>43806</v>
      </c>
      <c r="B400" s="14">
        <v>43806</v>
      </c>
      <c r="C400" s="15" t="s">
        <v>18</v>
      </c>
      <c r="D400" s="15" t="s">
        <v>7</v>
      </c>
      <c r="E400" s="22">
        <v>0.33333333333333331</v>
      </c>
      <c r="F400" s="22">
        <v>0.70833333333333337</v>
      </c>
      <c r="G400" s="16" t="s">
        <v>25</v>
      </c>
      <c r="H400" s="16" t="s">
        <v>0</v>
      </c>
      <c r="I400" s="15" t="s">
        <v>13</v>
      </c>
      <c r="J400" s="16" t="s">
        <v>6</v>
      </c>
      <c r="K400" s="16" t="s">
        <v>38</v>
      </c>
      <c r="L400" s="3" t="s">
        <v>69</v>
      </c>
    </row>
    <row r="401" spans="1:12" ht="16.5" customHeight="1" x14ac:dyDescent="0.25">
      <c r="A401" s="13">
        <f t="shared" ref="A401:A408" si="22">B401</f>
        <v>43806</v>
      </c>
      <c r="B401" s="14">
        <v>43806</v>
      </c>
      <c r="C401" s="15" t="s">
        <v>94</v>
      </c>
      <c r="D401" s="15" t="s">
        <v>95</v>
      </c>
      <c r="E401" s="22">
        <v>0.33333333333333331</v>
      </c>
      <c r="F401" s="22">
        <v>0.5</v>
      </c>
      <c r="G401" s="16" t="s">
        <v>27</v>
      </c>
      <c r="H401" s="16">
        <v>1</v>
      </c>
      <c r="I401" s="15" t="s">
        <v>49</v>
      </c>
      <c r="J401" s="16" t="s">
        <v>0</v>
      </c>
      <c r="K401" s="16" t="s">
        <v>0</v>
      </c>
      <c r="L401" s="3" t="s">
        <v>6</v>
      </c>
    </row>
    <row r="402" spans="1:12" ht="16.5" customHeight="1" x14ac:dyDescent="0.25">
      <c r="A402" s="13">
        <f t="shared" si="22"/>
        <v>43806</v>
      </c>
      <c r="B402" s="14">
        <v>43806</v>
      </c>
      <c r="C402" s="15" t="s">
        <v>138</v>
      </c>
      <c r="D402" s="15" t="s">
        <v>177</v>
      </c>
      <c r="E402" s="22">
        <v>0.33333333333333331</v>
      </c>
      <c r="F402" s="22">
        <v>0.5</v>
      </c>
      <c r="G402" s="16" t="s">
        <v>27</v>
      </c>
      <c r="H402" s="16">
        <v>2</v>
      </c>
      <c r="I402" s="15" t="s">
        <v>49</v>
      </c>
      <c r="J402" s="16" t="s">
        <v>0</v>
      </c>
      <c r="K402" s="16" t="s">
        <v>0</v>
      </c>
    </row>
    <row r="403" spans="1:12" ht="16.5" customHeight="1" x14ac:dyDescent="0.25">
      <c r="A403" s="26">
        <f t="shared" si="22"/>
        <v>43810</v>
      </c>
      <c r="B403" s="27">
        <v>43810</v>
      </c>
      <c r="C403" s="6" t="s">
        <v>51</v>
      </c>
      <c r="D403" s="6" t="s">
        <v>52</v>
      </c>
      <c r="E403" s="21">
        <v>0.375</v>
      </c>
      <c r="F403" s="21">
        <v>0.625</v>
      </c>
      <c r="G403" s="7" t="s">
        <v>25</v>
      </c>
      <c r="H403" s="7" t="s">
        <v>0</v>
      </c>
      <c r="I403" s="6" t="s">
        <v>50</v>
      </c>
      <c r="J403" s="7" t="s">
        <v>0</v>
      </c>
      <c r="K403" s="8" t="s">
        <v>0</v>
      </c>
    </row>
    <row r="404" spans="1:12" ht="16.5" customHeight="1" x14ac:dyDescent="0.25">
      <c r="A404" s="26">
        <f t="shared" si="22"/>
        <v>43810</v>
      </c>
      <c r="B404" s="27">
        <v>43810</v>
      </c>
      <c r="C404" s="6" t="s">
        <v>53</v>
      </c>
      <c r="D404" s="6" t="s">
        <v>54</v>
      </c>
      <c r="E404" s="21">
        <v>0.77083333333333304</v>
      </c>
      <c r="F404" s="21">
        <v>0.8125</v>
      </c>
      <c r="G404" s="7" t="s">
        <v>24</v>
      </c>
      <c r="H404" s="7" t="s">
        <v>0</v>
      </c>
      <c r="I404" s="6" t="s">
        <v>55</v>
      </c>
      <c r="J404" s="7" t="s">
        <v>0</v>
      </c>
      <c r="K404" s="8" t="s">
        <v>0</v>
      </c>
    </row>
    <row r="405" spans="1:12" ht="16.5" customHeight="1" x14ac:dyDescent="0.25">
      <c r="A405" s="26">
        <f t="shared" si="22"/>
        <v>43810</v>
      </c>
      <c r="B405" s="27">
        <v>43810</v>
      </c>
      <c r="C405" s="6" t="s">
        <v>56</v>
      </c>
      <c r="D405" s="6" t="s">
        <v>57</v>
      </c>
      <c r="E405" s="21">
        <v>0.58333333333333304</v>
      </c>
      <c r="F405" s="21">
        <v>0.6875</v>
      </c>
      <c r="G405" s="7" t="s">
        <v>24</v>
      </c>
      <c r="H405" s="7" t="s">
        <v>0</v>
      </c>
      <c r="I405" s="6" t="s">
        <v>55</v>
      </c>
      <c r="J405" s="7" t="s">
        <v>0</v>
      </c>
      <c r="K405" s="8" t="s">
        <v>0</v>
      </c>
    </row>
    <row r="406" spans="1:12" ht="16.5" customHeight="1" x14ac:dyDescent="0.25">
      <c r="A406" s="26">
        <f t="shared" si="22"/>
        <v>43810</v>
      </c>
      <c r="B406" s="27">
        <v>43810</v>
      </c>
      <c r="C406" s="6" t="s">
        <v>94</v>
      </c>
      <c r="D406" s="6" t="s">
        <v>95</v>
      </c>
      <c r="E406" s="21">
        <v>0.79166666666666663</v>
      </c>
      <c r="F406" s="21">
        <v>0.875</v>
      </c>
      <c r="G406" s="7" t="s">
        <v>27</v>
      </c>
      <c r="H406" s="7">
        <v>1</v>
      </c>
      <c r="I406" s="6" t="s">
        <v>49</v>
      </c>
      <c r="J406" s="7" t="s">
        <v>0</v>
      </c>
      <c r="K406" s="8" t="s">
        <v>0</v>
      </c>
    </row>
    <row r="407" spans="1:12" ht="16.5" customHeight="1" x14ac:dyDescent="0.25">
      <c r="A407" s="26">
        <f t="shared" si="22"/>
        <v>43810</v>
      </c>
      <c r="B407" s="27">
        <v>43810</v>
      </c>
      <c r="C407" s="6" t="s">
        <v>122</v>
      </c>
      <c r="D407" s="6" t="s">
        <v>121</v>
      </c>
      <c r="E407" s="30">
        <v>0.5625</v>
      </c>
      <c r="F407" s="30">
        <v>0.64583333333333304</v>
      </c>
      <c r="G407" s="7" t="s">
        <v>30</v>
      </c>
      <c r="H407" s="7" t="s">
        <v>0</v>
      </c>
      <c r="I407" s="6" t="s">
        <v>123</v>
      </c>
      <c r="J407" s="7" t="s">
        <v>0</v>
      </c>
      <c r="K407" s="8" t="s">
        <v>0</v>
      </c>
      <c r="L407" s="3" t="s">
        <v>69</v>
      </c>
    </row>
    <row r="408" spans="1:12" ht="16.5" customHeight="1" x14ac:dyDescent="0.25">
      <c r="A408" s="26">
        <f t="shared" si="22"/>
        <v>43812</v>
      </c>
      <c r="B408" s="27">
        <v>43812</v>
      </c>
      <c r="C408" s="29" t="s">
        <v>10</v>
      </c>
      <c r="D408" s="29" t="s">
        <v>7</v>
      </c>
      <c r="E408" s="30">
        <v>0.8125</v>
      </c>
      <c r="F408" s="30">
        <v>0.95833333333333337</v>
      </c>
      <c r="G408" s="31" t="s">
        <v>24</v>
      </c>
      <c r="H408" s="31" t="s">
        <v>0</v>
      </c>
      <c r="I408" s="29" t="s">
        <v>8</v>
      </c>
      <c r="J408" s="31" t="s">
        <v>6</v>
      </c>
      <c r="K408" s="8" t="s">
        <v>39</v>
      </c>
      <c r="L408" s="3" t="s">
        <v>6</v>
      </c>
    </row>
    <row r="409" spans="1:12" ht="16.5" customHeight="1" x14ac:dyDescent="0.25">
      <c r="A409" s="13">
        <v>43813</v>
      </c>
      <c r="B409" s="14">
        <v>43813</v>
      </c>
      <c r="C409" s="15" t="s">
        <v>18</v>
      </c>
      <c r="D409" s="15" t="s">
        <v>7</v>
      </c>
      <c r="E409" s="22">
        <v>0.33333333333333331</v>
      </c>
      <c r="F409" s="22">
        <v>0.70833333333333337</v>
      </c>
      <c r="G409" s="16" t="s">
        <v>25</v>
      </c>
      <c r="H409" s="16" t="s">
        <v>0</v>
      </c>
      <c r="I409" s="15" t="s">
        <v>13</v>
      </c>
      <c r="J409" s="16" t="s">
        <v>6</v>
      </c>
      <c r="K409" s="16" t="s">
        <v>38</v>
      </c>
    </row>
    <row r="410" spans="1:12" ht="16.5" customHeight="1" x14ac:dyDescent="0.25">
      <c r="A410" s="13">
        <f t="shared" ref="A410:A433" si="23">B410</f>
        <v>43813</v>
      </c>
      <c r="B410" s="14">
        <v>43813</v>
      </c>
      <c r="C410" s="15" t="s">
        <v>21</v>
      </c>
      <c r="D410" s="15" t="s">
        <v>7</v>
      </c>
      <c r="E410" s="23">
        <v>0.33333333333333331</v>
      </c>
      <c r="F410" s="23">
        <v>0.58333333333333337</v>
      </c>
      <c r="G410" s="16" t="s">
        <v>24</v>
      </c>
      <c r="H410" s="16" t="s">
        <v>0</v>
      </c>
      <c r="I410" s="15" t="s">
        <v>8</v>
      </c>
      <c r="J410" s="16" t="s">
        <v>6</v>
      </c>
      <c r="K410" s="16" t="s">
        <v>40</v>
      </c>
    </row>
    <row r="411" spans="1:12" ht="16.5" customHeight="1" x14ac:dyDescent="0.25">
      <c r="A411" s="13">
        <f t="shared" si="23"/>
        <v>43813</v>
      </c>
      <c r="B411" s="14">
        <v>43813</v>
      </c>
      <c r="C411" s="15" t="s">
        <v>94</v>
      </c>
      <c r="D411" s="15" t="s">
        <v>95</v>
      </c>
      <c r="E411" s="22">
        <v>0.33333333333333331</v>
      </c>
      <c r="F411" s="22">
        <v>0.5</v>
      </c>
      <c r="G411" s="16" t="s">
        <v>27</v>
      </c>
      <c r="H411" s="16">
        <v>1</v>
      </c>
      <c r="I411" s="15" t="s">
        <v>49</v>
      </c>
      <c r="J411" s="16" t="s">
        <v>0</v>
      </c>
      <c r="K411" s="16" t="s">
        <v>0</v>
      </c>
    </row>
    <row r="412" spans="1:12" ht="16.5" customHeight="1" x14ac:dyDescent="0.25">
      <c r="A412" s="26">
        <f t="shared" si="23"/>
        <v>43817</v>
      </c>
      <c r="B412" s="27">
        <v>43817</v>
      </c>
      <c r="C412" s="6" t="s">
        <v>51</v>
      </c>
      <c r="D412" s="6" t="s">
        <v>52</v>
      </c>
      <c r="E412" s="21">
        <v>0.375</v>
      </c>
      <c r="F412" s="21">
        <v>0.625</v>
      </c>
      <c r="G412" s="7" t="s">
        <v>25</v>
      </c>
      <c r="H412" s="7" t="s">
        <v>0</v>
      </c>
      <c r="I412" s="6" t="s">
        <v>50</v>
      </c>
      <c r="J412" s="7" t="s">
        <v>0</v>
      </c>
      <c r="K412" s="8" t="s">
        <v>0</v>
      </c>
    </row>
    <row r="413" spans="1:12" ht="16.5" customHeight="1" x14ac:dyDescent="0.25">
      <c r="A413" s="26">
        <f t="shared" si="23"/>
        <v>43817</v>
      </c>
      <c r="B413" s="27">
        <v>43817</v>
      </c>
      <c r="C413" s="6" t="s">
        <v>53</v>
      </c>
      <c r="D413" s="6" t="s">
        <v>54</v>
      </c>
      <c r="E413" s="21">
        <v>0.77083333333333304</v>
      </c>
      <c r="F413" s="21">
        <v>0.8125</v>
      </c>
      <c r="G413" s="7" t="s">
        <v>24</v>
      </c>
      <c r="H413" s="7" t="s">
        <v>0</v>
      </c>
      <c r="I413" s="6" t="s">
        <v>55</v>
      </c>
      <c r="J413" s="7" t="s">
        <v>0</v>
      </c>
      <c r="K413" s="8" t="s">
        <v>0</v>
      </c>
    </row>
    <row r="414" spans="1:12" ht="16.5" customHeight="1" x14ac:dyDescent="0.25">
      <c r="A414" s="26">
        <f t="shared" si="23"/>
        <v>43817</v>
      </c>
      <c r="B414" s="27">
        <v>43817</v>
      </c>
      <c r="C414" s="6" t="s">
        <v>56</v>
      </c>
      <c r="D414" s="6" t="s">
        <v>57</v>
      </c>
      <c r="E414" s="21">
        <v>0.58333333333333304</v>
      </c>
      <c r="F414" s="21">
        <v>0.6875</v>
      </c>
      <c r="G414" s="7" t="s">
        <v>24</v>
      </c>
      <c r="H414" s="7" t="s">
        <v>0</v>
      </c>
      <c r="I414" s="6" t="s">
        <v>55</v>
      </c>
      <c r="J414" s="7" t="s">
        <v>0</v>
      </c>
      <c r="K414" s="8" t="s">
        <v>0</v>
      </c>
    </row>
    <row r="415" spans="1:12" ht="16.5" customHeight="1" x14ac:dyDescent="0.25">
      <c r="A415" s="26">
        <f t="shared" si="23"/>
        <v>43817</v>
      </c>
      <c r="B415" s="27">
        <v>43817</v>
      </c>
      <c r="C415" s="6" t="s">
        <v>94</v>
      </c>
      <c r="D415" s="6" t="s">
        <v>95</v>
      </c>
      <c r="E415" s="21">
        <v>0.79166666666666663</v>
      </c>
      <c r="F415" s="21">
        <v>0.875</v>
      </c>
      <c r="G415" s="7" t="s">
        <v>27</v>
      </c>
      <c r="H415" s="7">
        <v>1</v>
      </c>
      <c r="I415" s="6" t="s">
        <v>49</v>
      </c>
      <c r="J415" s="7" t="s">
        <v>0</v>
      </c>
      <c r="K415" s="8" t="s">
        <v>0</v>
      </c>
    </row>
    <row r="416" spans="1:12" ht="16.5" customHeight="1" x14ac:dyDescent="0.25">
      <c r="A416" s="26">
        <f t="shared" si="23"/>
        <v>43817</v>
      </c>
      <c r="B416" s="27">
        <v>43817</v>
      </c>
      <c r="C416" s="6" t="s">
        <v>122</v>
      </c>
      <c r="D416" s="6" t="s">
        <v>121</v>
      </c>
      <c r="E416" s="30">
        <v>0.5625</v>
      </c>
      <c r="F416" s="30">
        <v>0.64583333333333304</v>
      </c>
      <c r="G416" s="7" t="s">
        <v>30</v>
      </c>
      <c r="H416" s="7" t="s">
        <v>0</v>
      </c>
      <c r="I416" s="6" t="s">
        <v>123</v>
      </c>
      <c r="J416" s="7" t="s">
        <v>0</v>
      </c>
      <c r="K416" s="8" t="s">
        <v>0</v>
      </c>
    </row>
    <row r="417" spans="1:11" ht="16.5" customHeight="1" x14ac:dyDescent="0.25">
      <c r="A417" s="13">
        <f t="shared" si="23"/>
        <v>43820</v>
      </c>
      <c r="B417" s="14">
        <v>43820</v>
      </c>
      <c r="C417" s="15" t="s">
        <v>138</v>
      </c>
      <c r="D417" s="15" t="s">
        <v>177</v>
      </c>
      <c r="E417" s="22">
        <v>0.33333333333333331</v>
      </c>
      <c r="F417" s="22">
        <v>0.5</v>
      </c>
      <c r="G417" s="16" t="s">
        <v>27</v>
      </c>
      <c r="H417" s="16">
        <v>2</v>
      </c>
      <c r="I417" s="15" t="s">
        <v>49</v>
      </c>
      <c r="J417" s="16" t="s">
        <v>0</v>
      </c>
      <c r="K417" s="16" t="s">
        <v>0</v>
      </c>
    </row>
    <row r="418" spans="1:11" ht="16.5" customHeight="1" x14ac:dyDescent="0.25">
      <c r="A418" s="26">
        <f t="shared" si="23"/>
        <v>43824</v>
      </c>
      <c r="B418" s="27">
        <v>43824</v>
      </c>
      <c r="C418" s="6" t="s">
        <v>51</v>
      </c>
      <c r="D418" s="6" t="s">
        <v>52</v>
      </c>
      <c r="E418" s="21">
        <v>0.375</v>
      </c>
      <c r="F418" s="21">
        <v>0.625</v>
      </c>
      <c r="G418" s="7" t="s">
        <v>25</v>
      </c>
      <c r="H418" s="7" t="s">
        <v>0</v>
      </c>
      <c r="I418" s="6" t="s">
        <v>50</v>
      </c>
      <c r="J418" s="7" t="s">
        <v>0</v>
      </c>
      <c r="K418" s="8" t="s">
        <v>0</v>
      </c>
    </row>
    <row r="419" spans="1:11" ht="16.5" customHeight="1" x14ac:dyDescent="0.25">
      <c r="A419" s="26">
        <f t="shared" si="23"/>
        <v>43824</v>
      </c>
      <c r="B419" s="27">
        <v>43824</v>
      </c>
      <c r="C419" s="6" t="s">
        <v>53</v>
      </c>
      <c r="D419" s="6" t="s">
        <v>54</v>
      </c>
      <c r="E419" s="21">
        <v>0.77083333333333304</v>
      </c>
      <c r="F419" s="21">
        <v>0.8125</v>
      </c>
      <c r="G419" s="7" t="s">
        <v>24</v>
      </c>
      <c r="H419" s="7" t="s">
        <v>0</v>
      </c>
      <c r="I419" s="6" t="s">
        <v>55</v>
      </c>
      <c r="J419" s="7" t="s">
        <v>0</v>
      </c>
      <c r="K419" s="8" t="s">
        <v>0</v>
      </c>
    </row>
    <row r="420" spans="1:11" ht="16.5" customHeight="1" x14ac:dyDescent="0.25">
      <c r="A420" s="26">
        <f t="shared" si="23"/>
        <v>43824</v>
      </c>
      <c r="B420" s="27">
        <v>43824</v>
      </c>
      <c r="C420" s="6" t="s">
        <v>56</v>
      </c>
      <c r="D420" s="6" t="s">
        <v>57</v>
      </c>
      <c r="E420" s="21">
        <v>0.58333333333333304</v>
      </c>
      <c r="F420" s="21">
        <v>0.6875</v>
      </c>
      <c r="G420" s="7" t="s">
        <v>24</v>
      </c>
      <c r="H420" s="7" t="s">
        <v>0</v>
      </c>
      <c r="I420" s="6" t="s">
        <v>55</v>
      </c>
      <c r="J420" s="7" t="s">
        <v>0</v>
      </c>
      <c r="K420" s="8" t="s">
        <v>0</v>
      </c>
    </row>
    <row r="421" spans="1:11" ht="16.5" customHeight="1" x14ac:dyDescent="0.25">
      <c r="A421" s="13">
        <f t="shared" si="23"/>
        <v>43834</v>
      </c>
      <c r="B421" s="14">
        <v>43834</v>
      </c>
      <c r="C421" s="15" t="s">
        <v>138</v>
      </c>
      <c r="D421" s="15" t="s">
        <v>177</v>
      </c>
      <c r="E421" s="22">
        <v>0.33333333333333331</v>
      </c>
      <c r="F421" s="22">
        <v>0.5</v>
      </c>
      <c r="G421" s="16" t="s">
        <v>27</v>
      </c>
      <c r="H421" s="16">
        <v>2</v>
      </c>
      <c r="I421" s="15" t="s">
        <v>49</v>
      </c>
      <c r="J421" s="16" t="s">
        <v>0</v>
      </c>
      <c r="K421" s="16" t="s">
        <v>0</v>
      </c>
    </row>
    <row r="422" spans="1:11" ht="16.5" customHeight="1" x14ac:dyDescent="0.25">
      <c r="A422" s="26">
        <f t="shared" si="23"/>
        <v>43838</v>
      </c>
      <c r="B422" s="27">
        <v>43838</v>
      </c>
      <c r="C422" s="6" t="s">
        <v>94</v>
      </c>
      <c r="D422" s="6" t="s">
        <v>95</v>
      </c>
      <c r="E422" s="21">
        <v>0.79166666666666663</v>
      </c>
      <c r="F422" s="21">
        <v>0.875</v>
      </c>
      <c r="G422" s="7" t="s">
        <v>27</v>
      </c>
      <c r="H422" s="7">
        <v>1</v>
      </c>
      <c r="I422" s="6" t="s">
        <v>49</v>
      </c>
      <c r="J422" s="7" t="s">
        <v>0</v>
      </c>
      <c r="K422" s="8" t="s">
        <v>0</v>
      </c>
    </row>
    <row r="423" spans="1:11" ht="16.5" customHeight="1" x14ac:dyDescent="0.25">
      <c r="A423" s="13">
        <f t="shared" si="23"/>
        <v>43841</v>
      </c>
      <c r="B423" s="14">
        <v>43841</v>
      </c>
      <c r="C423" s="15" t="s">
        <v>37</v>
      </c>
      <c r="D423" s="15" t="s">
        <v>7</v>
      </c>
      <c r="E423" s="22">
        <v>0.33333333333333331</v>
      </c>
      <c r="F423" s="22">
        <v>0.58333333333333337</v>
      </c>
      <c r="G423" s="16" t="s">
        <v>26</v>
      </c>
      <c r="H423" s="16" t="s">
        <v>0</v>
      </c>
      <c r="I423" s="15" t="s">
        <v>35</v>
      </c>
      <c r="J423" s="16" t="s">
        <v>6</v>
      </c>
      <c r="K423" s="16" t="s">
        <v>0</v>
      </c>
    </row>
    <row r="424" spans="1:11" ht="16.5" customHeight="1" x14ac:dyDescent="0.25">
      <c r="A424" s="13">
        <f t="shared" si="23"/>
        <v>43841</v>
      </c>
      <c r="B424" s="14">
        <v>43841</v>
      </c>
      <c r="C424" s="15" t="s">
        <v>34</v>
      </c>
      <c r="D424" s="15" t="s">
        <v>7</v>
      </c>
      <c r="E424" s="22">
        <v>0.33333333333333331</v>
      </c>
      <c r="F424" s="22">
        <v>0.58333333333333337</v>
      </c>
      <c r="G424" s="16" t="s">
        <v>26</v>
      </c>
      <c r="H424" s="16" t="s">
        <v>0</v>
      </c>
      <c r="I424" s="15" t="s">
        <v>35</v>
      </c>
      <c r="J424" s="16" t="s">
        <v>6</v>
      </c>
      <c r="K424" s="16" t="s">
        <v>36</v>
      </c>
    </row>
    <row r="425" spans="1:11" ht="16.5" customHeight="1" x14ac:dyDescent="0.25">
      <c r="A425" s="13">
        <f t="shared" si="23"/>
        <v>43841</v>
      </c>
      <c r="B425" s="14">
        <v>43841</v>
      </c>
      <c r="C425" s="15" t="s">
        <v>94</v>
      </c>
      <c r="D425" s="15" t="s">
        <v>95</v>
      </c>
      <c r="E425" s="22">
        <v>0.33333333333333331</v>
      </c>
      <c r="F425" s="22">
        <v>0.5</v>
      </c>
      <c r="G425" s="16" t="s">
        <v>27</v>
      </c>
      <c r="H425" s="16">
        <v>1</v>
      </c>
      <c r="I425" s="15" t="s">
        <v>49</v>
      </c>
      <c r="J425" s="16" t="s">
        <v>0</v>
      </c>
      <c r="K425" s="16" t="s">
        <v>0</v>
      </c>
    </row>
    <row r="426" spans="1:11" ht="16.5" customHeight="1" x14ac:dyDescent="0.25">
      <c r="A426" s="26">
        <f t="shared" si="23"/>
        <v>43845</v>
      </c>
      <c r="B426" s="27">
        <v>43845</v>
      </c>
      <c r="C426" s="6" t="s">
        <v>94</v>
      </c>
      <c r="D426" s="6" t="s">
        <v>95</v>
      </c>
      <c r="E426" s="21">
        <v>0.79166666666666663</v>
      </c>
      <c r="F426" s="21">
        <v>0.875</v>
      </c>
      <c r="G426" s="7" t="s">
        <v>27</v>
      </c>
      <c r="H426" s="7">
        <v>1</v>
      </c>
      <c r="I426" s="6" t="s">
        <v>49</v>
      </c>
      <c r="J426" s="7" t="s">
        <v>0</v>
      </c>
      <c r="K426" s="8" t="s">
        <v>0</v>
      </c>
    </row>
    <row r="427" spans="1:11" ht="16.5" customHeight="1" x14ac:dyDescent="0.25">
      <c r="A427" s="13">
        <f t="shared" si="23"/>
        <v>43848</v>
      </c>
      <c r="B427" s="14">
        <v>43848</v>
      </c>
      <c r="C427" s="15" t="s">
        <v>94</v>
      </c>
      <c r="D427" s="15" t="s">
        <v>95</v>
      </c>
      <c r="E427" s="22">
        <v>0.33333333333333331</v>
      </c>
      <c r="F427" s="22">
        <v>0.5</v>
      </c>
      <c r="G427" s="16" t="s">
        <v>27</v>
      </c>
      <c r="H427" s="16">
        <v>1</v>
      </c>
      <c r="I427" s="15" t="s">
        <v>49</v>
      </c>
      <c r="J427" s="16" t="s">
        <v>0</v>
      </c>
      <c r="K427" s="16" t="s">
        <v>0</v>
      </c>
    </row>
    <row r="428" spans="1:11" ht="16.5" customHeight="1" x14ac:dyDescent="0.25">
      <c r="A428" s="13">
        <f t="shared" si="23"/>
        <v>43848</v>
      </c>
      <c r="B428" s="14">
        <v>43848</v>
      </c>
      <c r="C428" s="15" t="s">
        <v>138</v>
      </c>
      <c r="D428" s="15" t="s">
        <v>177</v>
      </c>
      <c r="E428" s="22">
        <v>0.33333333333333331</v>
      </c>
      <c r="F428" s="22">
        <v>0.5</v>
      </c>
      <c r="G428" s="16" t="s">
        <v>27</v>
      </c>
      <c r="H428" s="16">
        <v>2</v>
      </c>
      <c r="I428" s="15" t="s">
        <v>49</v>
      </c>
      <c r="J428" s="16" t="s">
        <v>0</v>
      </c>
      <c r="K428" s="16" t="s">
        <v>0</v>
      </c>
    </row>
    <row r="429" spans="1:11" ht="16.5" customHeight="1" x14ac:dyDescent="0.25">
      <c r="A429" s="26">
        <f t="shared" si="23"/>
        <v>43852</v>
      </c>
      <c r="B429" s="27">
        <v>43852</v>
      </c>
      <c r="C429" s="6" t="s">
        <v>94</v>
      </c>
      <c r="D429" s="6" t="s">
        <v>95</v>
      </c>
      <c r="E429" s="21">
        <v>0.79166666666666663</v>
      </c>
      <c r="F429" s="21">
        <v>0.875</v>
      </c>
      <c r="G429" s="7" t="s">
        <v>27</v>
      </c>
      <c r="H429" s="7">
        <v>1</v>
      </c>
      <c r="I429" s="6" t="s">
        <v>49</v>
      </c>
      <c r="J429" s="7" t="s">
        <v>0</v>
      </c>
      <c r="K429" s="8" t="s">
        <v>0</v>
      </c>
    </row>
    <row r="430" spans="1:11" ht="16.5" customHeight="1" x14ac:dyDescent="0.25">
      <c r="A430" s="13">
        <f t="shared" si="23"/>
        <v>43855</v>
      </c>
      <c r="B430" s="14">
        <v>43855</v>
      </c>
      <c r="C430" s="15" t="s">
        <v>37</v>
      </c>
      <c r="D430" s="15" t="s">
        <v>7</v>
      </c>
      <c r="E430" s="22">
        <v>0.33333333333333331</v>
      </c>
      <c r="F430" s="22">
        <v>0.58333333333333337</v>
      </c>
      <c r="G430" s="16" t="s">
        <v>26</v>
      </c>
      <c r="H430" s="16" t="s">
        <v>0</v>
      </c>
      <c r="I430" s="15" t="s">
        <v>35</v>
      </c>
      <c r="J430" s="16" t="s">
        <v>6</v>
      </c>
      <c r="K430" s="16" t="s">
        <v>0</v>
      </c>
    </row>
    <row r="431" spans="1:11" ht="16.5" customHeight="1" x14ac:dyDescent="0.25">
      <c r="A431" s="13">
        <f t="shared" si="23"/>
        <v>43855</v>
      </c>
      <c r="B431" s="14">
        <v>43855</v>
      </c>
      <c r="C431" s="15" t="s">
        <v>34</v>
      </c>
      <c r="D431" s="15" t="s">
        <v>7</v>
      </c>
      <c r="E431" s="22">
        <v>0.33333333333333331</v>
      </c>
      <c r="F431" s="22">
        <v>0.58333333333333337</v>
      </c>
      <c r="G431" s="16" t="s">
        <v>26</v>
      </c>
      <c r="H431" s="16" t="s">
        <v>0</v>
      </c>
      <c r="I431" s="15" t="s">
        <v>35</v>
      </c>
      <c r="J431" s="16" t="s">
        <v>6</v>
      </c>
      <c r="K431" s="16" t="s">
        <v>36</v>
      </c>
    </row>
    <row r="432" spans="1:11" ht="16.5" customHeight="1" x14ac:dyDescent="0.25">
      <c r="A432" s="13">
        <f t="shared" si="23"/>
        <v>43855</v>
      </c>
      <c r="B432" s="14">
        <v>43855</v>
      </c>
      <c r="C432" s="15" t="s">
        <v>94</v>
      </c>
      <c r="D432" s="15" t="s">
        <v>95</v>
      </c>
      <c r="E432" s="22">
        <v>0.33333333333333331</v>
      </c>
      <c r="F432" s="22">
        <v>0.5</v>
      </c>
      <c r="G432" s="16" t="s">
        <v>27</v>
      </c>
      <c r="H432" s="16">
        <v>1</v>
      </c>
      <c r="I432" s="15" t="s">
        <v>49</v>
      </c>
      <c r="J432" s="16" t="s">
        <v>0</v>
      </c>
      <c r="K432" s="16" t="s">
        <v>0</v>
      </c>
    </row>
    <row r="433" spans="1:11" ht="16.5" customHeight="1" x14ac:dyDescent="0.25">
      <c r="A433" s="26">
        <f t="shared" si="23"/>
        <v>43859</v>
      </c>
      <c r="B433" s="27">
        <v>43859</v>
      </c>
      <c r="C433" s="6" t="s">
        <v>94</v>
      </c>
      <c r="D433" s="6" t="s">
        <v>95</v>
      </c>
      <c r="E433" s="21">
        <v>0.79166666666666663</v>
      </c>
      <c r="F433" s="21">
        <v>0.875</v>
      </c>
      <c r="G433" s="7" t="s">
        <v>27</v>
      </c>
      <c r="H433" s="7">
        <v>1</v>
      </c>
      <c r="I433" s="6" t="s">
        <v>49</v>
      </c>
      <c r="J433" s="7" t="s">
        <v>0</v>
      </c>
      <c r="K433" s="8" t="s">
        <v>0</v>
      </c>
    </row>
    <row r="434" spans="1:11" ht="16.5" customHeight="1" x14ac:dyDescent="0.25">
      <c r="A434" s="13">
        <v>43862</v>
      </c>
      <c r="B434" s="14">
        <v>43862</v>
      </c>
      <c r="C434" s="15" t="s">
        <v>18</v>
      </c>
      <c r="D434" s="15" t="s">
        <v>7</v>
      </c>
      <c r="E434" s="22">
        <v>0.33333333333333331</v>
      </c>
      <c r="F434" s="22">
        <v>0.70833333333333337</v>
      </c>
      <c r="G434" s="16" t="s">
        <v>25</v>
      </c>
      <c r="H434" s="16" t="s">
        <v>0</v>
      </c>
      <c r="I434" s="15" t="s">
        <v>13</v>
      </c>
      <c r="J434" s="16" t="s">
        <v>6</v>
      </c>
      <c r="K434" s="16" t="s">
        <v>38</v>
      </c>
    </row>
    <row r="435" spans="1:11" ht="16.5" customHeight="1" x14ac:dyDescent="0.25">
      <c r="A435" s="13">
        <f t="shared" ref="A435:A441" si="24">B435</f>
        <v>43862</v>
      </c>
      <c r="B435" s="14">
        <v>43862</v>
      </c>
      <c r="C435" s="15" t="s">
        <v>94</v>
      </c>
      <c r="D435" s="15" t="s">
        <v>95</v>
      </c>
      <c r="E435" s="22">
        <v>0.33333333333333331</v>
      </c>
      <c r="F435" s="22">
        <v>0.5</v>
      </c>
      <c r="G435" s="16" t="s">
        <v>27</v>
      </c>
      <c r="H435" s="16">
        <v>1</v>
      </c>
      <c r="I435" s="15" t="s">
        <v>49</v>
      </c>
      <c r="J435" s="16" t="s">
        <v>0</v>
      </c>
      <c r="K435" s="16" t="s">
        <v>0</v>
      </c>
    </row>
    <row r="436" spans="1:11" ht="16.5" customHeight="1" x14ac:dyDescent="0.25">
      <c r="A436" s="13">
        <f t="shared" si="24"/>
        <v>43862</v>
      </c>
      <c r="B436" s="14">
        <v>43862</v>
      </c>
      <c r="C436" s="15" t="s">
        <v>138</v>
      </c>
      <c r="D436" s="15" t="s">
        <v>177</v>
      </c>
      <c r="E436" s="22">
        <v>0.33333333333333331</v>
      </c>
      <c r="F436" s="22">
        <v>0.5</v>
      </c>
      <c r="G436" s="16" t="s">
        <v>27</v>
      </c>
      <c r="H436" s="16">
        <v>2</v>
      </c>
      <c r="I436" s="15" t="s">
        <v>49</v>
      </c>
      <c r="J436" s="16" t="s">
        <v>0</v>
      </c>
      <c r="K436" s="16" t="s">
        <v>0</v>
      </c>
    </row>
    <row r="437" spans="1:11" ht="16.5" customHeight="1" x14ac:dyDescent="0.25">
      <c r="A437" s="26">
        <f t="shared" si="24"/>
        <v>43866</v>
      </c>
      <c r="B437" s="27">
        <v>43866</v>
      </c>
      <c r="C437" s="6" t="s">
        <v>94</v>
      </c>
      <c r="D437" s="6" t="s">
        <v>95</v>
      </c>
      <c r="E437" s="21">
        <v>0.79166666666666663</v>
      </c>
      <c r="F437" s="21">
        <v>0.875</v>
      </c>
      <c r="G437" s="7" t="s">
        <v>27</v>
      </c>
      <c r="H437" s="7">
        <v>1</v>
      </c>
      <c r="I437" s="6" t="s">
        <v>49</v>
      </c>
      <c r="J437" s="7" t="s">
        <v>0</v>
      </c>
      <c r="K437" s="8" t="s">
        <v>0</v>
      </c>
    </row>
    <row r="438" spans="1:11" ht="16.5" customHeight="1" x14ac:dyDescent="0.25">
      <c r="A438" s="13">
        <f t="shared" si="24"/>
        <v>43869</v>
      </c>
      <c r="B438" s="14">
        <v>43869</v>
      </c>
      <c r="C438" s="15" t="s">
        <v>37</v>
      </c>
      <c r="D438" s="15" t="s">
        <v>7</v>
      </c>
      <c r="E438" s="22">
        <v>0.33333333333333331</v>
      </c>
      <c r="F438" s="22">
        <v>0.58333333333333337</v>
      </c>
      <c r="G438" s="16" t="s">
        <v>26</v>
      </c>
      <c r="H438" s="16" t="s">
        <v>0</v>
      </c>
      <c r="I438" s="15" t="s">
        <v>35</v>
      </c>
      <c r="J438" s="16" t="s">
        <v>6</v>
      </c>
      <c r="K438" s="16" t="s">
        <v>0</v>
      </c>
    </row>
    <row r="439" spans="1:11" ht="16.5" customHeight="1" x14ac:dyDescent="0.25">
      <c r="A439" s="13">
        <f t="shared" si="24"/>
        <v>43869</v>
      </c>
      <c r="B439" s="14">
        <v>43869</v>
      </c>
      <c r="C439" s="15" t="s">
        <v>34</v>
      </c>
      <c r="D439" s="15" t="s">
        <v>7</v>
      </c>
      <c r="E439" s="22">
        <v>0.33333333333333331</v>
      </c>
      <c r="F439" s="22">
        <v>0.58333333333333337</v>
      </c>
      <c r="G439" s="16" t="s">
        <v>26</v>
      </c>
      <c r="H439" s="16" t="s">
        <v>0</v>
      </c>
      <c r="I439" s="15" t="s">
        <v>35</v>
      </c>
      <c r="J439" s="16" t="s">
        <v>6</v>
      </c>
      <c r="K439" s="16" t="s">
        <v>36</v>
      </c>
    </row>
    <row r="440" spans="1:11" ht="16.5" customHeight="1" x14ac:dyDescent="0.25">
      <c r="A440" s="13">
        <f t="shared" si="24"/>
        <v>43869</v>
      </c>
      <c r="B440" s="14">
        <v>43869</v>
      </c>
      <c r="C440" s="15" t="s">
        <v>94</v>
      </c>
      <c r="D440" s="15" t="s">
        <v>95</v>
      </c>
      <c r="E440" s="22">
        <v>0.33333333333333331</v>
      </c>
      <c r="F440" s="22">
        <v>0.5</v>
      </c>
      <c r="G440" s="16" t="s">
        <v>27</v>
      </c>
      <c r="H440" s="16">
        <v>1</v>
      </c>
      <c r="I440" s="15" t="s">
        <v>49</v>
      </c>
      <c r="J440" s="16" t="s">
        <v>0</v>
      </c>
      <c r="K440" s="16" t="s">
        <v>0</v>
      </c>
    </row>
    <row r="441" spans="1:11" ht="16.5" customHeight="1" x14ac:dyDescent="0.25">
      <c r="A441" s="26">
        <f t="shared" si="24"/>
        <v>43873</v>
      </c>
      <c r="B441" s="27">
        <v>43873</v>
      </c>
      <c r="C441" s="6" t="s">
        <v>94</v>
      </c>
      <c r="D441" s="6" t="s">
        <v>95</v>
      </c>
      <c r="E441" s="21">
        <v>0.79166666666666663</v>
      </c>
      <c r="F441" s="21">
        <v>0.875</v>
      </c>
      <c r="G441" s="7" t="s">
        <v>27</v>
      </c>
      <c r="H441" s="7">
        <v>1</v>
      </c>
      <c r="I441" s="6" t="s">
        <v>49</v>
      </c>
      <c r="J441" s="7" t="s">
        <v>0</v>
      </c>
      <c r="K441" s="8" t="s">
        <v>0</v>
      </c>
    </row>
    <row r="442" spans="1:11" ht="16.5" customHeight="1" x14ac:dyDescent="0.25">
      <c r="A442" s="13">
        <v>43876</v>
      </c>
      <c r="B442" s="14">
        <v>43876</v>
      </c>
      <c r="C442" s="15" t="s">
        <v>18</v>
      </c>
      <c r="D442" s="15" t="s">
        <v>7</v>
      </c>
      <c r="E442" s="22">
        <v>0.33333333333333331</v>
      </c>
      <c r="F442" s="22">
        <v>0.70833333333333337</v>
      </c>
      <c r="G442" s="16" t="s">
        <v>25</v>
      </c>
      <c r="H442" s="16" t="s">
        <v>0</v>
      </c>
      <c r="I442" s="15" t="s">
        <v>13</v>
      </c>
      <c r="J442" s="16" t="s">
        <v>6</v>
      </c>
      <c r="K442" s="16" t="s">
        <v>38</v>
      </c>
    </row>
    <row r="443" spans="1:11" ht="16.5" customHeight="1" x14ac:dyDescent="0.25">
      <c r="A443" s="13">
        <f>B443</f>
        <v>43876</v>
      </c>
      <c r="B443" s="14">
        <v>43876</v>
      </c>
      <c r="C443" s="15" t="s">
        <v>94</v>
      </c>
      <c r="D443" s="15" t="s">
        <v>95</v>
      </c>
      <c r="E443" s="22">
        <v>0.33333333333333331</v>
      </c>
      <c r="F443" s="22">
        <v>0.5</v>
      </c>
      <c r="G443" s="16" t="s">
        <v>27</v>
      </c>
      <c r="H443" s="16">
        <v>1</v>
      </c>
      <c r="I443" s="15" t="s">
        <v>49</v>
      </c>
      <c r="J443" s="16" t="s">
        <v>0</v>
      </c>
      <c r="K443" s="16" t="s">
        <v>0</v>
      </c>
    </row>
    <row r="444" spans="1:11" ht="16.5" customHeight="1" x14ac:dyDescent="0.25">
      <c r="A444" s="13">
        <f>B444</f>
        <v>43876</v>
      </c>
      <c r="B444" s="14">
        <v>43876</v>
      </c>
      <c r="C444" s="15" t="s">
        <v>138</v>
      </c>
      <c r="D444" s="15" t="s">
        <v>177</v>
      </c>
      <c r="E444" s="22">
        <v>0.33333333333333331</v>
      </c>
      <c r="F444" s="22">
        <v>0.5</v>
      </c>
      <c r="G444" s="16" t="s">
        <v>27</v>
      </c>
      <c r="H444" s="16">
        <v>2</v>
      </c>
      <c r="I444" s="15" t="s">
        <v>49</v>
      </c>
      <c r="J444" s="16" t="s">
        <v>0</v>
      </c>
      <c r="K444" s="16" t="s">
        <v>0</v>
      </c>
    </row>
    <row r="445" spans="1:11" ht="16.5" customHeight="1" x14ac:dyDescent="0.25">
      <c r="A445" s="26">
        <f>B445</f>
        <v>43880</v>
      </c>
      <c r="B445" s="27">
        <v>43880</v>
      </c>
      <c r="C445" s="6" t="s">
        <v>94</v>
      </c>
      <c r="D445" s="6" t="s">
        <v>95</v>
      </c>
      <c r="E445" s="21">
        <v>0.79166666666666663</v>
      </c>
      <c r="F445" s="21">
        <v>0.875</v>
      </c>
      <c r="G445" s="7" t="s">
        <v>27</v>
      </c>
      <c r="H445" s="7">
        <v>1</v>
      </c>
      <c r="I445" s="6" t="s">
        <v>49</v>
      </c>
      <c r="J445" s="7" t="s">
        <v>0</v>
      </c>
      <c r="K445" s="8" t="s">
        <v>0</v>
      </c>
    </row>
    <row r="446" spans="1:11" ht="16.5" customHeight="1" x14ac:dyDescent="0.25">
      <c r="A446" s="13">
        <f>B446</f>
        <v>43890</v>
      </c>
      <c r="B446" s="14">
        <v>43890</v>
      </c>
      <c r="C446" s="15" t="s">
        <v>37</v>
      </c>
      <c r="D446" s="15" t="s">
        <v>7</v>
      </c>
      <c r="E446" s="22">
        <v>0.33333333333333331</v>
      </c>
      <c r="F446" s="22">
        <v>0.58333333333333337</v>
      </c>
      <c r="G446" s="16" t="s">
        <v>26</v>
      </c>
      <c r="H446" s="16" t="s">
        <v>0</v>
      </c>
      <c r="I446" s="15" t="s">
        <v>35</v>
      </c>
      <c r="J446" s="16" t="s">
        <v>6</v>
      </c>
      <c r="K446" s="16" t="s">
        <v>0</v>
      </c>
    </row>
    <row r="447" spans="1:11" ht="16.5" customHeight="1" x14ac:dyDescent="0.25">
      <c r="A447" s="13">
        <f>B447</f>
        <v>43890</v>
      </c>
      <c r="B447" s="14">
        <v>43890</v>
      </c>
      <c r="C447" s="15" t="s">
        <v>34</v>
      </c>
      <c r="D447" s="15" t="s">
        <v>7</v>
      </c>
      <c r="E447" s="22">
        <v>0.33333333333333331</v>
      </c>
      <c r="F447" s="22">
        <v>0.58333333333333337</v>
      </c>
      <c r="G447" s="16" t="s">
        <v>26</v>
      </c>
      <c r="H447" s="16" t="s">
        <v>0</v>
      </c>
      <c r="I447" s="15" t="s">
        <v>35</v>
      </c>
      <c r="J447" s="16" t="s">
        <v>6</v>
      </c>
      <c r="K447" s="16" t="s">
        <v>36</v>
      </c>
    </row>
    <row r="448" spans="1:11" ht="16.5" customHeight="1" x14ac:dyDescent="0.25">
      <c r="A448" s="13">
        <v>43890</v>
      </c>
      <c r="B448" s="14">
        <v>43890</v>
      </c>
      <c r="C448" s="15" t="s">
        <v>18</v>
      </c>
      <c r="D448" s="15" t="s">
        <v>7</v>
      </c>
      <c r="E448" s="22">
        <v>0.33333333333333331</v>
      </c>
      <c r="F448" s="22">
        <v>0.70833333333333337</v>
      </c>
      <c r="G448" s="16" t="s">
        <v>25</v>
      </c>
      <c r="H448" s="16" t="s">
        <v>0</v>
      </c>
      <c r="I448" s="15" t="s">
        <v>13</v>
      </c>
      <c r="J448" s="16" t="s">
        <v>6</v>
      </c>
      <c r="K448" s="16" t="s">
        <v>38</v>
      </c>
    </row>
    <row r="449" spans="1:11" ht="16.5" customHeight="1" x14ac:dyDescent="0.25">
      <c r="A449" s="13">
        <f t="shared" ref="A449:A455" si="25">B449</f>
        <v>43890</v>
      </c>
      <c r="B449" s="14">
        <v>43890</v>
      </c>
      <c r="C449" s="15" t="s">
        <v>94</v>
      </c>
      <c r="D449" s="15" t="s">
        <v>95</v>
      </c>
      <c r="E449" s="22">
        <v>0.33333333333333331</v>
      </c>
      <c r="F449" s="22">
        <v>0.5</v>
      </c>
      <c r="G449" s="16" t="s">
        <v>27</v>
      </c>
      <c r="H449" s="16">
        <v>1</v>
      </c>
      <c r="I449" s="15" t="s">
        <v>49</v>
      </c>
      <c r="J449" s="16" t="s">
        <v>0</v>
      </c>
      <c r="K449" s="16" t="s">
        <v>0</v>
      </c>
    </row>
    <row r="450" spans="1:11" ht="16.5" customHeight="1" x14ac:dyDescent="0.25">
      <c r="A450" s="13">
        <f t="shared" si="25"/>
        <v>43890</v>
      </c>
      <c r="B450" s="14">
        <v>43890</v>
      </c>
      <c r="C450" s="15" t="s">
        <v>138</v>
      </c>
      <c r="D450" s="15" t="s">
        <v>177</v>
      </c>
      <c r="E450" s="22">
        <v>0.33333333333333331</v>
      </c>
      <c r="F450" s="22">
        <v>0.5</v>
      </c>
      <c r="G450" s="16" t="s">
        <v>27</v>
      </c>
      <c r="H450" s="16">
        <v>2</v>
      </c>
      <c r="I450" s="15" t="s">
        <v>49</v>
      </c>
      <c r="J450" s="16" t="s">
        <v>0</v>
      </c>
      <c r="K450" s="16" t="s">
        <v>0</v>
      </c>
    </row>
    <row r="451" spans="1:11" ht="16.5" customHeight="1" x14ac:dyDescent="0.25">
      <c r="A451" s="26">
        <f t="shared" si="25"/>
        <v>43894</v>
      </c>
      <c r="B451" s="27">
        <v>43894</v>
      </c>
      <c r="C451" s="6" t="s">
        <v>94</v>
      </c>
      <c r="D451" s="6" t="s">
        <v>95</v>
      </c>
      <c r="E451" s="21">
        <v>0.79166666666666663</v>
      </c>
      <c r="F451" s="21">
        <v>0.875</v>
      </c>
      <c r="G451" s="7" t="s">
        <v>27</v>
      </c>
      <c r="H451" s="7">
        <v>1</v>
      </c>
      <c r="I451" s="6" t="s">
        <v>49</v>
      </c>
      <c r="J451" s="7" t="s">
        <v>0</v>
      </c>
      <c r="K451" s="8" t="s">
        <v>0</v>
      </c>
    </row>
    <row r="452" spans="1:11" ht="16.5" customHeight="1" x14ac:dyDescent="0.25">
      <c r="A452" s="13">
        <f t="shared" si="25"/>
        <v>43897</v>
      </c>
      <c r="B452" s="14">
        <v>43897</v>
      </c>
      <c r="C452" s="15" t="s">
        <v>94</v>
      </c>
      <c r="D452" s="15" t="s">
        <v>95</v>
      </c>
      <c r="E452" s="22">
        <v>0.33333333333333331</v>
      </c>
      <c r="F452" s="22">
        <v>0.5</v>
      </c>
      <c r="G452" s="16" t="s">
        <v>27</v>
      </c>
      <c r="H452" s="16">
        <v>1</v>
      </c>
      <c r="I452" s="15" t="s">
        <v>49</v>
      </c>
      <c r="J452" s="16" t="s">
        <v>0</v>
      </c>
      <c r="K452" s="16" t="s">
        <v>0</v>
      </c>
    </row>
    <row r="453" spans="1:11" ht="16.5" customHeight="1" x14ac:dyDescent="0.25">
      <c r="A453" s="26">
        <f t="shared" si="25"/>
        <v>43901</v>
      </c>
      <c r="B453" s="27">
        <v>43901</v>
      </c>
      <c r="C453" s="6" t="s">
        <v>94</v>
      </c>
      <c r="D453" s="6" t="s">
        <v>95</v>
      </c>
      <c r="E453" s="21">
        <v>0.79166666666666663</v>
      </c>
      <c r="F453" s="21">
        <v>0.875</v>
      </c>
      <c r="G453" s="7" t="s">
        <v>27</v>
      </c>
      <c r="H453" s="7">
        <v>1</v>
      </c>
      <c r="I453" s="6" t="s">
        <v>49</v>
      </c>
      <c r="J453" s="7" t="s">
        <v>0</v>
      </c>
      <c r="K453" s="8" t="s">
        <v>0</v>
      </c>
    </row>
    <row r="454" spans="1:11" ht="16.5" customHeight="1" x14ac:dyDescent="0.25">
      <c r="A454" s="13">
        <f t="shared" si="25"/>
        <v>43904</v>
      </c>
      <c r="B454" s="14">
        <v>43904</v>
      </c>
      <c r="C454" s="15" t="s">
        <v>37</v>
      </c>
      <c r="D454" s="15" t="s">
        <v>7</v>
      </c>
      <c r="E454" s="22">
        <v>0.33333333333333331</v>
      </c>
      <c r="F454" s="22">
        <v>0.58333333333333337</v>
      </c>
      <c r="G454" s="16" t="s">
        <v>26</v>
      </c>
      <c r="H454" s="16" t="s">
        <v>0</v>
      </c>
      <c r="I454" s="15" t="s">
        <v>35</v>
      </c>
      <c r="J454" s="16" t="s">
        <v>6</v>
      </c>
      <c r="K454" s="16" t="s">
        <v>0</v>
      </c>
    </row>
    <row r="455" spans="1:11" ht="16.5" customHeight="1" x14ac:dyDescent="0.25">
      <c r="A455" s="13">
        <f t="shared" si="25"/>
        <v>43904</v>
      </c>
      <c r="B455" s="14">
        <v>43904</v>
      </c>
      <c r="C455" s="15" t="s">
        <v>34</v>
      </c>
      <c r="D455" s="15" t="s">
        <v>7</v>
      </c>
      <c r="E455" s="22">
        <v>0.33333333333333331</v>
      </c>
      <c r="F455" s="22">
        <v>0.58333333333333337</v>
      </c>
      <c r="G455" s="16" t="s">
        <v>26</v>
      </c>
      <c r="H455" s="16" t="s">
        <v>0</v>
      </c>
      <c r="I455" s="15" t="s">
        <v>35</v>
      </c>
      <c r="J455" s="16" t="s">
        <v>6</v>
      </c>
      <c r="K455" s="16" t="s">
        <v>36</v>
      </c>
    </row>
    <row r="456" spans="1:11" ht="16.5" customHeight="1" x14ac:dyDescent="0.25">
      <c r="A456" s="13">
        <v>43904</v>
      </c>
      <c r="B456" s="14">
        <v>43904</v>
      </c>
      <c r="C456" s="15" t="s">
        <v>18</v>
      </c>
      <c r="D456" s="15" t="s">
        <v>7</v>
      </c>
      <c r="E456" s="22">
        <v>0.33333333333333331</v>
      </c>
      <c r="F456" s="22">
        <v>0.70833333333333337</v>
      </c>
      <c r="G456" s="16" t="s">
        <v>25</v>
      </c>
      <c r="H456" s="16" t="s">
        <v>0</v>
      </c>
      <c r="I456" s="15" t="s">
        <v>13</v>
      </c>
      <c r="J456" s="16" t="s">
        <v>6</v>
      </c>
      <c r="K456" s="16" t="s">
        <v>38</v>
      </c>
    </row>
    <row r="457" spans="1:11" ht="16.5" customHeight="1" x14ac:dyDescent="0.25">
      <c r="A457" s="13">
        <f t="shared" ref="A457:A463" si="26">B457</f>
        <v>43904</v>
      </c>
      <c r="B457" s="14">
        <v>43904</v>
      </c>
      <c r="C457" s="15" t="s">
        <v>94</v>
      </c>
      <c r="D457" s="15" t="s">
        <v>95</v>
      </c>
      <c r="E457" s="22">
        <v>0.33333333333333331</v>
      </c>
      <c r="F457" s="22">
        <v>0.5</v>
      </c>
      <c r="G457" s="16" t="s">
        <v>27</v>
      </c>
      <c r="H457" s="16">
        <v>1</v>
      </c>
      <c r="I457" s="15" t="s">
        <v>49</v>
      </c>
      <c r="J457" s="16" t="s">
        <v>0</v>
      </c>
      <c r="K457" s="16" t="s">
        <v>0</v>
      </c>
    </row>
    <row r="458" spans="1:11" ht="16.5" customHeight="1" x14ac:dyDescent="0.25">
      <c r="A458" s="13">
        <f t="shared" si="26"/>
        <v>43904</v>
      </c>
      <c r="B458" s="14">
        <v>43904</v>
      </c>
      <c r="C458" s="15" t="s">
        <v>138</v>
      </c>
      <c r="D458" s="15" t="s">
        <v>177</v>
      </c>
      <c r="E458" s="22">
        <v>0.33333333333333331</v>
      </c>
      <c r="F458" s="22">
        <v>0.5</v>
      </c>
      <c r="G458" s="16" t="s">
        <v>27</v>
      </c>
      <c r="H458" s="16">
        <v>2</v>
      </c>
      <c r="I458" s="15" t="s">
        <v>49</v>
      </c>
      <c r="J458" s="16" t="s">
        <v>0</v>
      </c>
      <c r="K458" s="16" t="s">
        <v>0</v>
      </c>
    </row>
    <row r="459" spans="1:11" ht="16.5" customHeight="1" x14ac:dyDescent="0.25">
      <c r="A459" s="26">
        <f t="shared" si="26"/>
        <v>43908</v>
      </c>
      <c r="B459" s="27">
        <v>43908</v>
      </c>
      <c r="C459" s="6" t="s">
        <v>94</v>
      </c>
      <c r="D459" s="6" t="s">
        <v>95</v>
      </c>
      <c r="E459" s="21">
        <v>0.79166666666666663</v>
      </c>
      <c r="F459" s="21">
        <v>0.875</v>
      </c>
      <c r="G459" s="7" t="s">
        <v>27</v>
      </c>
      <c r="H459" s="7">
        <v>1</v>
      </c>
      <c r="I459" s="6" t="s">
        <v>49</v>
      </c>
      <c r="J459" s="7" t="s">
        <v>0</v>
      </c>
      <c r="K459" s="8" t="s">
        <v>0</v>
      </c>
    </row>
    <row r="460" spans="1:11" ht="16.5" customHeight="1" x14ac:dyDescent="0.25">
      <c r="A460" s="13">
        <f t="shared" si="26"/>
        <v>43911</v>
      </c>
      <c r="B460" s="14">
        <v>43911</v>
      </c>
      <c r="C460" s="15" t="s">
        <v>94</v>
      </c>
      <c r="D460" s="15" t="s">
        <v>95</v>
      </c>
      <c r="E460" s="22">
        <v>0.33333333333333331</v>
      </c>
      <c r="F460" s="22">
        <v>0.5</v>
      </c>
      <c r="G460" s="16" t="s">
        <v>27</v>
      </c>
      <c r="H460" s="16">
        <v>1</v>
      </c>
      <c r="I460" s="15" t="s">
        <v>49</v>
      </c>
      <c r="J460" s="16" t="s">
        <v>0</v>
      </c>
      <c r="K460" s="16" t="s">
        <v>0</v>
      </c>
    </row>
    <row r="461" spans="1:11" ht="16.5" customHeight="1" x14ac:dyDescent="0.25">
      <c r="A461" s="26">
        <f t="shared" si="26"/>
        <v>43915</v>
      </c>
      <c r="B461" s="27">
        <v>43915</v>
      </c>
      <c r="C461" s="6" t="s">
        <v>94</v>
      </c>
      <c r="D461" s="6" t="s">
        <v>95</v>
      </c>
      <c r="E461" s="21">
        <v>0.79166666666666663</v>
      </c>
      <c r="F461" s="21">
        <v>0.875</v>
      </c>
      <c r="G461" s="7" t="s">
        <v>27</v>
      </c>
      <c r="H461" s="7">
        <v>1</v>
      </c>
      <c r="I461" s="6" t="s">
        <v>49</v>
      </c>
      <c r="J461" s="7" t="s">
        <v>0</v>
      </c>
      <c r="K461" s="8" t="s">
        <v>0</v>
      </c>
    </row>
    <row r="462" spans="1:11" ht="16.5" customHeight="1" x14ac:dyDescent="0.25">
      <c r="A462" s="13">
        <f t="shared" si="26"/>
        <v>43918</v>
      </c>
      <c r="B462" s="14">
        <v>43918</v>
      </c>
      <c r="C462" s="15" t="s">
        <v>37</v>
      </c>
      <c r="D462" s="15" t="s">
        <v>7</v>
      </c>
      <c r="E462" s="22">
        <v>0.33333333333333331</v>
      </c>
      <c r="F462" s="22">
        <v>0.58333333333333337</v>
      </c>
      <c r="G462" s="16" t="s">
        <v>26</v>
      </c>
      <c r="H462" s="16" t="s">
        <v>0</v>
      </c>
      <c r="I462" s="15" t="s">
        <v>35</v>
      </c>
      <c r="J462" s="16" t="s">
        <v>6</v>
      </c>
      <c r="K462" s="16" t="s">
        <v>0</v>
      </c>
    </row>
    <row r="463" spans="1:11" ht="16.5" customHeight="1" x14ac:dyDescent="0.25">
      <c r="A463" s="13">
        <f t="shared" si="26"/>
        <v>43918</v>
      </c>
      <c r="B463" s="14">
        <v>43918</v>
      </c>
      <c r="C463" s="15" t="s">
        <v>34</v>
      </c>
      <c r="D463" s="15" t="s">
        <v>7</v>
      </c>
      <c r="E463" s="22">
        <v>0.33333333333333331</v>
      </c>
      <c r="F463" s="22">
        <v>0.58333333333333337</v>
      </c>
      <c r="G463" s="16" t="s">
        <v>26</v>
      </c>
      <c r="H463" s="16" t="s">
        <v>0</v>
      </c>
      <c r="I463" s="15" t="s">
        <v>35</v>
      </c>
      <c r="J463" s="16" t="s">
        <v>6</v>
      </c>
      <c r="K463" s="16" t="s">
        <v>36</v>
      </c>
    </row>
    <row r="464" spans="1:11" ht="16.5" customHeight="1" x14ac:dyDescent="0.25">
      <c r="A464" s="13">
        <v>43918</v>
      </c>
      <c r="B464" s="14">
        <v>43918</v>
      </c>
      <c r="C464" s="15" t="s">
        <v>18</v>
      </c>
      <c r="D464" s="15" t="s">
        <v>7</v>
      </c>
      <c r="E464" s="22">
        <v>0.33333333333333331</v>
      </c>
      <c r="F464" s="22">
        <v>0.70833333333333337</v>
      </c>
      <c r="G464" s="16" t="s">
        <v>25</v>
      </c>
      <c r="H464" s="16" t="s">
        <v>0</v>
      </c>
      <c r="I464" s="15" t="s">
        <v>13</v>
      </c>
      <c r="J464" s="16" t="s">
        <v>6</v>
      </c>
      <c r="K464" s="16" t="s">
        <v>38</v>
      </c>
    </row>
    <row r="465" spans="1:11" ht="16.5" customHeight="1" x14ac:dyDescent="0.25">
      <c r="A465" s="13">
        <f>B465</f>
        <v>43918</v>
      </c>
      <c r="B465" s="14">
        <v>43918</v>
      </c>
      <c r="C465" s="15" t="s">
        <v>94</v>
      </c>
      <c r="D465" s="15" t="s">
        <v>95</v>
      </c>
      <c r="E465" s="22">
        <v>0.33333333333333331</v>
      </c>
      <c r="F465" s="22">
        <v>0.5</v>
      </c>
      <c r="G465" s="16" t="s">
        <v>27</v>
      </c>
      <c r="H465" s="16">
        <v>1</v>
      </c>
      <c r="I465" s="15" t="s">
        <v>49</v>
      </c>
      <c r="J465" s="16" t="s">
        <v>0</v>
      </c>
      <c r="K465" s="16" t="s">
        <v>0</v>
      </c>
    </row>
    <row r="466" spans="1:11" ht="16.5" customHeight="1" x14ac:dyDescent="0.25">
      <c r="A466" s="13">
        <f>B466</f>
        <v>43918</v>
      </c>
      <c r="B466" s="14">
        <v>43918</v>
      </c>
      <c r="C466" s="15" t="s">
        <v>138</v>
      </c>
      <c r="D466" s="15" t="s">
        <v>177</v>
      </c>
      <c r="E466" s="22">
        <v>0.33333333333333331</v>
      </c>
      <c r="F466" s="22">
        <v>0.5</v>
      </c>
      <c r="G466" s="16" t="s">
        <v>27</v>
      </c>
      <c r="H466" s="16">
        <v>2</v>
      </c>
      <c r="I466" s="15" t="s">
        <v>49</v>
      </c>
      <c r="J466" s="16" t="s">
        <v>0</v>
      </c>
      <c r="K466" s="16" t="s">
        <v>0</v>
      </c>
    </row>
    <row r="467" spans="1:11" ht="16.5" customHeight="1" x14ac:dyDescent="0.25">
      <c r="A467" s="26">
        <f>B467</f>
        <v>43922</v>
      </c>
      <c r="B467" s="27">
        <v>43922</v>
      </c>
      <c r="C467" s="6" t="s">
        <v>94</v>
      </c>
      <c r="D467" s="6" t="s">
        <v>95</v>
      </c>
      <c r="E467" s="21">
        <v>0.79166666666666663</v>
      </c>
      <c r="F467" s="21">
        <v>0.875</v>
      </c>
      <c r="G467" s="7" t="s">
        <v>27</v>
      </c>
      <c r="H467" s="7">
        <v>1</v>
      </c>
      <c r="I467" s="6" t="s">
        <v>49</v>
      </c>
      <c r="J467" s="7" t="s">
        <v>0</v>
      </c>
      <c r="K467" s="8" t="s">
        <v>0</v>
      </c>
    </row>
    <row r="468" spans="1:11" ht="16.5" customHeight="1" x14ac:dyDescent="0.25">
      <c r="A468" s="13">
        <f>B468</f>
        <v>43925</v>
      </c>
      <c r="B468" s="14">
        <v>43925</v>
      </c>
      <c r="C468" s="15" t="s">
        <v>37</v>
      </c>
      <c r="D468" s="15" t="s">
        <v>7</v>
      </c>
      <c r="E468" s="22">
        <v>0.33333333333333331</v>
      </c>
      <c r="F468" s="22">
        <v>0.58333333333333337</v>
      </c>
      <c r="G468" s="16" t="s">
        <v>26</v>
      </c>
      <c r="H468" s="16" t="s">
        <v>0</v>
      </c>
      <c r="I468" s="15" t="s">
        <v>35</v>
      </c>
      <c r="J468" s="16" t="s">
        <v>6</v>
      </c>
      <c r="K468" s="16" t="s">
        <v>0</v>
      </c>
    </row>
    <row r="469" spans="1:11" ht="16.5" customHeight="1" x14ac:dyDescent="0.25">
      <c r="A469" s="13">
        <f>B469</f>
        <v>43925</v>
      </c>
      <c r="B469" s="14">
        <v>43925</v>
      </c>
      <c r="C469" s="15" t="s">
        <v>34</v>
      </c>
      <c r="D469" s="15" t="s">
        <v>7</v>
      </c>
      <c r="E469" s="22">
        <v>0.33333333333333331</v>
      </c>
      <c r="F469" s="22">
        <v>0.58333333333333337</v>
      </c>
      <c r="G469" s="16" t="s">
        <v>26</v>
      </c>
      <c r="H469" s="16" t="s">
        <v>0</v>
      </c>
      <c r="I469" s="15" t="s">
        <v>35</v>
      </c>
      <c r="J469" s="16" t="s">
        <v>6</v>
      </c>
      <c r="K469" s="16" t="s">
        <v>36</v>
      </c>
    </row>
    <row r="470" spans="1:11" ht="16.5" customHeight="1" x14ac:dyDescent="0.25">
      <c r="A470" s="13">
        <v>43925</v>
      </c>
      <c r="B470" s="14">
        <v>43925</v>
      </c>
      <c r="C470" s="15" t="s">
        <v>18</v>
      </c>
      <c r="D470" s="15" t="s">
        <v>7</v>
      </c>
      <c r="E470" s="22">
        <v>0.33333333333333331</v>
      </c>
      <c r="F470" s="22">
        <v>0.70833333333333337</v>
      </c>
      <c r="G470" s="16" t="s">
        <v>25</v>
      </c>
      <c r="H470" s="16" t="s">
        <v>0</v>
      </c>
      <c r="I470" s="15" t="s">
        <v>13</v>
      </c>
      <c r="J470" s="16" t="s">
        <v>6</v>
      </c>
      <c r="K470" s="16" t="s">
        <v>38</v>
      </c>
    </row>
    <row r="471" spans="1:11" ht="16.5" customHeight="1" x14ac:dyDescent="0.25">
      <c r="A471" s="13">
        <f t="shared" ref="A471:A502" si="27">B471</f>
        <v>43925</v>
      </c>
      <c r="B471" s="14">
        <v>43925</v>
      </c>
      <c r="C471" s="15" t="s">
        <v>94</v>
      </c>
      <c r="D471" s="15" t="s">
        <v>95</v>
      </c>
      <c r="E471" s="22">
        <v>0.33333333333333331</v>
      </c>
      <c r="F471" s="22">
        <v>0.5</v>
      </c>
      <c r="G471" s="16" t="s">
        <v>27</v>
      </c>
      <c r="H471" s="16">
        <v>1</v>
      </c>
      <c r="I471" s="15" t="s">
        <v>49</v>
      </c>
      <c r="J471" s="16" t="s">
        <v>0</v>
      </c>
      <c r="K471" s="16" t="s">
        <v>0</v>
      </c>
    </row>
    <row r="472" spans="1:11" ht="16.5" customHeight="1" x14ac:dyDescent="0.25">
      <c r="A472" s="26">
        <f t="shared" si="27"/>
        <v>43929</v>
      </c>
      <c r="B472" s="27">
        <v>43929</v>
      </c>
      <c r="C472" s="6" t="s">
        <v>94</v>
      </c>
      <c r="D472" s="6" t="s">
        <v>95</v>
      </c>
      <c r="E472" s="21">
        <v>0.79166666666666663</v>
      </c>
      <c r="F472" s="21">
        <v>0.875</v>
      </c>
      <c r="G472" s="7" t="s">
        <v>27</v>
      </c>
      <c r="H472" s="7">
        <v>1</v>
      </c>
      <c r="I472" s="6" t="s">
        <v>49</v>
      </c>
      <c r="J472" s="7" t="s">
        <v>0</v>
      </c>
      <c r="K472" s="8" t="s">
        <v>0</v>
      </c>
    </row>
    <row r="473" spans="1:11" ht="16.5" customHeight="1" x14ac:dyDescent="0.25">
      <c r="A473" s="13">
        <f t="shared" si="27"/>
        <v>43932</v>
      </c>
      <c r="B473" s="14">
        <v>43932</v>
      </c>
      <c r="C473" s="15" t="s">
        <v>138</v>
      </c>
      <c r="D473" s="15" t="s">
        <v>177</v>
      </c>
      <c r="E473" s="22">
        <v>0.33333333333333331</v>
      </c>
      <c r="F473" s="22">
        <v>0.5</v>
      </c>
      <c r="G473" s="16" t="s">
        <v>27</v>
      </c>
      <c r="H473" s="16">
        <v>2</v>
      </c>
      <c r="I473" s="15" t="s">
        <v>49</v>
      </c>
      <c r="J473" s="16" t="s">
        <v>0</v>
      </c>
      <c r="K473" s="16" t="s">
        <v>0</v>
      </c>
    </row>
    <row r="474" spans="1:11" ht="16.5" customHeight="1" x14ac:dyDescent="0.25">
      <c r="A474" s="13">
        <f t="shared" si="27"/>
        <v>43939</v>
      </c>
      <c r="B474" s="14">
        <v>43939</v>
      </c>
      <c r="C474" s="15" t="s">
        <v>94</v>
      </c>
      <c r="D474" s="15" t="s">
        <v>95</v>
      </c>
      <c r="E474" s="22">
        <v>0.33333333333333331</v>
      </c>
      <c r="F474" s="22">
        <v>0.5</v>
      </c>
      <c r="G474" s="16" t="s">
        <v>27</v>
      </c>
      <c r="H474" s="16">
        <v>1</v>
      </c>
      <c r="I474" s="15" t="s">
        <v>49</v>
      </c>
      <c r="J474" s="16" t="s">
        <v>0</v>
      </c>
      <c r="K474" s="16" t="s">
        <v>0</v>
      </c>
    </row>
    <row r="475" spans="1:11" ht="16.5" customHeight="1" x14ac:dyDescent="0.25">
      <c r="A475" s="26">
        <f t="shared" si="27"/>
        <v>43943</v>
      </c>
      <c r="B475" s="27">
        <v>43943</v>
      </c>
      <c r="C475" s="6" t="s">
        <v>94</v>
      </c>
      <c r="D475" s="6" t="s">
        <v>95</v>
      </c>
      <c r="E475" s="21">
        <v>0.79166666666666663</v>
      </c>
      <c r="F475" s="21">
        <v>0.875</v>
      </c>
      <c r="G475" s="7" t="s">
        <v>27</v>
      </c>
      <c r="H475" s="7">
        <v>1</v>
      </c>
      <c r="I475" s="6" t="s">
        <v>49</v>
      </c>
      <c r="J475" s="7" t="s">
        <v>0</v>
      </c>
      <c r="K475" s="8" t="s">
        <v>0</v>
      </c>
    </row>
    <row r="476" spans="1:11" ht="16.5" customHeight="1" x14ac:dyDescent="0.25">
      <c r="A476" s="13">
        <f t="shared" si="27"/>
        <v>43946</v>
      </c>
      <c r="B476" s="14">
        <v>43946</v>
      </c>
      <c r="C476" s="15" t="s">
        <v>37</v>
      </c>
      <c r="D476" s="15" t="s">
        <v>7</v>
      </c>
      <c r="E476" s="22">
        <v>0.33333333333333331</v>
      </c>
      <c r="F476" s="22">
        <v>0.58333333333333337</v>
      </c>
      <c r="G476" s="16" t="s">
        <v>26</v>
      </c>
      <c r="H476" s="16" t="s">
        <v>0</v>
      </c>
      <c r="I476" s="15" t="s">
        <v>35</v>
      </c>
      <c r="J476" s="16" t="s">
        <v>6</v>
      </c>
      <c r="K476" s="16" t="s">
        <v>0</v>
      </c>
    </row>
    <row r="477" spans="1:11" ht="16.5" customHeight="1" x14ac:dyDescent="0.25">
      <c r="A477" s="13">
        <f t="shared" si="27"/>
        <v>43946</v>
      </c>
      <c r="B477" s="14">
        <v>43946</v>
      </c>
      <c r="C477" s="15" t="s">
        <v>34</v>
      </c>
      <c r="D477" s="15" t="s">
        <v>7</v>
      </c>
      <c r="E477" s="22">
        <v>0.33333333333333331</v>
      </c>
      <c r="F477" s="22">
        <v>0.58333333333333337</v>
      </c>
      <c r="G477" s="16" t="s">
        <v>26</v>
      </c>
      <c r="H477" s="16" t="s">
        <v>0</v>
      </c>
      <c r="I477" s="15" t="s">
        <v>35</v>
      </c>
      <c r="J477" s="16" t="s">
        <v>6</v>
      </c>
      <c r="K477" s="16" t="s">
        <v>36</v>
      </c>
    </row>
    <row r="478" spans="1:11" ht="16.5" customHeight="1" x14ac:dyDescent="0.25">
      <c r="A478" s="13">
        <f t="shared" si="27"/>
        <v>43946</v>
      </c>
      <c r="B478" s="14">
        <v>43946</v>
      </c>
      <c r="C478" s="15" t="s">
        <v>94</v>
      </c>
      <c r="D478" s="15" t="s">
        <v>95</v>
      </c>
      <c r="E478" s="22">
        <v>0.33333333333333331</v>
      </c>
      <c r="F478" s="22">
        <v>0.5</v>
      </c>
      <c r="G478" s="16" t="s">
        <v>27</v>
      </c>
      <c r="H478" s="16">
        <v>1</v>
      </c>
      <c r="I478" s="15" t="s">
        <v>49</v>
      </c>
      <c r="J478" s="16" t="s">
        <v>0</v>
      </c>
      <c r="K478" s="16" t="s">
        <v>0</v>
      </c>
    </row>
    <row r="479" spans="1:11" ht="16.5" customHeight="1" x14ac:dyDescent="0.25">
      <c r="A479" s="13">
        <f t="shared" si="27"/>
        <v>43946</v>
      </c>
      <c r="B479" s="14">
        <v>43946</v>
      </c>
      <c r="C479" s="15" t="s">
        <v>138</v>
      </c>
      <c r="D479" s="15" t="s">
        <v>177</v>
      </c>
      <c r="E479" s="22">
        <v>0.33333333333333331</v>
      </c>
      <c r="F479" s="22">
        <v>0.5</v>
      </c>
      <c r="G479" s="16" t="s">
        <v>27</v>
      </c>
      <c r="H479" s="16">
        <v>2</v>
      </c>
      <c r="I479" s="15" t="s">
        <v>49</v>
      </c>
      <c r="J479" s="16" t="s">
        <v>0</v>
      </c>
      <c r="K479" s="16" t="s">
        <v>0</v>
      </c>
    </row>
    <row r="480" spans="1:11" ht="16.5" customHeight="1" x14ac:dyDescent="0.25">
      <c r="A480" s="26">
        <f t="shared" si="27"/>
        <v>43950</v>
      </c>
      <c r="B480" s="27">
        <v>43950</v>
      </c>
      <c r="C480" s="6" t="s">
        <v>94</v>
      </c>
      <c r="D480" s="6" t="s">
        <v>95</v>
      </c>
      <c r="E480" s="21">
        <v>0.79166666666666663</v>
      </c>
      <c r="F480" s="21">
        <v>0.875</v>
      </c>
      <c r="G480" s="7" t="s">
        <v>27</v>
      </c>
      <c r="H480" s="7">
        <v>1</v>
      </c>
      <c r="I480" s="6" t="s">
        <v>49</v>
      </c>
      <c r="J480" s="7" t="s">
        <v>0</v>
      </c>
      <c r="K480" s="8" t="s">
        <v>0</v>
      </c>
    </row>
    <row r="481" spans="1:11" ht="16.5" customHeight="1" x14ac:dyDescent="0.25">
      <c r="A481" s="26">
        <f t="shared" si="27"/>
        <v>43957</v>
      </c>
      <c r="B481" s="27">
        <v>43957</v>
      </c>
      <c r="C481" s="6" t="s">
        <v>94</v>
      </c>
      <c r="D481" s="6" t="s">
        <v>95</v>
      </c>
      <c r="E481" s="21">
        <v>0.79166666666666663</v>
      </c>
      <c r="F481" s="21">
        <v>0.875</v>
      </c>
      <c r="G481" s="7" t="s">
        <v>27</v>
      </c>
      <c r="H481" s="7">
        <v>1</v>
      </c>
      <c r="I481" s="6" t="s">
        <v>49</v>
      </c>
      <c r="J481" s="7" t="s">
        <v>0</v>
      </c>
      <c r="K481" s="8" t="s">
        <v>0</v>
      </c>
    </row>
    <row r="482" spans="1:11" ht="16.5" customHeight="1" x14ac:dyDescent="0.25">
      <c r="A482" s="13">
        <f t="shared" si="27"/>
        <v>43960</v>
      </c>
      <c r="B482" s="14">
        <v>43960</v>
      </c>
      <c r="C482" s="15" t="s">
        <v>37</v>
      </c>
      <c r="D482" s="15" t="s">
        <v>7</v>
      </c>
      <c r="E482" s="22">
        <v>0.33333333333333331</v>
      </c>
      <c r="F482" s="22">
        <v>0.58333333333333337</v>
      </c>
      <c r="G482" s="16" t="s">
        <v>26</v>
      </c>
      <c r="H482" s="16" t="s">
        <v>0</v>
      </c>
      <c r="I482" s="15" t="s">
        <v>35</v>
      </c>
      <c r="J482" s="16" t="s">
        <v>6</v>
      </c>
      <c r="K482" s="16" t="s">
        <v>0</v>
      </c>
    </row>
    <row r="483" spans="1:11" ht="16.5" customHeight="1" x14ac:dyDescent="0.25">
      <c r="A483" s="13">
        <f t="shared" si="27"/>
        <v>43960</v>
      </c>
      <c r="B483" s="14">
        <v>43960</v>
      </c>
      <c r="C483" s="15" t="s">
        <v>34</v>
      </c>
      <c r="D483" s="15" t="s">
        <v>7</v>
      </c>
      <c r="E483" s="22">
        <v>0.33333333333333331</v>
      </c>
      <c r="F483" s="22">
        <v>0.58333333333333337</v>
      </c>
      <c r="G483" s="16" t="s">
        <v>26</v>
      </c>
      <c r="H483" s="16" t="s">
        <v>0</v>
      </c>
      <c r="I483" s="15" t="s">
        <v>35</v>
      </c>
      <c r="J483" s="16" t="s">
        <v>6</v>
      </c>
      <c r="K483" s="16" t="s">
        <v>36</v>
      </c>
    </row>
    <row r="484" spans="1:11" ht="16.5" customHeight="1" x14ac:dyDescent="0.25">
      <c r="A484" s="13">
        <f t="shared" si="27"/>
        <v>43960</v>
      </c>
      <c r="B484" s="14">
        <v>43960</v>
      </c>
      <c r="C484" s="15" t="s">
        <v>94</v>
      </c>
      <c r="D484" s="15" t="s">
        <v>95</v>
      </c>
      <c r="E484" s="22">
        <v>0.33333333333333331</v>
      </c>
      <c r="F484" s="22">
        <v>0.5</v>
      </c>
      <c r="G484" s="16" t="s">
        <v>27</v>
      </c>
      <c r="H484" s="16">
        <v>1</v>
      </c>
      <c r="I484" s="15" t="s">
        <v>49</v>
      </c>
      <c r="J484" s="16" t="s">
        <v>0</v>
      </c>
      <c r="K484" s="16" t="s">
        <v>0</v>
      </c>
    </row>
    <row r="485" spans="1:11" ht="16.5" customHeight="1" x14ac:dyDescent="0.25">
      <c r="A485" s="26">
        <f t="shared" si="27"/>
        <v>43964</v>
      </c>
      <c r="B485" s="27">
        <v>43964</v>
      </c>
      <c r="C485" s="6" t="s">
        <v>94</v>
      </c>
      <c r="D485" s="6" t="s">
        <v>95</v>
      </c>
      <c r="E485" s="21">
        <v>0.79166666666666663</v>
      </c>
      <c r="F485" s="21">
        <v>0.875</v>
      </c>
      <c r="G485" s="7" t="s">
        <v>27</v>
      </c>
      <c r="H485" s="7">
        <v>1</v>
      </c>
      <c r="I485" s="6" t="s">
        <v>49</v>
      </c>
      <c r="J485" s="7" t="s">
        <v>0</v>
      </c>
      <c r="K485" s="8" t="s">
        <v>0</v>
      </c>
    </row>
    <row r="486" spans="1:11" ht="16.5" customHeight="1" x14ac:dyDescent="0.25">
      <c r="A486" s="13">
        <f t="shared" si="27"/>
        <v>43967</v>
      </c>
      <c r="B486" s="14">
        <v>43967</v>
      </c>
      <c r="C486" s="15" t="s">
        <v>94</v>
      </c>
      <c r="D486" s="15" t="s">
        <v>95</v>
      </c>
      <c r="E486" s="22">
        <v>0.33333333333333331</v>
      </c>
      <c r="F486" s="22">
        <v>0.5</v>
      </c>
      <c r="G486" s="16" t="s">
        <v>27</v>
      </c>
      <c r="H486" s="16">
        <v>1</v>
      </c>
      <c r="I486" s="15" t="s">
        <v>49</v>
      </c>
      <c r="J486" s="16" t="s">
        <v>0</v>
      </c>
      <c r="K486" s="16" t="s">
        <v>0</v>
      </c>
    </row>
    <row r="487" spans="1:11" ht="16.5" customHeight="1" x14ac:dyDescent="0.25">
      <c r="A487" s="26">
        <f t="shared" si="27"/>
        <v>43971</v>
      </c>
      <c r="B487" s="27">
        <v>43971</v>
      </c>
      <c r="C487" s="6" t="s">
        <v>94</v>
      </c>
      <c r="D487" s="6" t="s">
        <v>95</v>
      </c>
      <c r="E487" s="21">
        <v>0.79166666666666663</v>
      </c>
      <c r="F487" s="21">
        <v>0.875</v>
      </c>
      <c r="G487" s="7" t="s">
        <v>27</v>
      </c>
      <c r="H487" s="7">
        <v>1</v>
      </c>
      <c r="I487" s="6" t="s">
        <v>49</v>
      </c>
      <c r="J487" s="7" t="s">
        <v>0</v>
      </c>
      <c r="K487" s="8" t="s">
        <v>0</v>
      </c>
    </row>
    <row r="488" spans="1:11" ht="16.5" customHeight="1" x14ac:dyDescent="0.25">
      <c r="A488" s="13">
        <f t="shared" si="27"/>
        <v>43974</v>
      </c>
      <c r="B488" s="14">
        <v>43974</v>
      </c>
      <c r="C488" s="15" t="s">
        <v>37</v>
      </c>
      <c r="D488" s="15" t="s">
        <v>7</v>
      </c>
      <c r="E488" s="22">
        <v>0.33333333333333331</v>
      </c>
      <c r="F488" s="22">
        <v>0.58333333333333337</v>
      </c>
      <c r="G488" s="16" t="s">
        <v>26</v>
      </c>
      <c r="H488" s="16" t="s">
        <v>0</v>
      </c>
      <c r="I488" s="15" t="s">
        <v>35</v>
      </c>
      <c r="J488" s="16" t="s">
        <v>6</v>
      </c>
      <c r="K488" s="16" t="s">
        <v>0</v>
      </c>
    </row>
    <row r="489" spans="1:11" ht="16.5" customHeight="1" x14ac:dyDescent="0.25">
      <c r="A489" s="13">
        <f t="shared" si="27"/>
        <v>43974</v>
      </c>
      <c r="B489" s="14">
        <v>43974</v>
      </c>
      <c r="C489" s="15" t="s">
        <v>34</v>
      </c>
      <c r="D489" s="15" t="s">
        <v>7</v>
      </c>
      <c r="E489" s="22">
        <v>0.33333333333333331</v>
      </c>
      <c r="F489" s="22">
        <v>0.58333333333333337</v>
      </c>
      <c r="G489" s="16" t="s">
        <v>26</v>
      </c>
      <c r="H489" s="16" t="s">
        <v>0</v>
      </c>
      <c r="I489" s="15" t="s">
        <v>35</v>
      </c>
      <c r="J489" s="16" t="s">
        <v>6</v>
      </c>
      <c r="K489" s="16" t="s">
        <v>36</v>
      </c>
    </row>
    <row r="490" spans="1:11" ht="16.5" customHeight="1" x14ac:dyDescent="0.25">
      <c r="A490" s="13">
        <f t="shared" si="27"/>
        <v>43974</v>
      </c>
      <c r="B490" s="14">
        <v>43974</v>
      </c>
      <c r="C490" s="15" t="s">
        <v>94</v>
      </c>
      <c r="D490" s="15" t="s">
        <v>95</v>
      </c>
      <c r="E490" s="22">
        <v>0.33333333333333331</v>
      </c>
      <c r="F490" s="22">
        <v>0.5</v>
      </c>
      <c r="G490" s="16" t="s">
        <v>27</v>
      </c>
      <c r="H490" s="16">
        <v>1</v>
      </c>
      <c r="I490" s="15" t="s">
        <v>49</v>
      </c>
      <c r="J490" s="16" t="s">
        <v>0</v>
      </c>
      <c r="K490" s="16" t="s">
        <v>0</v>
      </c>
    </row>
    <row r="491" spans="1:11" ht="16.5" customHeight="1" x14ac:dyDescent="0.25">
      <c r="A491" s="26">
        <f t="shared" si="27"/>
        <v>43978</v>
      </c>
      <c r="B491" s="27">
        <v>43978</v>
      </c>
      <c r="C491" s="6" t="s">
        <v>94</v>
      </c>
      <c r="D491" s="6" t="s">
        <v>95</v>
      </c>
      <c r="E491" s="21">
        <v>0.79166666666666663</v>
      </c>
      <c r="F491" s="21">
        <v>0.875</v>
      </c>
      <c r="G491" s="7" t="s">
        <v>27</v>
      </c>
      <c r="H491" s="7">
        <v>1</v>
      </c>
      <c r="I491" s="6" t="s">
        <v>49</v>
      </c>
      <c r="J491" s="7" t="s">
        <v>0</v>
      </c>
      <c r="K491" s="8" t="s">
        <v>0</v>
      </c>
    </row>
    <row r="492" spans="1:11" ht="16.5" customHeight="1" x14ac:dyDescent="0.25">
      <c r="A492" s="13">
        <f t="shared" si="27"/>
        <v>43981</v>
      </c>
      <c r="B492" s="14">
        <v>43981</v>
      </c>
      <c r="C492" s="15" t="s">
        <v>94</v>
      </c>
      <c r="D492" s="15" t="s">
        <v>95</v>
      </c>
      <c r="E492" s="22">
        <v>0.33333333333333331</v>
      </c>
      <c r="F492" s="22">
        <v>0.5</v>
      </c>
      <c r="G492" s="16" t="s">
        <v>27</v>
      </c>
      <c r="H492" s="16">
        <v>1</v>
      </c>
      <c r="I492" s="15" t="s">
        <v>49</v>
      </c>
      <c r="J492" s="16" t="s">
        <v>0</v>
      </c>
      <c r="K492" s="16" t="s">
        <v>0</v>
      </c>
    </row>
    <row r="493" spans="1:11" ht="16.5" customHeight="1" x14ac:dyDescent="0.25">
      <c r="A493" s="26">
        <f t="shared" si="27"/>
        <v>43985</v>
      </c>
      <c r="B493" s="27">
        <v>43985</v>
      </c>
      <c r="C493" s="6" t="s">
        <v>94</v>
      </c>
      <c r="D493" s="6" t="s">
        <v>95</v>
      </c>
      <c r="E493" s="21">
        <v>0.79166666666666663</v>
      </c>
      <c r="F493" s="21">
        <v>0.875</v>
      </c>
      <c r="G493" s="7" t="s">
        <v>27</v>
      </c>
      <c r="H493" s="7">
        <v>1</v>
      </c>
      <c r="I493" s="6" t="s">
        <v>49</v>
      </c>
      <c r="J493" s="7" t="s">
        <v>0</v>
      </c>
      <c r="K493" s="8" t="s">
        <v>0</v>
      </c>
    </row>
    <row r="494" spans="1:11" ht="16.5" customHeight="1" x14ac:dyDescent="0.25">
      <c r="A494" s="13">
        <f t="shared" si="27"/>
        <v>43988</v>
      </c>
      <c r="B494" s="14">
        <v>43988</v>
      </c>
      <c r="C494" s="15" t="s">
        <v>37</v>
      </c>
      <c r="D494" s="15" t="s">
        <v>7</v>
      </c>
      <c r="E494" s="22">
        <v>0.33333333333333331</v>
      </c>
      <c r="F494" s="22">
        <v>0.58333333333333337</v>
      </c>
      <c r="G494" s="16" t="s">
        <v>26</v>
      </c>
      <c r="H494" s="16" t="s">
        <v>0</v>
      </c>
      <c r="I494" s="15" t="s">
        <v>35</v>
      </c>
      <c r="J494" s="16" t="s">
        <v>6</v>
      </c>
      <c r="K494" s="16" t="s">
        <v>0</v>
      </c>
    </row>
    <row r="495" spans="1:11" ht="16.5" customHeight="1" x14ac:dyDescent="0.25">
      <c r="A495" s="13">
        <f t="shared" si="27"/>
        <v>43988</v>
      </c>
      <c r="B495" s="14">
        <v>43988</v>
      </c>
      <c r="C495" s="15" t="s">
        <v>34</v>
      </c>
      <c r="D495" s="15" t="s">
        <v>7</v>
      </c>
      <c r="E495" s="22">
        <v>0.33333333333333331</v>
      </c>
      <c r="F495" s="22">
        <v>0.58333333333333337</v>
      </c>
      <c r="G495" s="16" t="s">
        <v>26</v>
      </c>
      <c r="H495" s="16" t="s">
        <v>0</v>
      </c>
      <c r="I495" s="15" t="s">
        <v>35</v>
      </c>
      <c r="J495" s="16" t="s">
        <v>6</v>
      </c>
      <c r="K495" s="16" t="s">
        <v>36</v>
      </c>
    </row>
    <row r="496" spans="1:11" ht="16.5" customHeight="1" x14ac:dyDescent="0.25">
      <c r="A496" s="13">
        <f t="shared" si="27"/>
        <v>43988</v>
      </c>
      <c r="B496" s="14">
        <v>43988</v>
      </c>
      <c r="C496" s="15" t="s">
        <v>94</v>
      </c>
      <c r="D496" s="15" t="s">
        <v>95</v>
      </c>
      <c r="E496" s="22">
        <v>0.33333333333333331</v>
      </c>
      <c r="F496" s="22">
        <v>0.5</v>
      </c>
      <c r="G496" s="16" t="s">
        <v>27</v>
      </c>
      <c r="H496" s="16">
        <v>1</v>
      </c>
      <c r="I496" s="15" t="s">
        <v>49</v>
      </c>
      <c r="J496" s="16" t="s">
        <v>0</v>
      </c>
      <c r="K496" s="16" t="s">
        <v>0</v>
      </c>
    </row>
    <row r="497" spans="1:11" ht="16.5" customHeight="1" x14ac:dyDescent="0.25">
      <c r="A497" s="26">
        <f t="shared" si="27"/>
        <v>43992</v>
      </c>
      <c r="B497" s="27">
        <v>43992</v>
      </c>
      <c r="C497" s="6" t="s">
        <v>94</v>
      </c>
      <c r="D497" s="6" t="s">
        <v>95</v>
      </c>
      <c r="E497" s="21">
        <v>0.79166666666666663</v>
      </c>
      <c r="F497" s="21">
        <v>0.875</v>
      </c>
      <c r="G497" s="7" t="s">
        <v>27</v>
      </c>
      <c r="H497" s="7">
        <v>1</v>
      </c>
      <c r="I497" s="6" t="s">
        <v>49</v>
      </c>
      <c r="J497" s="7" t="s">
        <v>0</v>
      </c>
      <c r="K497" s="8" t="s">
        <v>0</v>
      </c>
    </row>
    <row r="498" spans="1:11" ht="16.5" customHeight="1" x14ac:dyDescent="0.25">
      <c r="A498" s="26">
        <f t="shared" si="27"/>
        <v>43999</v>
      </c>
      <c r="B498" s="27">
        <v>43999</v>
      </c>
      <c r="C498" s="6" t="s">
        <v>94</v>
      </c>
      <c r="D498" s="6" t="s">
        <v>95</v>
      </c>
      <c r="E498" s="21">
        <v>0.79166666666666663</v>
      </c>
      <c r="F498" s="21">
        <v>0.875</v>
      </c>
      <c r="G498" s="7" t="s">
        <v>27</v>
      </c>
      <c r="H498" s="7">
        <v>1</v>
      </c>
      <c r="I498" s="6" t="s">
        <v>49</v>
      </c>
      <c r="J498" s="7" t="s">
        <v>0</v>
      </c>
      <c r="K498" s="8" t="s">
        <v>0</v>
      </c>
    </row>
    <row r="499" spans="1:11" ht="16.5" customHeight="1" x14ac:dyDescent="0.25">
      <c r="A499" s="13">
        <f t="shared" si="27"/>
        <v>44002</v>
      </c>
      <c r="B499" s="14">
        <v>44002</v>
      </c>
      <c r="C499" s="15" t="s">
        <v>94</v>
      </c>
      <c r="D499" s="15" t="s">
        <v>95</v>
      </c>
      <c r="E499" s="22">
        <v>0.33333333333333331</v>
      </c>
      <c r="F499" s="22">
        <v>0.5</v>
      </c>
      <c r="G499" s="16" t="s">
        <v>27</v>
      </c>
      <c r="H499" s="16">
        <v>1</v>
      </c>
      <c r="I499" s="15" t="s">
        <v>49</v>
      </c>
      <c r="J499" s="16" t="s">
        <v>0</v>
      </c>
      <c r="K499" s="16" t="s">
        <v>0</v>
      </c>
    </row>
    <row r="500" spans="1:11" ht="16.5" customHeight="1" x14ac:dyDescent="0.25">
      <c r="A500" s="26">
        <f t="shared" si="27"/>
        <v>44006</v>
      </c>
      <c r="B500" s="27">
        <v>44006</v>
      </c>
      <c r="C500" s="6" t="s">
        <v>94</v>
      </c>
      <c r="D500" s="6" t="s">
        <v>95</v>
      </c>
      <c r="E500" s="21">
        <v>0.79166666666666663</v>
      </c>
      <c r="F500" s="21">
        <v>0.875</v>
      </c>
      <c r="G500" s="7" t="s">
        <v>27</v>
      </c>
      <c r="H500" s="7">
        <v>1</v>
      </c>
      <c r="I500" s="6" t="s">
        <v>49</v>
      </c>
      <c r="J500" s="7" t="s">
        <v>0</v>
      </c>
      <c r="K500" s="8" t="s">
        <v>0</v>
      </c>
    </row>
    <row r="501" spans="1:11" ht="16.5" customHeight="1" x14ac:dyDescent="0.25">
      <c r="A501" s="13">
        <f t="shared" si="27"/>
        <v>44009</v>
      </c>
      <c r="B501" s="14">
        <v>44009</v>
      </c>
      <c r="C501" s="15" t="s">
        <v>37</v>
      </c>
      <c r="D501" s="15" t="s">
        <v>7</v>
      </c>
      <c r="E501" s="22">
        <v>0.33333333333333331</v>
      </c>
      <c r="F501" s="22">
        <v>0.58333333333333337</v>
      </c>
      <c r="G501" s="16" t="s">
        <v>26</v>
      </c>
      <c r="H501" s="16" t="s">
        <v>0</v>
      </c>
      <c r="I501" s="15" t="s">
        <v>35</v>
      </c>
      <c r="J501" s="16" t="s">
        <v>6</v>
      </c>
      <c r="K501" s="16" t="s">
        <v>0</v>
      </c>
    </row>
    <row r="502" spans="1:11" ht="16.5" customHeight="1" x14ac:dyDescent="0.25">
      <c r="A502" s="13">
        <f t="shared" si="27"/>
        <v>44009</v>
      </c>
      <c r="B502" s="14">
        <v>44009</v>
      </c>
      <c r="C502" s="15" t="s">
        <v>34</v>
      </c>
      <c r="D502" s="15" t="s">
        <v>7</v>
      </c>
      <c r="E502" s="22">
        <v>0.33333333333333331</v>
      </c>
      <c r="F502" s="22">
        <v>0.58333333333333337</v>
      </c>
      <c r="G502" s="16" t="s">
        <v>26</v>
      </c>
      <c r="H502" s="16" t="s">
        <v>0</v>
      </c>
      <c r="I502" s="15" t="s">
        <v>35</v>
      </c>
      <c r="J502" s="16" t="s">
        <v>6</v>
      </c>
      <c r="K502" s="16" t="s">
        <v>36</v>
      </c>
    </row>
    <row r="503" spans="1:11" ht="16.5" customHeight="1" x14ac:dyDescent="0.25">
      <c r="A503" s="13">
        <f t="shared" ref="A503:A534" si="28">B503</f>
        <v>44009</v>
      </c>
      <c r="B503" s="14">
        <v>44009</v>
      </c>
      <c r="C503" s="15" t="s">
        <v>94</v>
      </c>
      <c r="D503" s="15" t="s">
        <v>95</v>
      </c>
      <c r="E503" s="22">
        <v>0.33333333333333331</v>
      </c>
      <c r="F503" s="22">
        <v>0.5</v>
      </c>
      <c r="G503" s="16" t="s">
        <v>27</v>
      </c>
      <c r="H503" s="16">
        <v>1</v>
      </c>
      <c r="I503" s="15" t="s">
        <v>49</v>
      </c>
      <c r="J503" s="16" t="s">
        <v>0</v>
      </c>
      <c r="K503" s="16" t="s">
        <v>0</v>
      </c>
    </row>
    <row r="504" spans="1:11" ht="16.5" customHeight="1" x14ac:dyDescent="0.25">
      <c r="A504" s="26">
        <f t="shared" si="28"/>
        <v>44013</v>
      </c>
      <c r="B504" s="27">
        <v>44013</v>
      </c>
      <c r="C504" s="6" t="s">
        <v>94</v>
      </c>
      <c r="D504" s="6" t="s">
        <v>95</v>
      </c>
      <c r="E504" s="21">
        <v>0.79166666666666663</v>
      </c>
      <c r="F504" s="21">
        <v>0.875</v>
      </c>
      <c r="G504" s="7" t="s">
        <v>27</v>
      </c>
      <c r="H504" s="7">
        <v>1</v>
      </c>
      <c r="I504" s="6" t="s">
        <v>49</v>
      </c>
      <c r="J504" s="7" t="s">
        <v>0</v>
      </c>
      <c r="K504" s="8" t="s">
        <v>0</v>
      </c>
    </row>
    <row r="505" spans="1:11" ht="16.5" customHeight="1" x14ac:dyDescent="0.25">
      <c r="A505" s="26">
        <f t="shared" si="28"/>
        <v>44020</v>
      </c>
      <c r="B505" s="27">
        <v>44020</v>
      </c>
      <c r="C505" s="6" t="s">
        <v>94</v>
      </c>
      <c r="D505" s="6" t="s">
        <v>95</v>
      </c>
      <c r="E505" s="21">
        <v>0.79166666666666663</v>
      </c>
      <c r="F505" s="21">
        <v>0.875</v>
      </c>
      <c r="G505" s="7" t="s">
        <v>27</v>
      </c>
      <c r="H505" s="7">
        <v>1</v>
      </c>
      <c r="I505" s="6" t="s">
        <v>49</v>
      </c>
      <c r="J505" s="7" t="s">
        <v>0</v>
      </c>
      <c r="K505" s="8" t="s">
        <v>0</v>
      </c>
    </row>
    <row r="506" spans="1:11" ht="16.5" customHeight="1" x14ac:dyDescent="0.25">
      <c r="A506" s="26">
        <f t="shared" si="28"/>
        <v>44027</v>
      </c>
      <c r="B506" s="27">
        <v>44027</v>
      </c>
      <c r="C506" s="6" t="s">
        <v>94</v>
      </c>
      <c r="D506" s="6" t="s">
        <v>95</v>
      </c>
      <c r="E506" s="21">
        <v>0.79166666666666663</v>
      </c>
      <c r="F506" s="21">
        <v>0.875</v>
      </c>
      <c r="G506" s="7" t="s">
        <v>27</v>
      </c>
      <c r="H506" s="7">
        <v>1</v>
      </c>
      <c r="I506" s="6" t="s">
        <v>49</v>
      </c>
      <c r="J506" s="7" t="s">
        <v>0</v>
      </c>
      <c r="K506" s="8" t="s">
        <v>0</v>
      </c>
    </row>
    <row r="507" spans="1:11" ht="16.5" customHeight="1" x14ac:dyDescent="0.25">
      <c r="A507" s="13">
        <f t="shared" si="28"/>
        <v>44030</v>
      </c>
      <c r="B507" s="14">
        <v>44030</v>
      </c>
      <c r="C507" s="15" t="s">
        <v>94</v>
      </c>
      <c r="D507" s="15" t="s">
        <v>95</v>
      </c>
      <c r="E507" s="22">
        <v>0.33333333333333331</v>
      </c>
      <c r="F507" s="22">
        <v>0.5</v>
      </c>
      <c r="G507" s="16" t="s">
        <v>27</v>
      </c>
      <c r="H507" s="16">
        <v>1</v>
      </c>
      <c r="I507" s="15" t="s">
        <v>49</v>
      </c>
      <c r="J507" s="16" t="s">
        <v>0</v>
      </c>
      <c r="K507" s="16" t="s">
        <v>0</v>
      </c>
    </row>
    <row r="508" spans="1:11" ht="16.5" customHeight="1" x14ac:dyDescent="0.25">
      <c r="A508" s="26">
        <f t="shared" si="28"/>
        <v>44034</v>
      </c>
      <c r="B508" s="27">
        <v>44034</v>
      </c>
      <c r="C508" s="6" t="s">
        <v>94</v>
      </c>
      <c r="D508" s="6" t="s">
        <v>95</v>
      </c>
      <c r="E508" s="21">
        <v>0.79166666666666663</v>
      </c>
      <c r="F508" s="21">
        <v>0.875</v>
      </c>
      <c r="G508" s="7" t="s">
        <v>27</v>
      </c>
      <c r="H508" s="7">
        <v>1</v>
      </c>
      <c r="I508" s="6" t="s">
        <v>49</v>
      </c>
      <c r="J508" s="7" t="s">
        <v>0</v>
      </c>
      <c r="K508" s="8" t="s">
        <v>0</v>
      </c>
    </row>
    <row r="509" spans="1:11" ht="16.5" customHeight="1" x14ac:dyDescent="0.25">
      <c r="A509" s="13">
        <f t="shared" si="28"/>
        <v>44037</v>
      </c>
      <c r="B509" s="14">
        <v>44037</v>
      </c>
      <c r="C509" s="15" t="s">
        <v>94</v>
      </c>
      <c r="D509" s="15" t="s">
        <v>95</v>
      </c>
      <c r="E509" s="22">
        <v>0.33333333333333331</v>
      </c>
      <c r="F509" s="22">
        <v>0.5</v>
      </c>
      <c r="G509" s="16" t="s">
        <v>27</v>
      </c>
      <c r="H509" s="16">
        <v>1</v>
      </c>
      <c r="I509" s="15" t="s">
        <v>49</v>
      </c>
      <c r="J509" s="16" t="s">
        <v>0</v>
      </c>
      <c r="K509" s="16" t="s">
        <v>0</v>
      </c>
    </row>
    <row r="510" spans="1:11" ht="16.5" customHeight="1" x14ac:dyDescent="0.25">
      <c r="A510" s="26">
        <f t="shared" si="28"/>
        <v>44041</v>
      </c>
      <c r="B510" s="27">
        <v>44041</v>
      </c>
      <c r="C510" s="6" t="s">
        <v>94</v>
      </c>
      <c r="D510" s="6" t="s">
        <v>95</v>
      </c>
      <c r="E510" s="21">
        <v>0.79166666666666663</v>
      </c>
      <c r="F510" s="21">
        <v>0.875</v>
      </c>
      <c r="G510" s="7" t="s">
        <v>27</v>
      </c>
      <c r="H510" s="7">
        <v>1</v>
      </c>
      <c r="I510" s="6" t="s">
        <v>49</v>
      </c>
      <c r="J510" s="7" t="s">
        <v>0</v>
      </c>
      <c r="K510" s="8" t="s">
        <v>0</v>
      </c>
    </row>
    <row r="511" spans="1:11" ht="16.5" customHeight="1" x14ac:dyDescent="0.25">
      <c r="A511" s="13">
        <f t="shared" si="28"/>
        <v>44044</v>
      </c>
      <c r="B511" s="14">
        <v>44044</v>
      </c>
      <c r="C511" s="15" t="s">
        <v>94</v>
      </c>
      <c r="D511" s="15" t="s">
        <v>95</v>
      </c>
      <c r="E511" s="22">
        <v>0.33333333333333331</v>
      </c>
      <c r="F511" s="22">
        <v>0.5</v>
      </c>
      <c r="G511" s="16" t="s">
        <v>27</v>
      </c>
      <c r="H511" s="16">
        <v>1</v>
      </c>
      <c r="I511" s="15" t="s">
        <v>49</v>
      </c>
      <c r="J511" s="16" t="s">
        <v>0</v>
      </c>
      <c r="K511" s="16" t="s">
        <v>0</v>
      </c>
    </row>
    <row r="512" spans="1:11" ht="16.5" customHeight="1" x14ac:dyDescent="0.25">
      <c r="A512" s="26">
        <f t="shared" si="28"/>
        <v>44048</v>
      </c>
      <c r="B512" s="27">
        <v>44048</v>
      </c>
      <c r="C512" s="6" t="s">
        <v>94</v>
      </c>
      <c r="D512" s="6" t="s">
        <v>95</v>
      </c>
      <c r="E512" s="21">
        <v>0.79166666666666663</v>
      </c>
      <c r="F512" s="21">
        <v>0.875</v>
      </c>
      <c r="G512" s="7" t="s">
        <v>27</v>
      </c>
      <c r="H512" s="7">
        <v>1</v>
      </c>
      <c r="I512" s="6" t="s">
        <v>49</v>
      </c>
      <c r="J512" s="7" t="s">
        <v>0</v>
      </c>
      <c r="K512" s="8" t="s">
        <v>0</v>
      </c>
    </row>
    <row r="513" spans="1:11" ht="16.5" customHeight="1" x14ac:dyDescent="0.25">
      <c r="A513" s="13">
        <f t="shared" si="28"/>
        <v>44051</v>
      </c>
      <c r="B513" s="14">
        <v>44051</v>
      </c>
      <c r="C513" s="15" t="s">
        <v>94</v>
      </c>
      <c r="D513" s="15" t="s">
        <v>95</v>
      </c>
      <c r="E513" s="22">
        <v>0.33333333333333331</v>
      </c>
      <c r="F513" s="22">
        <v>0.5</v>
      </c>
      <c r="G513" s="16" t="s">
        <v>27</v>
      </c>
      <c r="H513" s="16">
        <v>1</v>
      </c>
      <c r="I513" s="15" t="s">
        <v>49</v>
      </c>
      <c r="J513" s="16" t="s">
        <v>0</v>
      </c>
      <c r="K513" s="16" t="s">
        <v>0</v>
      </c>
    </row>
    <row r="514" spans="1:11" ht="16.5" customHeight="1" x14ac:dyDescent="0.25">
      <c r="A514" s="26">
        <f t="shared" si="28"/>
        <v>44055</v>
      </c>
      <c r="B514" s="27">
        <v>44055</v>
      </c>
      <c r="C514" s="6" t="s">
        <v>94</v>
      </c>
      <c r="D514" s="6" t="s">
        <v>95</v>
      </c>
      <c r="E514" s="21">
        <v>0.79166666666666663</v>
      </c>
      <c r="F514" s="21">
        <v>0.875</v>
      </c>
      <c r="G514" s="7" t="s">
        <v>27</v>
      </c>
      <c r="H514" s="7">
        <v>1</v>
      </c>
      <c r="I514" s="6" t="s">
        <v>49</v>
      </c>
      <c r="J514" s="7" t="s">
        <v>0</v>
      </c>
      <c r="K514" s="8" t="s">
        <v>0</v>
      </c>
    </row>
    <row r="515" spans="1:11" ht="16.5" customHeight="1" x14ac:dyDescent="0.25">
      <c r="A515" s="13">
        <f t="shared" si="28"/>
        <v>44058</v>
      </c>
      <c r="B515" s="14">
        <v>44058</v>
      </c>
      <c r="C515" s="15" t="s">
        <v>94</v>
      </c>
      <c r="D515" s="15" t="s">
        <v>95</v>
      </c>
      <c r="E515" s="22">
        <v>0.33333333333333331</v>
      </c>
      <c r="F515" s="22">
        <v>0.5</v>
      </c>
      <c r="G515" s="16" t="s">
        <v>27</v>
      </c>
      <c r="H515" s="16">
        <v>1</v>
      </c>
      <c r="I515" s="15" t="s">
        <v>49</v>
      </c>
      <c r="J515" s="16" t="s">
        <v>0</v>
      </c>
      <c r="K515" s="16" t="s">
        <v>0</v>
      </c>
    </row>
    <row r="516" spans="1:11" ht="16.5" customHeight="1" x14ac:dyDescent="0.25">
      <c r="A516" s="26">
        <f t="shared" si="28"/>
        <v>44062</v>
      </c>
      <c r="B516" s="27">
        <v>44062</v>
      </c>
      <c r="C516" s="6" t="s">
        <v>94</v>
      </c>
      <c r="D516" s="6" t="s">
        <v>95</v>
      </c>
      <c r="E516" s="21">
        <v>0.79166666666666663</v>
      </c>
      <c r="F516" s="21">
        <v>0.875</v>
      </c>
      <c r="G516" s="7" t="s">
        <v>27</v>
      </c>
      <c r="H516" s="7">
        <v>1</v>
      </c>
      <c r="I516" s="6" t="s">
        <v>49</v>
      </c>
      <c r="J516" s="7" t="s">
        <v>0</v>
      </c>
      <c r="K516" s="8" t="s">
        <v>0</v>
      </c>
    </row>
    <row r="517" spans="1:11" ht="16.5" customHeight="1" x14ac:dyDescent="0.25">
      <c r="A517" s="13">
        <f t="shared" si="28"/>
        <v>44065</v>
      </c>
      <c r="B517" s="14">
        <v>44065</v>
      </c>
      <c r="C517" s="15" t="s">
        <v>94</v>
      </c>
      <c r="D517" s="15" t="s">
        <v>95</v>
      </c>
      <c r="E517" s="22">
        <v>0.33333333333333331</v>
      </c>
      <c r="F517" s="22">
        <v>0.5</v>
      </c>
      <c r="G517" s="16" t="s">
        <v>27</v>
      </c>
      <c r="H517" s="16">
        <v>1</v>
      </c>
      <c r="I517" s="15" t="s">
        <v>49</v>
      </c>
      <c r="J517" s="16" t="s">
        <v>0</v>
      </c>
      <c r="K517" s="16" t="s">
        <v>0</v>
      </c>
    </row>
    <row r="518" spans="1:11" ht="16.5" customHeight="1" x14ac:dyDescent="0.25">
      <c r="A518" s="26">
        <f t="shared" si="28"/>
        <v>44069</v>
      </c>
      <c r="B518" s="27">
        <v>44069</v>
      </c>
      <c r="C518" s="6" t="s">
        <v>94</v>
      </c>
      <c r="D518" s="6" t="s">
        <v>95</v>
      </c>
      <c r="E518" s="21">
        <v>0.79166666666666663</v>
      </c>
      <c r="F518" s="21">
        <v>0.875</v>
      </c>
      <c r="G518" s="7" t="s">
        <v>27</v>
      </c>
      <c r="H518" s="7">
        <v>1</v>
      </c>
      <c r="I518" s="6" t="s">
        <v>49</v>
      </c>
      <c r="J518" s="7" t="s">
        <v>0</v>
      </c>
      <c r="K518" s="8" t="s">
        <v>0</v>
      </c>
    </row>
    <row r="519" spans="1:11" ht="16.5" customHeight="1" x14ac:dyDescent="0.25">
      <c r="A519" s="13">
        <f t="shared" si="28"/>
        <v>44072</v>
      </c>
      <c r="B519" s="14">
        <v>44072</v>
      </c>
      <c r="C519" s="15" t="s">
        <v>94</v>
      </c>
      <c r="D519" s="15" t="s">
        <v>95</v>
      </c>
      <c r="E519" s="22">
        <v>0.33333333333333331</v>
      </c>
      <c r="F519" s="22">
        <v>0.5</v>
      </c>
      <c r="G519" s="16" t="s">
        <v>27</v>
      </c>
      <c r="H519" s="16">
        <v>1</v>
      </c>
      <c r="I519" s="15" t="s">
        <v>49</v>
      </c>
      <c r="J519" s="16" t="s">
        <v>0</v>
      </c>
      <c r="K519" s="16" t="s">
        <v>0</v>
      </c>
    </row>
    <row r="520" spans="1:11" ht="16.5" customHeight="1" x14ac:dyDescent="0.25">
      <c r="A520" s="26">
        <f t="shared" si="28"/>
        <v>44076</v>
      </c>
      <c r="B520" s="27">
        <v>44076</v>
      </c>
      <c r="C520" s="6" t="s">
        <v>94</v>
      </c>
      <c r="D520" s="6" t="s">
        <v>95</v>
      </c>
      <c r="E520" s="21">
        <v>0.79166666666666663</v>
      </c>
      <c r="F520" s="21">
        <v>0.875</v>
      </c>
      <c r="G520" s="7" t="s">
        <v>27</v>
      </c>
      <c r="H520" s="7">
        <v>1</v>
      </c>
      <c r="I520" s="6" t="s">
        <v>49</v>
      </c>
      <c r="J520" s="7" t="s">
        <v>0</v>
      </c>
      <c r="K520" s="8" t="s">
        <v>0</v>
      </c>
    </row>
    <row r="521" spans="1:11" ht="16.5" customHeight="1" x14ac:dyDescent="0.25">
      <c r="A521" s="13">
        <f t="shared" si="28"/>
        <v>44079</v>
      </c>
      <c r="B521" s="14">
        <v>44079</v>
      </c>
      <c r="C521" s="15" t="s">
        <v>94</v>
      </c>
      <c r="D521" s="15" t="s">
        <v>95</v>
      </c>
      <c r="E521" s="22">
        <v>0.33333333333333331</v>
      </c>
      <c r="F521" s="22">
        <v>0.5</v>
      </c>
      <c r="G521" s="16" t="s">
        <v>27</v>
      </c>
      <c r="H521" s="16">
        <v>1</v>
      </c>
      <c r="I521" s="15" t="s">
        <v>49</v>
      </c>
      <c r="J521" s="16" t="s">
        <v>0</v>
      </c>
      <c r="K521" s="16" t="s">
        <v>0</v>
      </c>
    </row>
    <row r="522" spans="1:11" ht="16.5" customHeight="1" x14ac:dyDescent="0.25">
      <c r="A522" s="26">
        <f t="shared" si="28"/>
        <v>44083</v>
      </c>
      <c r="B522" s="27">
        <v>44083</v>
      </c>
      <c r="C522" s="6" t="s">
        <v>94</v>
      </c>
      <c r="D522" s="6" t="s">
        <v>95</v>
      </c>
      <c r="E522" s="21">
        <v>0.79166666666666663</v>
      </c>
      <c r="F522" s="21">
        <v>0.875</v>
      </c>
      <c r="G522" s="7" t="s">
        <v>27</v>
      </c>
      <c r="H522" s="7">
        <v>1</v>
      </c>
      <c r="I522" s="6" t="s">
        <v>49</v>
      </c>
      <c r="J522" s="7" t="s">
        <v>0</v>
      </c>
      <c r="K522" s="8" t="s">
        <v>0</v>
      </c>
    </row>
    <row r="523" spans="1:11" ht="16.5" customHeight="1" x14ac:dyDescent="0.25">
      <c r="A523" s="13">
        <f t="shared" si="28"/>
        <v>44086</v>
      </c>
      <c r="B523" s="14">
        <v>44086</v>
      </c>
      <c r="C523" s="15" t="s">
        <v>94</v>
      </c>
      <c r="D523" s="15" t="s">
        <v>95</v>
      </c>
      <c r="E523" s="22">
        <v>0.33333333333333331</v>
      </c>
      <c r="F523" s="22">
        <v>0.5</v>
      </c>
      <c r="G523" s="16" t="s">
        <v>27</v>
      </c>
      <c r="H523" s="16">
        <v>1</v>
      </c>
      <c r="I523" s="15" t="s">
        <v>49</v>
      </c>
      <c r="J523" s="16" t="s">
        <v>0</v>
      </c>
      <c r="K523" s="16" t="s">
        <v>0</v>
      </c>
    </row>
    <row r="524" spans="1:11" ht="16.5" customHeight="1" x14ac:dyDescent="0.25">
      <c r="A524" s="26">
        <f t="shared" si="28"/>
        <v>44090</v>
      </c>
      <c r="B524" s="27">
        <v>44090</v>
      </c>
      <c r="C524" s="6" t="s">
        <v>94</v>
      </c>
      <c r="D524" s="6" t="s">
        <v>95</v>
      </c>
      <c r="E524" s="21">
        <v>0.79166666666666663</v>
      </c>
      <c r="F524" s="21">
        <v>0.875</v>
      </c>
      <c r="G524" s="7" t="s">
        <v>27</v>
      </c>
      <c r="H524" s="7">
        <v>1</v>
      </c>
      <c r="I524" s="6" t="s">
        <v>49</v>
      </c>
      <c r="J524" s="7" t="s">
        <v>0</v>
      </c>
      <c r="K524" s="8" t="s">
        <v>0</v>
      </c>
    </row>
    <row r="525" spans="1:11" ht="16.5" customHeight="1" x14ac:dyDescent="0.25">
      <c r="A525" s="13">
        <f t="shared" si="28"/>
        <v>44093</v>
      </c>
      <c r="B525" s="14">
        <v>44093</v>
      </c>
      <c r="C525" s="15" t="s">
        <v>94</v>
      </c>
      <c r="D525" s="15" t="s">
        <v>95</v>
      </c>
      <c r="E525" s="22">
        <v>0.33333333333333331</v>
      </c>
      <c r="F525" s="22">
        <v>0.5</v>
      </c>
      <c r="G525" s="16" t="s">
        <v>27</v>
      </c>
      <c r="H525" s="16">
        <v>1</v>
      </c>
      <c r="I525" s="15" t="s">
        <v>49</v>
      </c>
      <c r="J525" s="16" t="s">
        <v>0</v>
      </c>
      <c r="K525" s="16" t="s">
        <v>0</v>
      </c>
    </row>
    <row r="526" spans="1:11" ht="16.5" customHeight="1" x14ac:dyDescent="0.25">
      <c r="A526" s="26">
        <f t="shared" si="28"/>
        <v>44097</v>
      </c>
      <c r="B526" s="27">
        <v>44097</v>
      </c>
      <c r="C526" s="6" t="s">
        <v>94</v>
      </c>
      <c r="D526" s="6" t="s">
        <v>95</v>
      </c>
      <c r="E526" s="21">
        <v>0.79166666666666663</v>
      </c>
      <c r="F526" s="21">
        <v>0.875</v>
      </c>
      <c r="G526" s="7" t="s">
        <v>27</v>
      </c>
      <c r="H526" s="7">
        <v>1</v>
      </c>
      <c r="I526" s="6" t="s">
        <v>49</v>
      </c>
      <c r="J526" s="7" t="s">
        <v>0</v>
      </c>
      <c r="K526" s="8" t="s">
        <v>0</v>
      </c>
    </row>
    <row r="527" spans="1:11" ht="16.5" customHeight="1" x14ac:dyDescent="0.25">
      <c r="A527" s="13">
        <f t="shared" si="28"/>
        <v>44100</v>
      </c>
      <c r="B527" s="14">
        <v>44100</v>
      </c>
      <c r="C527" s="15" t="s">
        <v>94</v>
      </c>
      <c r="D527" s="15" t="s">
        <v>95</v>
      </c>
      <c r="E527" s="22">
        <v>0.33333333333333331</v>
      </c>
      <c r="F527" s="22">
        <v>0.5</v>
      </c>
      <c r="G527" s="16" t="s">
        <v>27</v>
      </c>
      <c r="H527" s="16">
        <v>1</v>
      </c>
      <c r="I527" s="15" t="s">
        <v>49</v>
      </c>
      <c r="J527" s="16" t="s">
        <v>0</v>
      </c>
      <c r="K527" s="16" t="s">
        <v>0</v>
      </c>
    </row>
    <row r="528" spans="1:11" ht="16.5" customHeight="1" x14ac:dyDescent="0.25">
      <c r="A528" s="26">
        <f t="shared" si="28"/>
        <v>44104</v>
      </c>
      <c r="B528" s="27">
        <v>44104</v>
      </c>
      <c r="C528" s="6" t="s">
        <v>94</v>
      </c>
      <c r="D528" s="6" t="s">
        <v>95</v>
      </c>
      <c r="E528" s="21">
        <v>0.79166666666666663</v>
      </c>
      <c r="F528" s="21">
        <v>0.875</v>
      </c>
      <c r="G528" s="7" t="s">
        <v>27</v>
      </c>
      <c r="H528" s="7">
        <v>1</v>
      </c>
      <c r="I528" s="6" t="s">
        <v>49</v>
      </c>
      <c r="J528" s="7" t="s">
        <v>0</v>
      </c>
      <c r="K528" s="8" t="s">
        <v>0</v>
      </c>
    </row>
    <row r="529" spans="1:11" ht="16.5" customHeight="1" x14ac:dyDescent="0.25">
      <c r="A529" s="13">
        <f t="shared" si="28"/>
        <v>44107</v>
      </c>
      <c r="B529" s="14">
        <v>44107</v>
      </c>
      <c r="C529" s="15" t="s">
        <v>94</v>
      </c>
      <c r="D529" s="15" t="s">
        <v>95</v>
      </c>
      <c r="E529" s="22">
        <v>0.33333333333333331</v>
      </c>
      <c r="F529" s="22">
        <v>0.5</v>
      </c>
      <c r="G529" s="16" t="s">
        <v>27</v>
      </c>
      <c r="H529" s="16">
        <v>1</v>
      </c>
      <c r="I529" s="15" t="s">
        <v>49</v>
      </c>
      <c r="J529" s="16" t="s">
        <v>0</v>
      </c>
      <c r="K529" s="16" t="s">
        <v>0</v>
      </c>
    </row>
    <row r="530" spans="1:11" ht="16.5" customHeight="1" x14ac:dyDescent="0.25">
      <c r="A530" s="26">
        <f t="shared" si="28"/>
        <v>44111</v>
      </c>
      <c r="B530" s="27">
        <v>44111</v>
      </c>
      <c r="C530" s="6" t="s">
        <v>94</v>
      </c>
      <c r="D530" s="6" t="s">
        <v>95</v>
      </c>
      <c r="E530" s="21">
        <v>0.79166666666666663</v>
      </c>
      <c r="F530" s="21">
        <v>0.875</v>
      </c>
      <c r="G530" s="7" t="s">
        <v>27</v>
      </c>
      <c r="H530" s="7">
        <v>1</v>
      </c>
      <c r="I530" s="6" t="s">
        <v>49</v>
      </c>
      <c r="J530" s="7" t="s">
        <v>0</v>
      </c>
      <c r="K530" s="8" t="s">
        <v>0</v>
      </c>
    </row>
    <row r="531" spans="1:11" ht="16.5" customHeight="1" x14ac:dyDescent="0.25">
      <c r="A531" s="13">
        <f t="shared" si="28"/>
        <v>44114</v>
      </c>
      <c r="B531" s="14">
        <v>44114</v>
      </c>
      <c r="C531" s="15" t="s">
        <v>94</v>
      </c>
      <c r="D531" s="15" t="s">
        <v>95</v>
      </c>
      <c r="E531" s="22">
        <v>0.33333333333333331</v>
      </c>
      <c r="F531" s="22">
        <v>0.5</v>
      </c>
      <c r="G531" s="16" t="s">
        <v>27</v>
      </c>
      <c r="H531" s="16">
        <v>1</v>
      </c>
      <c r="I531" s="15" t="s">
        <v>49</v>
      </c>
      <c r="J531" s="16" t="s">
        <v>0</v>
      </c>
      <c r="K531" s="16" t="s">
        <v>0</v>
      </c>
    </row>
    <row r="532" spans="1:11" ht="16.5" customHeight="1" x14ac:dyDescent="0.25">
      <c r="A532" s="26">
        <f t="shared" si="28"/>
        <v>44118</v>
      </c>
      <c r="B532" s="27">
        <v>44118</v>
      </c>
      <c r="C532" s="6" t="s">
        <v>94</v>
      </c>
      <c r="D532" s="6" t="s">
        <v>95</v>
      </c>
      <c r="E532" s="21">
        <v>0.79166666666666663</v>
      </c>
      <c r="F532" s="21">
        <v>0.875</v>
      </c>
      <c r="G532" s="7" t="s">
        <v>27</v>
      </c>
      <c r="H532" s="7">
        <v>1</v>
      </c>
      <c r="I532" s="6" t="s">
        <v>49</v>
      </c>
      <c r="J532" s="7" t="s">
        <v>0</v>
      </c>
      <c r="K532" s="8" t="s">
        <v>0</v>
      </c>
    </row>
    <row r="533" spans="1:11" ht="16.5" customHeight="1" x14ac:dyDescent="0.25">
      <c r="A533" s="13">
        <f t="shared" si="28"/>
        <v>44121</v>
      </c>
      <c r="B533" s="14">
        <v>44121</v>
      </c>
      <c r="C533" s="15" t="s">
        <v>94</v>
      </c>
      <c r="D533" s="15" t="s">
        <v>95</v>
      </c>
      <c r="E533" s="22">
        <v>0.33333333333333331</v>
      </c>
      <c r="F533" s="22">
        <v>0.5</v>
      </c>
      <c r="G533" s="16" t="s">
        <v>27</v>
      </c>
      <c r="H533" s="16">
        <v>1</v>
      </c>
      <c r="I533" s="15" t="s">
        <v>49</v>
      </c>
      <c r="J533" s="16" t="s">
        <v>0</v>
      </c>
      <c r="K533" s="16" t="s">
        <v>0</v>
      </c>
    </row>
    <row r="534" spans="1:11" ht="16.5" customHeight="1" x14ac:dyDescent="0.25">
      <c r="A534" s="26">
        <f t="shared" si="28"/>
        <v>44125</v>
      </c>
      <c r="B534" s="27">
        <v>44125</v>
      </c>
      <c r="C534" s="6" t="s">
        <v>94</v>
      </c>
      <c r="D534" s="6" t="s">
        <v>95</v>
      </c>
      <c r="E534" s="21">
        <v>0.79166666666666663</v>
      </c>
      <c r="F534" s="21">
        <v>0.875</v>
      </c>
      <c r="G534" s="7" t="s">
        <v>27</v>
      </c>
      <c r="H534" s="7">
        <v>1</v>
      </c>
      <c r="I534" s="6" t="s">
        <v>49</v>
      </c>
      <c r="J534" s="7" t="s">
        <v>0</v>
      </c>
      <c r="K534" s="8" t="s">
        <v>0</v>
      </c>
    </row>
    <row r="535" spans="1:11" ht="16.5" customHeight="1" x14ac:dyDescent="0.25">
      <c r="A535" s="26">
        <f t="shared" ref="A535:A547" si="29">B535</f>
        <v>44139</v>
      </c>
      <c r="B535" s="27">
        <v>44139</v>
      </c>
      <c r="C535" s="6" t="s">
        <v>94</v>
      </c>
      <c r="D535" s="6" t="s">
        <v>95</v>
      </c>
      <c r="E535" s="21">
        <v>0.79166666666666663</v>
      </c>
      <c r="F535" s="21">
        <v>0.875</v>
      </c>
      <c r="G535" s="7" t="s">
        <v>27</v>
      </c>
      <c r="H535" s="7">
        <v>1</v>
      </c>
      <c r="I535" s="6" t="s">
        <v>49</v>
      </c>
      <c r="J535" s="7" t="s">
        <v>0</v>
      </c>
      <c r="K535" s="8" t="s">
        <v>0</v>
      </c>
    </row>
    <row r="536" spans="1:11" ht="16.5" customHeight="1" x14ac:dyDescent="0.25">
      <c r="A536" s="13">
        <f t="shared" si="29"/>
        <v>44142</v>
      </c>
      <c r="B536" s="14">
        <v>44142</v>
      </c>
      <c r="C536" s="15" t="s">
        <v>94</v>
      </c>
      <c r="D536" s="15" t="s">
        <v>95</v>
      </c>
      <c r="E536" s="22">
        <v>0.33333333333333331</v>
      </c>
      <c r="F536" s="22">
        <v>0.5</v>
      </c>
      <c r="G536" s="16" t="s">
        <v>27</v>
      </c>
      <c r="H536" s="16">
        <v>1</v>
      </c>
      <c r="I536" s="15" t="s">
        <v>49</v>
      </c>
      <c r="J536" s="16" t="s">
        <v>0</v>
      </c>
      <c r="K536" s="16" t="s">
        <v>0</v>
      </c>
    </row>
    <row r="537" spans="1:11" ht="16.5" customHeight="1" x14ac:dyDescent="0.25">
      <c r="A537" s="26">
        <f t="shared" si="29"/>
        <v>44146</v>
      </c>
      <c r="B537" s="27">
        <v>44146</v>
      </c>
      <c r="C537" s="6" t="s">
        <v>94</v>
      </c>
      <c r="D537" s="6" t="s">
        <v>95</v>
      </c>
      <c r="E537" s="21">
        <v>0.79166666666666663</v>
      </c>
      <c r="F537" s="21">
        <v>0.875</v>
      </c>
      <c r="G537" s="7" t="s">
        <v>27</v>
      </c>
      <c r="H537" s="7">
        <v>1</v>
      </c>
      <c r="I537" s="6" t="s">
        <v>49</v>
      </c>
      <c r="J537" s="7" t="s">
        <v>0</v>
      </c>
      <c r="K537" s="8" t="s">
        <v>0</v>
      </c>
    </row>
    <row r="538" spans="1:11" ht="16.5" customHeight="1" x14ac:dyDescent="0.25">
      <c r="A538" s="13">
        <f t="shared" si="29"/>
        <v>44149</v>
      </c>
      <c r="B538" s="14">
        <v>44149</v>
      </c>
      <c r="C538" s="15" t="s">
        <v>94</v>
      </c>
      <c r="D538" s="15" t="s">
        <v>95</v>
      </c>
      <c r="E538" s="22">
        <v>0.33333333333333331</v>
      </c>
      <c r="F538" s="22">
        <v>0.5</v>
      </c>
      <c r="G538" s="16" t="s">
        <v>27</v>
      </c>
      <c r="H538" s="16">
        <v>1</v>
      </c>
      <c r="I538" s="15" t="s">
        <v>49</v>
      </c>
      <c r="J538" s="16" t="s">
        <v>0</v>
      </c>
      <c r="K538" s="16" t="s">
        <v>0</v>
      </c>
    </row>
    <row r="539" spans="1:11" ht="16.5" customHeight="1" x14ac:dyDescent="0.25">
      <c r="A539" s="26">
        <f t="shared" si="29"/>
        <v>44153</v>
      </c>
      <c r="B539" s="27">
        <v>44153</v>
      </c>
      <c r="C539" s="6" t="s">
        <v>94</v>
      </c>
      <c r="D539" s="6" t="s">
        <v>95</v>
      </c>
      <c r="E539" s="21">
        <v>0.79166666666666663</v>
      </c>
      <c r="F539" s="21">
        <v>0.875</v>
      </c>
      <c r="G539" s="7" t="s">
        <v>27</v>
      </c>
      <c r="H539" s="7">
        <v>1</v>
      </c>
      <c r="I539" s="6" t="s">
        <v>49</v>
      </c>
      <c r="J539" s="7" t="s">
        <v>0</v>
      </c>
      <c r="K539" s="8" t="s">
        <v>0</v>
      </c>
    </row>
    <row r="540" spans="1:11" ht="16.5" customHeight="1" x14ac:dyDescent="0.25">
      <c r="A540" s="26">
        <f t="shared" si="29"/>
        <v>44160</v>
      </c>
      <c r="B540" s="27">
        <v>44160</v>
      </c>
      <c r="C540" s="6" t="s">
        <v>94</v>
      </c>
      <c r="D540" s="6" t="s">
        <v>95</v>
      </c>
      <c r="E540" s="21">
        <v>0.79166666666666663</v>
      </c>
      <c r="F540" s="21">
        <v>0.875</v>
      </c>
      <c r="G540" s="7" t="s">
        <v>27</v>
      </c>
      <c r="H540" s="7">
        <v>1</v>
      </c>
      <c r="I540" s="6" t="s">
        <v>49</v>
      </c>
      <c r="J540" s="7" t="s">
        <v>0</v>
      </c>
      <c r="K540" s="8" t="s">
        <v>0</v>
      </c>
    </row>
    <row r="541" spans="1:11" ht="16.5" customHeight="1" x14ac:dyDescent="0.25">
      <c r="A541" s="13">
        <f t="shared" si="29"/>
        <v>44163</v>
      </c>
      <c r="B541" s="14">
        <v>44163</v>
      </c>
      <c r="C541" s="15" t="s">
        <v>94</v>
      </c>
      <c r="D541" s="15" t="s">
        <v>95</v>
      </c>
      <c r="E541" s="22">
        <v>0.33333333333333331</v>
      </c>
      <c r="F541" s="22">
        <v>0.5</v>
      </c>
      <c r="G541" s="16" t="s">
        <v>27</v>
      </c>
      <c r="H541" s="16">
        <v>1</v>
      </c>
      <c r="I541" s="15" t="s">
        <v>49</v>
      </c>
      <c r="J541" s="16" t="s">
        <v>0</v>
      </c>
      <c r="K541" s="16" t="s">
        <v>0</v>
      </c>
    </row>
    <row r="542" spans="1:11" ht="16.5" customHeight="1" x14ac:dyDescent="0.25">
      <c r="A542" s="26">
        <f t="shared" si="29"/>
        <v>44167</v>
      </c>
      <c r="B542" s="27">
        <v>44167</v>
      </c>
      <c r="C542" s="6" t="s">
        <v>94</v>
      </c>
      <c r="D542" s="6" t="s">
        <v>95</v>
      </c>
      <c r="E542" s="21">
        <v>0.79166666666666663</v>
      </c>
      <c r="F542" s="21">
        <v>0.875</v>
      </c>
      <c r="G542" s="7" t="s">
        <v>27</v>
      </c>
      <c r="H542" s="7">
        <v>1</v>
      </c>
      <c r="I542" s="6" t="s">
        <v>49</v>
      </c>
      <c r="J542" s="7" t="s">
        <v>0</v>
      </c>
      <c r="K542" s="8" t="s">
        <v>0</v>
      </c>
    </row>
    <row r="543" spans="1:11" ht="16.5" customHeight="1" x14ac:dyDescent="0.25">
      <c r="A543" s="13">
        <f t="shared" si="29"/>
        <v>44170</v>
      </c>
      <c r="B543" s="14">
        <v>44170</v>
      </c>
      <c r="C543" s="15" t="s">
        <v>94</v>
      </c>
      <c r="D543" s="15" t="s">
        <v>95</v>
      </c>
      <c r="E543" s="22">
        <v>0.33333333333333331</v>
      </c>
      <c r="F543" s="22">
        <v>0.5</v>
      </c>
      <c r="G543" s="16" t="s">
        <v>27</v>
      </c>
      <c r="H543" s="16">
        <v>1</v>
      </c>
      <c r="I543" s="15" t="s">
        <v>49</v>
      </c>
      <c r="J543" s="16" t="s">
        <v>0</v>
      </c>
      <c r="K543" s="16" t="s">
        <v>0</v>
      </c>
    </row>
    <row r="544" spans="1:11" ht="16.5" customHeight="1" x14ac:dyDescent="0.25">
      <c r="A544" s="26">
        <f t="shared" si="29"/>
        <v>44174</v>
      </c>
      <c r="B544" s="27">
        <v>44174</v>
      </c>
      <c r="C544" s="6" t="s">
        <v>94</v>
      </c>
      <c r="D544" s="6" t="s">
        <v>95</v>
      </c>
      <c r="E544" s="21">
        <v>0.79166666666666663</v>
      </c>
      <c r="F544" s="21">
        <v>0.875</v>
      </c>
      <c r="G544" s="7" t="s">
        <v>27</v>
      </c>
      <c r="H544" s="7">
        <v>1</v>
      </c>
      <c r="I544" s="6" t="s">
        <v>49</v>
      </c>
      <c r="J544" s="7" t="s">
        <v>0</v>
      </c>
      <c r="K544" s="8" t="s">
        <v>0</v>
      </c>
    </row>
    <row r="545" spans="1:11" ht="16.5" customHeight="1" x14ac:dyDescent="0.25">
      <c r="A545" s="13">
        <f t="shared" si="29"/>
        <v>44177</v>
      </c>
      <c r="B545" s="14">
        <v>44177</v>
      </c>
      <c r="C545" s="15" t="s">
        <v>94</v>
      </c>
      <c r="D545" s="15" t="s">
        <v>95</v>
      </c>
      <c r="E545" s="22">
        <v>0.33333333333333331</v>
      </c>
      <c r="F545" s="22">
        <v>0.5</v>
      </c>
      <c r="G545" s="16" t="s">
        <v>27</v>
      </c>
      <c r="H545" s="16">
        <v>1</v>
      </c>
      <c r="I545" s="15" t="s">
        <v>49</v>
      </c>
      <c r="J545" s="16" t="s">
        <v>0</v>
      </c>
      <c r="K545" s="16" t="s">
        <v>0</v>
      </c>
    </row>
    <row r="546" spans="1:11" ht="16.5" customHeight="1" x14ac:dyDescent="0.25">
      <c r="A546" s="26">
        <f t="shared" si="29"/>
        <v>44181</v>
      </c>
      <c r="B546" s="27">
        <v>44181</v>
      </c>
      <c r="C546" s="6" t="s">
        <v>94</v>
      </c>
      <c r="D546" s="6" t="s">
        <v>95</v>
      </c>
      <c r="E546" s="21">
        <v>0.79166666666666663</v>
      </c>
      <c r="F546" s="21">
        <v>0.875</v>
      </c>
      <c r="G546" s="7" t="s">
        <v>27</v>
      </c>
      <c r="H546" s="7">
        <v>1</v>
      </c>
      <c r="I546" s="6" t="s">
        <v>49</v>
      </c>
      <c r="J546" s="7" t="s">
        <v>0</v>
      </c>
      <c r="K546" s="8" t="s">
        <v>0</v>
      </c>
    </row>
    <row r="547" spans="1:11" ht="16.5" customHeight="1" x14ac:dyDescent="0.25">
      <c r="A547" s="13">
        <f t="shared" si="29"/>
        <v>44184</v>
      </c>
      <c r="B547" s="14">
        <v>44184</v>
      </c>
      <c r="C547" s="15" t="s">
        <v>94</v>
      </c>
      <c r="D547" s="15" t="s">
        <v>95</v>
      </c>
      <c r="E547" s="22">
        <v>0.33333333333333331</v>
      </c>
      <c r="F547" s="22">
        <v>0.5</v>
      </c>
      <c r="G547" s="16" t="s">
        <v>27</v>
      </c>
      <c r="H547" s="16">
        <v>1</v>
      </c>
      <c r="I547" s="15" t="s">
        <v>49</v>
      </c>
      <c r="J547" s="16" t="s">
        <v>0</v>
      </c>
      <c r="K547" s="16" t="s">
        <v>0</v>
      </c>
    </row>
  </sheetData>
  <conditionalFormatting sqref="B33:B46 B146:B147 B71:B75 B7:B8 B24:B29 B49:B52 B86:B92 B107:B110 B150:B152 B161:B163 B184:B186 B201:B203 B211:B213 B218:B225 B238:B240 B245:B247 B256:B258 B265:B267 B295:B296 B306:B308 B314:B316 B321:B323 B329:B331 B10:B15 B112 B118:B132 B143:B144 B154:B159 B165:B167 B180:B182 B188:B192 B194:B199 B205:B209 B227:B229 B242:B243 B260:B263 B269:B271 B273:B287 B289:B293 B298:B304 B310:B312 B318:B319 B325:B327 B333:B335 B343:B344 B347 B350:B351 B354 B357:B359 B364:B366 B371:B373 B376:B378 B383:B384 B388:B389 B394:B395 B400:B401 B407:B408 B337:B338 B114:B116 B18:B19 B172:B178 B56:B59 B249:B254 B231:B236 B215:B216 B169:B170 B136:B140 B78:B83 B64 B94:B104">
    <cfRule type="cellIs" dxfId="161" priority="180" operator="lessThan">
      <formula>$XFC$1</formula>
    </cfRule>
  </conditionalFormatting>
  <conditionalFormatting sqref="B32">
    <cfRule type="cellIs" dxfId="160" priority="173" operator="lessThan">
      <formula>$XFC$1</formula>
    </cfRule>
  </conditionalFormatting>
  <conditionalFormatting sqref="B145">
    <cfRule type="cellIs" dxfId="159" priority="171" operator="lessThan">
      <formula>$XFC$1</formula>
    </cfRule>
  </conditionalFormatting>
  <conditionalFormatting sqref="B2:B6">
    <cfRule type="cellIs" dxfId="158" priority="168" operator="lessThan">
      <formula>$XFC$1</formula>
    </cfRule>
  </conditionalFormatting>
  <conditionalFormatting sqref="B20:B21">
    <cfRule type="cellIs" dxfId="157" priority="166" operator="lessThan">
      <formula>$XFC$1</formula>
    </cfRule>
  </conditionalFormatting>
  <conditionalFormatting sqref="B47">
    <cfRule type="cellIs" dxfId="156" priority="165" operator="lessThan">
      <formula>$XFC$1</formula>
    </cfRule>
  </conditionalFormatting>
  <conditionalFormatting sqref="B60:B63">
    <cfRule type="cellIs" dxfId="155" priority="164" operator="lessThan">
      <formula>$XFC$1</formula>
    </cfRule>
  </conditionalFormatting>
  <conditionalFormatting sqref="B84">
    <cfRule type="cellIs" dxfId="154" priority="163" operator="lessThan">
      <formula>$XFC$1</formula>
    </cfRule>
  </conditionalFormatting>
  <conditionalFormatting sqref="B105">
    <cfRule type="cellIs" dxfId="153" priority="162" operator="lessThan">
      <formula>$XFC$1</formula>
    </cfRule>
  </conditionalFormatting>
  <conditionalFormatting sqref="B133">
    <cfRule type="cellIs" dxfId="152" priority="161" operator="lessThan">
      <formula>$XFC$1</formula>
    </cfRule>
  </conditionalFormatting>
  <conditionalFormatting sqref="B22">
    <cfRule type="cellIs" dxfId="151" priority="159" operator="lessThan">
      <formula>$XFC$1</formula>
    </cfRule>
  </conditionalFormatting>
  <conditionalFormatting sqref="B48">
    <cfRule type="cellIs" dxfId="150" priority="158" operator="lessThan">
      <formula>$XFC$1</formula>
    </cfRule>
  </conditionalFormatting>
  <conditionalFormatting sqref="B85">
    <cfRule type="cellIs" dxfId="149" priority="156" operator="lessThan">
      <formula>$XFC$1</formula>
    </cfRule>
  </conditionalFormatting>
  <conditionalFormatting sqref="B106">
    <cfRule type="cellIs" dxfId="148" priority="155" operator="lessThan">
      <formula>$XFC$1</formula>
    </cfRule>
  </conditionalFormatting>
  <conditionalFormatting sqref="B134:B135">
    <cfRule type="cellIs" dxfId="147" priority="154" operator="lessThan">
      <formula>$XFC$1</formula>
    </cfRule>
  </conditionalFormatting>
  <conditionalFormatting sqref="B148">
    <cfRule type="cellIs" dxfId="146" priority="153" operator="lessThan">
      <formula>$XFC$1</formula>
    </cfRule>
  </conditionalFormatting>
  <conditionalFormatting sqref="B160">
    <cfRule type="cellIs" dxfId="145" priority="152" operator="lessThan">
      <formula>$XFC$1</formula>
    </cfRule>
  </conditionalFormatting>
  <conditionalFormatting sqref="B168">
    <cfRule type="cellIs" dxfId="144" priority="151" operator="lessThan">
      <formula>$XFC$1</formula>
    </cfRule>
  </conditionalFormatting>
  <conditionalFormatting sqref="B183">
    <cfRule type="cellIs" dxfId="143" priority="149" operator="lessThan">
      <formula>$XFC$1</formula>
    </cfRule>
  </conditionalFormatting>
  <conditionalFormatting sqref="B193">
    <cfRule type="cellIs" dxfId="142" priority="148" operator="lessThan">
      <formula>$XFC$1</formula>
    </cfRule>
  </conditionalFormatting>
  <conditionalFormatting sqref="B200">
    <cfRule type="cellIs" dxfId="141" priority="147" operator="lessThan">
      <formula>$XFC$1</formula>
    </cfRule>
  </conditionalFormatting>
  <conditionalFormatting sqref="B210">
    <cfRule type="cellIs" dxfId="140" priority="146" operator="lessThan">
      <formula>$XFC$1</formula>
    </cfRule>
  </conditionalFormatting>
  <conditionalFormatting sqref="B217">
    <cfRule type="cellIs" dxfId="139" priority="145" operator="lessThan">
      <formula>$XFC$1</formula>
    </cfRule>
  </conditionalFormatting>
  <conditionalFormatting sqref="B237">
    <cfRule type="cellIs" dxfId="138" priority="144" operator="lessThan">
      <formula>$XFC$1</formula>
    </cfRule>
  </conditionalFormatting>
  <conditionalFormatting sqref="B244">
    <cfRule type="cellIs" dxfId="137" priority="143" operator="lessThan">
      <formula>$XFC$1</formula>
    </cfRule>
  </conditionalFormatting>
  <conditionalFormatting sqref="B255">
    <cfRule type="cellIs" dxfId="136" priority="142" operator="lessThan">
      <formula>$XFC$1</formula>
    </cfRule>
  </conditionalFormatting>
  <conditionalFormatting sqref="B264">
    <cfRule type="cellIs" dxfId="135" priority="141" operator="lessThan">
      <formula>$XFC$1</formula>
    </cfRule>
  </conditionalFormatting>
  <conditionalFormatting sqref="B294">
    <cfRule type="cellIs" dxfId="134" priority="140" operator="lessThan">
      <formula>$XFC$1</formula>
    </cfRule>
  </conditionalFormatting>
  <conditionalFormatting sqref="B305">
    <cfRule type="cellIs" dxfId="133" priority="139" operator="lessThan">
      <formula>$XFC$1</formula>
    </cfRule>
  </conditionalFormatting>
  <conditionalFormatting sqref="B313">
    <cfRule type="cellIs" dxfId="132" priority="138" operator="lessThan">
      <formula>$XFC$1</formula>
    </cfRule>
  </conditionalFormatting>
  <conditionalFormatting sqref="B320">
    <cfRule type="cellIs" dxfId="131" priority="137" operator="lessThan">
      <formula>$XFC$1</formula>
    </cfRule>
  </conditionalFormatting>
  <conditionalFormatting sqref="B328">
    <cfRule type="cellIs" dxfId="130" priority="136" operator="lessThan">
      <formula>$XFC$1</formula>
    </cfRule>
  </conditionalFormatting>
  <conditionalFormatting sqref="B9">
    <cfRule type="cellIs" dxfId="129" priority="133" operator="lessThan">
      <formula>$XFC$1</formula>
    </cfRule>
  </conditionalFormatting>
  <conditionalFormatting sqref="B30:B31">
    <cfRule type="cellIs" dxfId="128" priority="132" operator="lessThan">
      <formula>$XFC$1</formula>
    </cfRule>
  </conditionalFormatting>
  <conditionalFormatting sqref="B53:B55">
    <cfRule type="cellIs" dxfId="127" priority="131" operator="lessThan">
      <formula>$XFC$1</formula>
    </cfRule>
  </conditionalFormatting>
  <conditionalFormatting sqref="B70">
    <cfRule type="cellIs" dxfId="126" priority="130" operator="lessThan">
      <formula>$XFC$1</formula>
    </cfRule>
  </conditionalFormatting>
  <conditionalFormatting sqref="B93">
    <cfRule type="cellIs" dxfId="125" priority="129" operator="lessThan">
      <formula>$XFC$1</formula>
    </cfRule>
  </conditionalFormatting>
  <conditionalFormatting sqref="B111">
    <cfRule type="cellIs" dxfId="124" priority="128" operator="lessThan">
      <formula>$XFC$1</formula>
    </cfRule>
  </conditionalFormatting>
  <conditionalFormatting sqref="B117">
    <cfRule type="cellIs" dxfId="123" priority="127" operator="lessThan">
      <formula>$XFC$1</formula>
    </cfRule>
  </conditionalFormatting>
  <conditionalFormatting sqref="B141:B142">
    <cfRule type="cellIs" dxfId="122" priority="126" operator="lessThan">
      <formula>$XFC$1</formula>
    </cfRule>
  </conditionalFormatting>
  <conditionalFormatting sqref="B153">
    <cfRule type="cellIs" dxfId="121" priority="125" operator="lessThan">
      <formula>$XFC$1</formula>
    </cfRule>
  </conditionalFormatting>
  <conditionalFormatting sqref="B164">
    <cfRule type="cellIs" dxfId="120" priority="124" operator="lessThan">
      <formula>$XFC$1</formula>
    </cfRule>
  </conditionalFormatting>
  <conditionalFormatting sqref="B171">
    <cfRule type="cellIs" dxfId="119" priority="123" operator="lessThan">
      <formula>$XFC$1</formula>
    </cfRule>
  </conditionalFormatting>
  <conditionalFormatting sqref="B179">
    <cfRule type="cellIs" dxfId="118" priority="122" operator="lessThan">
      <formula>$XFC$1</formula>
    </cfRule>
  </conditionalFormatting>
  <conditionalFormatting sqref="B187">
    <cfRule type="cellIs" dxfId="117" priority="121" operator="lessThan">
      <formula>$XFC$1</formula>
    </cfRule>
  </conditionalFormatting>
  <conditionalFormatting sqref="B204">
    <cfRule type="cellIs" dxfId="116" priority="119" operator="lessThan">
      <formula>$XFC$1</formula>
    </cfRule>
  </conditionalFormatting>
  <conditionalFormatting sqref="B214">
    <cfRule type="cellIs" dxfId="115" priority="118" operator="lessThan">
      <formula>$XFC$1</formula>
    </cfRule>
  </conditionalFormatting>
  <conditionalFormatting sqref="B226">
    <cfRule type="cellIs" dxfId="114" priority="117" operator="lessThan">
      <formula>$XFC$1</formula>
    </cfRule>
  </conditionalFormatting>
  <conditionalFormatting sqref="B230">
    <cfRule type="cellIs" dxfId="113" priority="116" operator="lessThan">
      <formula>$XFC$1</formula>
    </cfRule>
  </conditionalFormatting>
  <conditionalFormatting sqref="B241">
    <cfRule type="cellIs" dxfId="112" priority="115" operator="lessThan">
      <formula>$XFC$1</formula>
    </cfRule>
  </conditionalFormatting>
  <conditionalFormatting sqref="B248">
    <cfRule type="cellIs" dxfId="111" priority="114" operator="lessThan">
      <formula>$XFC$1</formula>
    </cfRule>
  </conditionalFormatting>
  <conditionalFormatting sqref="B259">
    <cfRule type="cellIs" dxfId="110" priority="113" operator="lessThan">
      <formula>$XFC$1</formula>
    </cfRule>
  </conditionalFormatting>
  <conditionalFormatting sqref="B268">
    <cfRule type="cellIs" dxfId="109" priority="112" operator="lessThan">
      <formula>$XFC$1</formula>
    </cfRule>
  </conditionalFormatting>
  <conditionalFormatting sqref="B272">
    <cfRule type="cellIs" dxfId="108" priority="111" operator="lessThan">
      <formula>$XFC$1</formula>
    </cfRule>
  </conditionalFormatting>
  <conditionalFormatting sqref="B288">
    <cfRule type="cellIs" dxfId="107" priority="110" operator="lessThan">
      <formula>$XFC$1</formula>
    </cfRule>
  </conditionalFormatting>
  <conditionalFormatting sqref="B297">
    <cfRule type="cellIs" dxfId="106" priority="109" operator="lessThan">
      <formula>$XFC$1</formula>
    </cfRule>
  </conditionalFormatting>
  <conditionalFormatting sqref="B309">
    <cfRule type="cellIs" dxfId="105" priority="108" operator="lessThan">
      <formula>$XFC$1</formula>
    </cfRule>
  </conditionalFormatting>
  <conditionalFormatting sqref="B317">
    <cfRule type="cellIs" dxfId="104" priority="107" operator="lessThan">
      <formula>$XFC$1</formula>
    </cfRule>
  </conditionalFormatting>
  <conditionalFormatting sqref="B323:B326">
    <cfRule type="cellIs" dxfId="103" priority="106" operator="lessThan">
      <formula>$XFC$1</formula>
    </cfRule>
  </conditionalFormatting>
  <conditionalFormatting sqref="B332">
    <cfRule type="cellIs" dxfId="102" priority="105" operator="lessThan">
      <formula>$XFC$1</formula>
    </cfRule>
  </conditionalFormatting>
  <conditionalFormatting sqref="B339">
    <cfRule type="cellIs" dxfId="101" priority="104" operator="lessThan">
      <formula>$XFC$1</formula>
    </cfRule>
  </conditionalFormatting>
  <conditionalFormatting sqref="B341">
    <cfRule type="cellIs" dxfId="100" priority="103" operator="lessThan">
      <formula>$XFC$1</formula>
    </cfRule>
  </conditionalFormatting>
  <conditionalFormatting sqref="B345">
    <cfRule type="cellIs" dxfId="99" priority="102" operator="lessThan">
      <formula>$XFC$1</formula>
    </cfRule>
  </conditionalFormatting>
  <conditionalFormatting sqref="B348">
    <cfRule type="cellIs" dxfId="98" priority="101" operator="lessThan">
      <formula>$XFC$1</formula>
    </cfRule>
  </conditionalFormatting>
  <conditionalFormatting sqref="B352">
    <cfRule type="cellIs" dxfId="97" priority="100" operator="lessThan">
      <formula>$XFC$1</formula>
    </cfRule>
  </conditionalFormatting>
  <conditionalFormatting sqref="B355">
    <cfRule type="cellIs" dxfId="96" priority="99" operator="lessThan">
      <formula>$XFC$1</formula>
    </cfRule>
  </conditionalFormatting>
  <conditionalFormatting sqref="B360">
    <cfRule type="cellIs" dxfId="95" priority="98" operator="lessThan">
      <formula>$XFC$1</formula>
    </cfRule>
  </conditionalFormatting>
  <conditionalFormatting sqref="B362">
    <cfRule type="cellIs" dxfId="94" priority="97" operator="lessThan">
      <formula>$XFC$1</formula>
    </cfRule>
  </conditionalFormatting>
  <conditionalFormatting sqref="B367">
    <cfRule type="cellIs" dxfId="93" priority="96" operator="lessThan">
      <formula>$XFC$1</formula>
    </cfRule>
  </conditionalFormatting>
  <conditionalFormatting sqref="B369">
    <cfRule type="cellIs" dxfId="92" priority="95" operator="lessThan">
      <formula>$XFC$1</formula>
    </cfRule>
  </conditionalFormatting>
  <conditionalFormatting sqref="B374">
    <cfRule type="cellIs" dxfId="91" priority="94" operator="lessThan">
      <formula>$XFC$1</formula>
    </cfRule>
  </conditionalFormatting>
  <conditionalFormatting sqref="B379">
    <cfRule type="cellIs" dxfId="90" priority="93" operator="lessThan">
      <formula>$XFC$1</formula>
    </cfRule>
  </conditionalFormatting>
  <conditionalFormatting sqref="B381">
    <cfRule type="cellIs" dxfId="89" priority="92" operator="lessThan">
      <formula>$XFC$1</formula>
    </cfRule>
  </conditionalFormatting>
  <conditionalFormatting sqref="B385">
    <cfRule type="cellIs" dxfId="88" priority="91" operator="lessThan">
      <formula>$XFC$1</formula>
    </cfRule>
  </conditionalFormatting>
  <conditionalFormatting sqref="B390">
    <cfRule type="cellIs" dxfId="87" priority="90" operator="lessThan">
      <formula>$XFC$1</formula>
    </cfRule>
  </conditionalFormatting>
  <conditionalFormatting sqref="B392">
    <cfRule type="cellIs" dxfId="86" priority="89" operator="lessThan">
      <formula>$XFC$1</formula>
    </cfRule>
  </conditionalFormatting>
  <conditionalFormatting sqref="B396">
    <cfRule type="cellIs" dxfId="85" priority="88" operator="lessThan">
      <formula>$XFC$1</formula>
    </cfRule>
  </conditionalFormatting>
  <conditionalFormatting sqref="B398">
    <cfRule type="cellIs" dxfId="84" priority="87" operator="lessThan">
      <formula>$XFC$1</formula>
    </cfRule>
  </conditionalFormatting>
  <conditionalFormatting sqref="B402">
    <cfRule type="cellIs" dxfId="83" priority="86" operator="lessThan">
      <formula>$XFC$1</formula>
    </cfRule>
  </conditionalFormatting>
  <conditionalFormatting sqref="B405">
    <cfRule type="cellIs" dxfId="82" priority="85" operator="lessThan">
      <formula>$XFC$1</formula>
    </cfRule>
  </conditionalFormatting>
  <conditionalFormatting sqref="B409">
    <cfRule type="cellIs" dxfId="81" priority="84" operator="lessThan">
      <formula>$XFC$1</formula>
    </cfRule>
  </conditionalFormatting>
  <conditionalFormatting sqref="B413">
    <cfRule type="cellIs" dxfId="80" priority="83" operator="lessThan">
      <formula>$XFC$1</formula>
    </cfRule>
  </conditionalFormatting>
  <conditionalFormatting sqref="B415">
    <cfRule type="cellIs" dxfId="79" priority="82" operator="lessThan">
      <formula>$XFC$1</formula>
    </cfRule>
  </conditionalFormatting>
  <conditionalFormatting sqref="B417">
    <cfRule type="cellIs" dxfId="78" priority="81" operator="lessThan">
      <formula>$XFC$1</formula>
    </cfRule>
  </conditionalFormatting>
  <conditionalFormatting sqref="B419">
    <cfRule type="cellIs" dxfId="77" priority="80" operator="lessThan">
      <formula>$XFC$1</formula>
    </cfRule>
  </conditionalFormatting>
  <conditionalFormatting sqref="B421">
    <cfRule type="cellIs" dxfId="76" priority="79" operator="lessThan">
      <formula>$XFC$1</formula>
    </cfRule>
  </conditionalFormatting>
  <conditionalFormatting sqref="B423">
    <cfRule type="cellIs" dxfId="75" priority="78" operator="lessThan">
      <formula>$XFC$1</formula>
    </cfRule>
  </conditionalFormatting>
  <conditionalFormatting sqref="B425">
    <cfRule type="cellIs" dxfId="74" priority="77" operator="lessThan">
      <formula>$XFC$1</formula>
    </cfRule>
  </conditionalFormatting>
  <conditionalFormatting sqref="B427">
    <cfRule type="cellIs" dxfId="73" priority="76" operator="lessThan">
      <formula>$XFC$1</formula>
    </cfRule>
  </conditionalFormatting>
  <conditionalFormatting sqref="B429">
    <cfRule type="cellIs" dxfId="72" priority="75" operator="lessThan">
      <formula>$XFC$1</formula>
    </cfRule>
  </conditionalFormatting>
  <conditionalFormatting sqref="B431">
    <cfRule type="cellIs" dxfId="71" priority="74" operator="lessThan">
      <formula>$XFC$1</formula>
    </cfRule>
  </conditionalFormatting>
  <conditionalFormatting sqref="B433">
    <cfRule type="cellIs" dxfId="70" priority="73" operator="lessThan">
      <formula>$XFC$1</formula>
    </cfRule>
  </conditionalFormatting>
  <conditionalFormatting sqref="B435">
    <cfRule type="cellIs" dxfId="69" priority="72" operator="lessThan">
      <formula>$XFC$1</formula>
    </cfRule>
  </conditionalFormatting>
  <conditionalFormatting sqref="B437">
    <cfRule type="cellIs" dxfId="68" priority="71" operator="lessThan">
      <formula>$XFC$1</formula>
    </cfRule>
  </conditionalFormatting>
  <conditionalFormatting sqref="B439">
    <cfRule type="cellIs" dxfId="67" priority="70" operator="lessThan">
      <formula>$XFC$1</formula>
    </cfRule>
  </conditionalFormatting>
  <conditionalFormatting sqref="B442">
    <cfRule type="cellIs" dxfId="66" priority="69" operator="lessThan">
      <formula>$XFC$1</formula>
    </cfRule>
  </conditionalFormatting>
  <conditionalFormatting sqref="B444">
    <cfRule type="cellIs" dxfId="65" priority="68" operator="lessThan">
      <formula>$XFC$1</formula>
    </cfRule>
  </conditionalFormatting>
  <conditionalFormatting sqref="B447">
    <cfRule type="cellIs" dxfId="64" priority="67" operator="lessThan">
      <formula>$XFC$1</formula>
    </cfRule>
  </conditionalFormatting>
  <conditionalFormatting sqref="B449">
    <cfRule type="cellIs" dxfId="63" priority="66" operator="lessThan">
      <formula>$XFC$1</formula>
    </cfRule>
  </conditionalFormatting>
  <conditionalFormatting sqref="B451">
    <cfRule type="cellIs" dxfId="62" priority="65" operator="lessThan">
      <formula>$XFC$1</formula>
    </cfRule>
  </conditionalFormatting>
  <conditionalFormatting sqref="B453">
    <cfRule type="cellIs" dxfId="61" priority="64" operator="lessThan">
      <formula>$XFC$1</formula>
    </cfRule>
  </conditionalFormatting>
  <conditionalFormatting sqref="B336">
    <cfRule type="cellIs" dxfId="60" priority="62" operator="lessThan">
      <formula>$XFC$1</formula>
    </cfRule>
  </conditionalFormatting>
  <conditionalFormatting sqref="B340">
    <cfRule type="cellIs" dxfId="59" priority="61" operator="lessThan">
      <formula>$XFC$1</formula>
    </cfRule>
  </conditionalFormatting>
  <conditionalFormatting sqref="B342">
    <cfRule type="cellIs" dxfId="58" priority="60" operator="lessThan">
      <formula>$XFC$1</formula>
    </cfRule>
  </conditionalFormatting>
  <conditionalFormatting sqref="B346">
    <cfRule type="cellIs" dxfId="57" priority="59" operator="lessThan">
      <formula>$XFC$1</formula>
    </cfRule>
  </conditionalFormatting>
  <conditionalFormatting sqref="B349">
    <cfRule type="cellIs" dxfId="56" priority="58" operator="lessThan">
      <formula>$XFC$1</formula>
    </cfRule>
  </conditionalFormatting>
  <conditionalFormatting sqref="B353">
    <cfRule type="cellIs" dxfId="55" priority="57" operator="lessThan">
      <formula>$XFC$1</formula>
    </cfRule>
  </conditionalFormatting>
  <conditionalFormatting sqref="B356">
    <cfRule type="cellIs" dxfId="54" priority="56" operator="lessThan">
      <formula>$XFC$1</formula>
    </cfRule>
  </conditionalFormatting>
  <conditionalFormatting sqref="B361">
    <cfRule type="cellIs" dxfId="53" priority="55" operator="lessThan">
      <formula>$XFC$1</formula>
    </cfRule>
  </conditionalFormatting>
  <conditionalFormatting sqref="B363">
    <cfRule type="cellIs" dxfId="52" priority="54" operator="lessThan">
      <formula>$XFC$1</formula>
    </cfRule>
  </conditionalFormatting>
  <conditionalFormatting sqref="B368">
    <cfRule type="cellIs" dxfId="51" priority="53" operator="lessThan">
      <formula>$XFC$1</formula>
    </cfRule>
  </conditionalFormatting>
  <conditionalFormatting sqref="B370">
    <cfRule type="cellIs" dxfId="50" priority="52" operator="lessThan">
      <formula>$XFC$1</formula>
    </cfRule>
  </conditionalFormatting>
  <conditionalFormatting sqref="B375">
    <cfRule type="cellIs" dxfId="49" priority="51" operator="lessThan">
      <formula>$XFC$1</formula>
    </cfRule>
  </conditionalFormatting>
  <conditionalFormatting sqref="B380">
    <cfRule type="cellIs" dxfId="48" priority="50" operator="lessThan">
      <formula>$XFC$1</formula>
    </cfRule>
  </conditionalFormatting>
  <conditionalFormatting sqref="B382">
    <cfRule type="cellIs" dxfId="47" priority="49" operator="lessThan">
      <formula>$XFC$1</formula>
    </cfRule>
  </conditionalFormatting>
  <conditionalFormatting sqref="B386">
    <cfRule type="cellIs" dxfId="46" priority="48" operator="lessThan">
      <formula>$XFC$1</formula>
    </cfRule>
  </conditionalFormatting>
  <conditionalFormatting sqref="B387">
    <cfRule type="cellIs" dxfId="45" priority="47" operator="lessThan">
      <formula>$XFC$1</formula>
    </cfRule>
  </conditionalFormatting>
  <conditionalFormatting sqref="B391">
    <cfRule type="cellIs" dxfId="44" priority="46" operator="lessThan">
      <formula>$XFC$1</formula>
    </cfRule>
  </conditionalFormatting>
  <conditionalFormatting sqref="B393">
    <cfRule type="cellIs" dxfId="43" priority="45" operator="lessThan">
      <formula>$XFC$1</formula>
    </cfRule>
  </conditionalFormatting>
  <conditionalFormatting sqref="B397">
    <cfRule type="cellIs" dxfId="42" priority="44" operator="lessThan">
      <formula>$XFC$1</formula>
    </cfRule>
  </conditionalFormatting>
  <conditionalFormatting sqref="B399">
    <cfRule type="cellIs" dxfId="41" priority="43" operator="lessThan">
      <formula>$XFC$1</formula>
    </cfRule>
  </conditionalFormatting>
  <conditionalFormatting sqref="B403">
    <cfRule type="cellIs" dxfId="40" priority="42" operator="lessThan">
      <formula>$XFC$1</formula>
    </cfRule>
  </conditionalFormatting>
  <conditionalFormatting sqref="B404">
    <cfRule type="cellIs" dxfId="39" priority="41" operator="lessThan">
      <formula>$XFC$1</formula>
    </cfRule>
  </conditionalFormatting>
  <conditionalFormatting sqref="B406">
    <cfRule type="cellIs" dxfId="38" priority="40" operator="lessThan">
      <formula>$XFC$1</formula>
    </cfRule>
  </conditionalFormatting>
  <conditionalFormatting sqref="B410">
    <cfRule type="cellIs" dxfId="37" priority="39" operator="lessThan">
      <formula>$XFC$1</formula>
    </cfRule>
  </conditionalFormatting>
  <conditionalFormatting sqref="B411">
    <cfRule type="cellIs" dxfId="36" priority="38" operator="lessThan">
      <formula>$XFC$1</formula>
    </cfRule>
  </conditionalFormatting>
  <conditionalFormatting sqref="B412">
    <cfRule type="cellIs" dxfId="35" priority="37" operator="lessThan">
      <formula>$XFC$1</formula>
    </cfRule>
  </conditionalFormatting>
  <conditionalFormatting sqref="B414">
    <cfRule type="cellIs" dxfId="34" priority="36" operator="lessThan">
      <formula>$XFC$1</formula>
    </cfRule>
  </conditionalFormatting>
  <conditionalFormatting sqref="B416">
    <cfRule type="cellIs" dxfId="33" priority="35" operator="lessThan">
      <formula>$XFC$1</formula>
    </cfRule>
  </conditionalFormatting>
  <conditionalFormatting sqref="B418">
    <cfRule type="cellIs" dxfId="32" priority="34" operator="lessThan">
      <formula>$XFC$1</formula>
    </cfRule>
  </conditionalFormatting>
  <conditionalFormatting sqref="B420">
    <cfRule type="cellIs" dxfId="31" priority="33" operator="lessThan">
      <formula>$XFC$1</formula>
    </cfRule>
  </conditionalFormatting>
  <conditionalFormatting sqref="B422">
    <cfRule type="cellIs" dxfId="30" priority="32" operator="lessThan">
      <formula>$XFC$1</formula>
    </cfRule>
  </conditionalFormatting>
  <conditionalFormatting sqref="B424">
    <cfRule type="cellIs" dxfId="29" priority="31" operator="lessThan">
      <formula>$XFC$1</formula>
    </cfRule>
  </conditionalFormatting>
  <conditionalFormatting sqref="B426">
    <cfRule type="cellIs" dxfId="28" priority="30" operator="lessThan">
      <formula>$XFC$1</formula>
    </cfRule>
  </conditionalFormatting>
  <conditionalFormatting sqref="B428">
    <cfRule type="cellIs" dxfId="27" priority="29" operator="lessThan">
      <formula>$XFC$1</formula>
    </cfRule>
  </conditionalFormatting>
  <conditionalFormatting sqref="B430">
    <cfRule type="cellIs" dxfId="26" priority="28" operator="lessThan">
      <formula>$XFC$1</formula>
    </cfRule>
  </conditionalFormatting>
  <conditionalFormatting sqref="B432">
    <cfRule type="cellIs" dxfId="25" priority="27" operator="lessThan">
      <formula>$XFC$1</formula>
    </cfRule>
  </conditionalFormatting>
  <conditionalFormatting sqref="B434">
    <cfRule type="cellIs" dxfId="24" priority="26" operator="lessThan">
      <formula>$XFC$1</formula>
    </cfRule>
  </conditionalFormatting>
  <conditionalFormatting sqref="B436">
    <cfRule type="cellIs" dxfId="23" priority="25" operator="lessThan">
      <formula>$XFC$1</formula>
    </cfRule>
  </conditionalFormatting>
  <conditionalFormatting sqref="B438">
    <cfRule type="cellIs" dxfId="22" priority="24" operator="lessThan">
      <formula>$XFC$1</formula>
    </cfRule>
  </conditionalFormatting>
  <conditionalFormatting sqref="B440">
    <cfRule type="cellIs" dxfId="21" priority="23" operator="lessThan">
      <formula>$XFC$1</formula>
    </cfRule>
  </conditionalFormatting>
  <conditionalFormatting sqref="B441">
    <cfRule type="cellIs" dxfId="20" priority="22" operator="lessThan">
      <formula>$XFC$1</formula>
    </cfRule>
  </conditionalFormatting>
  <conditionalFormatting sqref="B443">
    <cfRule type="cellIs" dxfId="19" priority="21" operator="lessThan">
      <formula>$XFC$1</formula>
    </cfRule>
  </conditionalFormatting>
  <conditionalFormatting sqref="B445">
    <cfRule type="cellIs" dxfId="18" priority="20" operator="lessThan">
      <formula>$XFC$1</formula>
    </cfRule>
  </conditionalFormatting>
  <conditionalFormatting sqref="B446">
    <cfRule type="cellIs" dxfId="17" priority="19" operator="lessThan">
      <formula>$XFC$1</formula>
    </cfRule>
  </conditionalFormatting>
  <conditionalFormatting sqref="B448">
    <cfRule type="cellIs" dxfId="16" priority="18" operator="lessThan">
      <formula>$XFC$1</formula>
    </cfRule>
  </conditionalFormatting>
  <conditionalFormatting sqref="B450">
    <cfRule type="cellIs" dxfId="15" priority="17" operator="lessThan">
      <formula>$XFC$1</formula>
    </cfRule>
  </conditionalFormatting>
  <conditionalFormatting sqref="B452">
    <cfRule type="cellIs" dxfId="14" priority="16" operator="lessThan">
      <formula>$XFC$1</formula>
    </cfRule>
  </conditionalFormatting>
  <conditionalFormatting sqref="B23">
    <cfRule type="cellIs" dxfId="13" priority="14" operator="lessThan">
      <formula>$XFC$1</formula>
    </cfRule>
  </conditionalFormatting>
  <conditionalFormatting sqref="B16:B17">
    <cfRule type="cellIs" dxfId="12" priority="13" operator="lessThan">
      <formula>$XFC$1</formula>
    </cfRule>
  </conditionalFormatting>
  <conditionalFormatting sqref="B76:B77">
    <cfRule type="cellIs" dxfId="11" priority="12" operator="lessThan">
      <formula>$XFC$1</formula>
    </cfRule>
  </conditionalFormatting>
  <conditionalFormatting sqref="B113">
    <cfRule type="cellIs" dxfId="10" priority="11" operator="lessThan">
      <formula>$XFC$1</formula>
    </cfRule>
  </conditionalFormatting>
  <conditionalFormatting sqref="B149">
    <cfRule type="cellIs" dxfId="9" priority="10" operator="lessThan">
      <formula>$XFC$1</formula>
    </cfRule>
  </conditionalFormatting>
  <conditionalFormatting sqref="B454">
    <cfRule type="cellIs" dxfId="8" priority="9" operator="lessThan">
      <formula>$XFC$1</formula>
    </cfRule>
  </conditionalFormatting>
  <conditionalFormatting sqref="B455:B485">
    <cfRule type="cellIs" dxfId="7" priority="8" operator="lessThan">
      <formula>$XFC$1</formula>
    </cfRule>
  </conditionalFormatting>
  <conditionalFormatting sqref="B486">
    <cfRule type="cellIs" dxfId="6" priority="7" operator="lessThan">
      <formula>$XFC$1</formula>
    </cfRule>
  </conditionalFormatting>
  <conditionalFormatting sqref="B487:B514">
    <cfRule type="cellIs" dxfId="5" priority="6" operator="lessThan">
      <formula>$XFC$1</formula>
    </cfRule>
  </conditionalFormatting>
  <conditionalFormatting sqref="B515:B523">
    <cfRule type="cellIs" dxfId="4" priority="5" operator="lessThan">
      <formula>$XFC$1</formula>
    </cfRule>
  </conditionalFormatting>
  <conditionalFormatting sqref="B524:B547">
    <cfRule type="cellIs" dxfId="3" priority="2" operator="lessThan">
      <formula>$XFC$1</formula>
    </cfRule>
  </conditionalFormatting>
  <conditionalFormatting sqref="B65:B69">
    <cfRule type="cellIs" dxfId="2" priority="1" operator="lessThan">
      <formula>$XFC$1</formula>
    </cfRule>
  </conditionalFormatting>
  <printOptions horizontalCentered="1"/>
  <pageMargins left="0.23622047244094491" right="0.23622047244094491" top="0" bottom="0" header="0.31496062992125984" footer="0.31496062992125984"/>
  <pageSetup paperSize="9" scale="75" fitToHeight="0" orientation="landscape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C42"/>
  <sheetViews>
    <sheetView showGridLines="0" workbookViewId="0">
      <selection activeCell="C44" sqref="C44"/>
    </sheetView>
  </sheetViews>
  <sheetFormatPr defaultRowHeight="23.25" x14ac:dyDescent="0.35"/>
  <cols>
    <col min="1" max="1" width="18.7109375" style="56" bestFit="1" customWidth="1"/>
    <col min="2" max="2" width="18.85546875" style="59" bestFit="1" customWidth="1"/>
    <col min="3" max="3" width="18.85546875" style="52" bestFit="1" customWidth="1"/>
    <col min="4" max="16384" width="9.140625" style="52"/>
  </cols>
  <sheetData>
    <row r="1" spans="1:3" x14ac:dyDescent="0.35">
      <c r="A1" s="68" t="s">
        <v>75</v>
      </c>
      <c r="B1" s="69"/>
      <c r="C1" s="69"/>
    </row>
    <row r="2" spans="1:3" x14ac:dyDescent="0.35">
      <c r="A2" s="53" t="s">
        <v>58</v>
      </c>
      <c r="B2" s="70" t="s">
        <v>65</v>
      </c>
      <c r="C2" s="70"/>
    </row>
    <row r="3" spans="1:3" hidden="1" x14ac:dyDescent="0.35">
      <c r="A3" s="54">
        <v>43596</v>
      </c>
      <c r="B3" s="58" t="s">
        <v>42</v>
      </c>
      <c r="C3" s="55" t="s">
        <v>43</v>
      </c>
    </row>
    <row r="4" spans="1:3" hidden="1" x14ac:dyDescent="0.35">
      <c r="A4" s="54">
        <v>43603</v>
      </c>
      <c r="B4" s="71" t="s">
        <v>44</v>
      </c>
      <c r="C4" s="71"/>
    </row>
    <row r="5" spans="1:3" hidden="1" x14ac:dyDescent="0.35">
      <c r="A5" s="54">
        <v>43610</v>
      </c>
      <c r="B5" s="58" t="s">
        <v>45</v>
      </c>
      <c r="C5" s="55" t="s">
        <v>103</v>
      </c>
    </row>
    <row r="6" spans="1:3" x14ac:dyDescent="0.35">
      <c r="A6" s="54">
        <v>43617</v>
      </c>
      <c r="B6" s="71" t="s">
        <v>47</v>
      </c>
      <c r="C6" s="71"/>
    </row>
    <row r="7" spans="1:3" x14ac:dyDescent="0.35">
      <c r="A7" s="54">
        <v>43624</v>
      </c>
      <c r="B7" s="58" t="s">
        <v>84</v>
      </c>
      <c r="C7" s="55" t="s">
        <v>48</v>
      </c>
    </row>
    <row r="8" spans="1:3" x14ac:dyDescent="0.35">
      <c r="A8" s="54">
        <v>43631</v>
      </c>
      <c r="B8" s="71" t="s">
        <v>41</v>
      </c>
      <c r="C8" s="71"/>
    </row>
    <row r="9" spans="1:3" x14ac:dyDescent="0.35">
      <c r="A9" s="54">
        <v>43645</v>
      </c>
      <c r="B9" s="58" t="s">
        <v>42</v>
      </c>
      <c r="C9" s="55" t="s">
        <v>43</v>
      </c>
    </row>
    <row r="10" spans="1:3" x14ac:dyDescent="0.35">
      <c r="A10" s="54">
        <v>43652</v>
      </c>
      <c r="B10" s="71" t="s">
        <v>44</v>
      </c>
      <c r="C10" s="71"/>
    </row>
    <row r="11" spans="1:3" x14ac:dyDescent="0.35">
      <c r="A11" s="54">
        <v>43659</v>
      </c>
      <c r="B11" s="71" t="s">
        <v>45</v>
      </c>
      <c r="C11" s="71"/>
    </row>
    <row r="12" spans="1:3" x14ac:dyDescent="0.35">
      <c r="A12" s="54">
        <v>43666</v>
      </c>
      <c r="B12" s="71" t="s">
        <v>103</v>
      </c>
      <c r="C12" s="71"/>
    </row>
    <row r="13" spans="1:3" x14ac:dyDescent="0.35">
      <c r="A13" s="54">
        <v>43673</v>
      </c>
      <c r="B13" s="71" t="s">
        <v>47</v>
      </c>
      <c r="C13" s="71"/>
    </row>
    <row r="14" spans="1:3" x14ac:dyDescent="0.35">
      <c r="A14" s="54">
        <v>43680</v>
      </c>
      <c r="B14" s="67" t="s">
        <v>84</v>
      </c>
      <c r="C14" s="67"/>
    </row>
    <row r="15" spans="1:3" x14ac:dyDescent="0.35">
      <c r="A15" s="54">
        <v>43687</v>
      </c>
      <c r="B15" s="67" t="s">
        <v>48</v>
      </c>
      <c r="C15" s="67"/>
    </row>
    <row r="16" spans="1:3" x14ac:dyDescent="0.35">
      <c r="A16" s="54">
        <v>43694</v>
      </c>
      <c r="B16" s="67" t="s">
        <v>41</v>
      </c>
      <c r="C16" s="67"/>
    </row>
    <row r="17" spans="1:3" x14ac:dyDescent="0.35">
      <c r="A17" s="54">
        <v>43701</v>
      </c>
      <c r="B17" s="67" t="s">
        <v>42</v>
      </c>
      <c r="C17" s="67"/>
    </row>
    <row r="18" spans="1:3" x14ac:dyDescent="0.35">
      <c r="A18" s="54">
        <v>43708</v>
      </c>
      <c r="B18" s="67" t="s">
        <v>43</v>
      </c>
      <c r="C18" s="67"/>
    </row>
    <row r="19" spans="1:3" x14ac:dyDescent="0.35">
      <c r="A19" s="54">
        <v>43722</v>
      </c>
      <c r="B19" s="67" t="s">
        <v>44</v>
      </c>
      <c r="C19" s="67"/>
    </row>
    <row r="20" spans="1:3" x14ac:dyDescent="0.35">
      <c r="A20" s="54">
        <v>43736</v>
      </c>
      <c r="B20" s="67" t="s">
        <v>45</v>
      </c>
      <c r="C20" s="67"/>
    </row>
    <row r="21" spans="1:3" x14ac:dyDescent="0.35">
      <c r="A21" s="54">
        <v>43743</v>
      </c>
      <c r="B21" s="67" t="s">
        <v>103</v>
      </c>
      <c r="C21" s="67"/>
    </row>
    <row r="22" spans="1:3" x14ac:dyDescent="0.35">
      <c r="A22" s="54">
        <v>43757</v>
      </c>
      <c r="B22" s="67" t="s">
        <v>47</v>
      </c>
      <c r="C22" s="67"/>
    </row>
    <row r="23" spans="1:3" x14ac:dyDescent="0.35">
      <c r="A23" s="54">
        <v>43764</v>
      </c>
      <c r="B23" s="67" t="s">
        <v>84</v>
      </c>
      <c r="C23" s="67"/>
    </row>
    <row r="24" spans="1:3" x14ac:dyDescent="0.35">
      <c r="A24" s="54">
        <v>43778</v>
      </c>
      <c r="B24" s="67" t="s">
        <v>48</v>
      </c>
      <c r="C24" s="67"/>
    </row>
    <row r="25" spans="1:3" x14ac:dyDescent="0.35">
      <c r="A25" s="54">
        <v>43792</v>
      </c>
      <c r="B25" s="67" t="s">
        <v>41</v>
      </c>
      <c r="C25" s="67"/>
    </row>
    <row r="26" spans="1:3" x14ac:dyDescent="0.35">
      <c r="A26" s="54">
        <v>43799</v>
      </c>
      <c r="B26" s="67" t="s">
        <v>42</v>
      </c>
      <c r="C26" s="67"/>
    </row>
    <row r="27" spans="1:3" x14ac:dyDescent="0.35">
      <c r="A27" s="54">
        <v>43806</v>
      </c>
      <c r="B27" s="67" t="s">
        <v>43</v>
      </c>
      <c r="C27" s="67"/>
    </row>
    <row r="28" spans="1:3" x14ac:dyDescent="0.35">
      <c r="A28" s="54">
        <v>43813</v>
      </c>
      <c r="B28" s="67" t="s">
        <v>44</v>
      </c>
      <c r="C28" s="67"/>
    </row>
    <row r="29" spans="1:3" x14ac:dyDescent="0.35">
      <c r="A29" s="54">
        <v>43841</v>
      </c>
      <c r="B29" s="67" t="s">
        <v>45</v>
      </c>
      <c r="C29" s="67"/>
    </row>
    <row r="30" spans="1:3" x14ac:dyDescent="0.35">
      <c r="A30" s="54">
        <v>43855</v>
      </c>
      <c r="B30" s="67" t="s">
        <v>103</v>
      </c>
      <c r="C30" s="67"/>
    </row>
    <row r="31" spans="1:3" x14ac:dyDescent="0.35">
      <c r="A31" s="54">
        <v>43862</v>
      </c>
      <c r="B31" s="67" t="s">
        <v>47</v>
      </c>
      <c r="C31" s="67"/>
    </row>
    <row r="32" spans="1:3" x14ac:dyDescent="0.35">
      <c r="A32" s="54">
        <v>43869</v>
      </c>
      <c r="B32" s="67" t="s">
        <v>84</v>
      </c>
      <c r="C32" s="67"/>
    </row>
    <row r="33" spans="1:3" x14ac:dyDescent="0.35">
      <c r="A33" s="54">
        <v>43876</v>
      </c>
      <c r="B33" s="67" t="s">
        <v>48</v>
      </c>
      <c r="C33" s="67"/>
    </row>
    <row r="34" spans="1:3" x14ac:dyDescent="0.35">
      <c r="A34" s="54">
        <v>43890</v>
      </c>
      <c r="B34" s="67" t="s">
        <v>41</v>
      </c>
      <c r="C34" s="67"/>
    </row>
    <row r="35" spans="1:3" x14ac:dyDescent="0.35">
      <c r="A35" s="54">
        <v>43904</v>
      </c>
      <c r="B35" s="67" t="s">
        <v>42</v>
      </c>
      <c r="C35" s="67"/>
    </row>
    <row r="36" spans="1:3" x14ac:dyDescent="0.35">
      <c r="A36" s="54">
        <v>43918</v>
      </c>
      <c r="B36" s="67" t="s">
        <v>43</v>
      </c>
      <c r="C36" s="67"/>
    </row>
    <row r="37" spans="1:3" x14ac:dyDescent="0.35">
      <c r="A37" s="54">
        <v>43925</v>
      </c>
      <c r="B37" s="67" t="s">
        <v>44</v>
      </c>
      <c r="C37" s="67"/>
    </row>
    <row r="38" spans="1:3" x14ac:dyDescent="0.35">
      <c r="A38" s="54">
        <v>43946</v>
      </c>
      <c r="B38" s="67" t="s">
        <v>45</v>
      </c>
      <c r="C38" s="67"/>
    </row>
    <row r="39" spans="1:3" x14ac:dyDescent="0.35">
      <c r="A39" s="54">
        <v>43960</v>
      </c>
      <c r="B39" s="67" t="s">
        <v>103</v>
      </c>
      <c r="C39" s="67"/>
    </row>
    <row r="40" spans="1:3" x14ac:dyDescent="0.35">
      <c r="A40" s="54">
        <v>43974</v>
      </c>
      <c r="B40" s="67" t="s">
        <v>47</v>
      </c>
      <c r="C40" s="67"/>
    </row>
    <row r="41" spans="1:3" x14ac:dyDescent="0.35">
      <c r="A41" s="54">
        <v>43988</v>
      </c>
      <c r="B41" s="67" t="s">
        <v>84</v>
      </c>
      <c r="C41" s="67"/>
    </row>
    <row r="42" spans="1:3" x14ac:dyDescent="0.35">
      <c r="A42" s="54">
        <v>44009</v>
      </c>
      <c r="B42" s="67" t="s">
        <v>48</v>
      </c>
      <c r="C42" s="67"/>
    </row>
  </sheetData>
  <mergeCells count="38">
    <mergeCell ref="A1:C1"/>
    <mergeCell ref="B2:C2"/>
    <mergeCell ref="B19:C19"/>
    <mergeCell ref="B18:C18"/>
    <mergeCell ref="B17:C17"/>
    <mergeCell ref="B16:C16"/>
    <mergeCell ref="B14:C14"/>
    <mergeCell ref="B13:C13"/>
    <mergeCell ref="B12:C12"/>
    <mergeCell ref="B11:C11"/>
    <mergeCell ref="B10:C10"/>
    <mergeCell ref="B8:C8"/>
    <mergeCell ref="B6:C6"/>
    <mergeCell ref="B4:C4"/>
    <mergeCell ref="B15:C15"/>
    <mergeCell ref="B42:C42"/>
    <mergeCell ref="B41:C41"/>
    <mergeCell ref="B40:C40"/>
    <mergeCell ref="B39:C39"/>
    <mergeCell ref="B38:C38"/>
    <mergeCell ref="B37:C37"/>
    <mergeCell ref="B36:C36"/>
    <mergeCell ref="B35:C35"/>
    <mergeCell ref="B34:C34"/>
    <mergeCell ref="B33:C33"/>
    <mergeCell ref="B32:C32"/>
    <mergeCell ref="B31:C31"/>
    <mergeCell ref="B30:C30"/>
    <mergeCell ref="B29:C29"/>
    <mergeCell ref="B28:C28"/>
    <mergeCell ref="B22:C22"/>
    <mergeCell ref="B21:C21"/>
    <mergeCell ref="B20:C20"/>
    <mergeCell ref="B27:C27"/>
    <mergeCell ref="B26:C26"/>
    <mergeCell ref="B25:C25"/>
    <mergeCell ref="B24:C24"/>
    <mergeCell ref="B23:C23"/>
  </mergeCells>
  <conditionalFormatting sqref="A3:A42">
    <cfRule type="cellIs" dxfId="1" priority="1" operator="lessThan">
      <formula>$XEX$1</formula>
    </cfRule>
  </conditionalFormatting>
  <printOptions horizontalCentered="1"/>
  <pageMargins left="0.51181102362204722" right="0.51181102362204722" top="0.78740157480314965" bottom="0.78740157480314965" header="0.31496062992125984" footer="0.31496062992125984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"/>
  <sheetViews>
    <sheetView workbookViewId="0">
      <selection activeCell="E5" sqref="E5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H45"/>
  <sheetViews>
    <sheetView workbookViewId="0">
      <selection activeCell="C1" sqref="C1:F45"/>
    </sheetView>
  </sheetViews>
  <sheetFormatPr defaultRowHeight="15" x14ac:dyDescent="0.25"/>
  <cols>
    <col min="3" max="3" width="10.140625" bestFit="1" customWidth="1"/>
    <col min="4" max="4" width="0" hidden="1" customWidth="1"/>
    <col min="5" max="5" width="0" style="32" hidden="1" customWidth="1"/>
    <col min="6" max="6" width="24.5703125" bestFit="1" customWidth="1"/>
  </cols>
  <sheetData>
    <row r="1" spans="1:8" x14ac:dyDescent="0.25">
      <c r="A1" s="51">
        <v>43554</v>
      </c>
      <c r="B1" t="s">
        <v>6</v>
      </c>
      <c r="C1" s="14">
        <v>43554</v>
      </c>
      <c r="D1">
        <f>COUNTIFS(agendamentos!$B:$B,C1,agendamentos!$L:$L,B1)</f>
        <v>0</v>
      </c>
      <c r="E1" s="32" t="str">
        <f t="shared" ref="E1:E45" si="0">IF(D1&gt;3,"2","1")</f>
        <v>1</v>
      </c>
      <c r="F1" s="33" t="s">
        <v>68</v>
      </c>
      <c r="H1" s="33"/>
    </row>
    <row r="2" spans="1:8" x14ac:dyDescent="0.25">
      <c r="A2" s="51">
        <v>43561</v>
      </c>
      <c r="B2" t="s">
        <v>6</v>
      </c>
      <c r="C2" s="14">
        <v>43561</v>
      </c>
      <c r="D2">
        <f>COUNTIFS(agendamentos!$B:$B,C2,agendamentos!$L:$L,B2)</f>
        <v>0</v>
      </c>
      <c r="E2" s="32" t="str">
        <f t="shared" si="0"/>
        <v>1</v>
      </c>
      <c r="F2" s="33" t="s">
        <v>44</v>
      </c>
    </row>
    <row r="3" spans="1:8" x14ac:dyDescent="0.25">
      <c r="A3" s="51">
        <v>43568</v>
      </c>
      <c r="B3" t="s">
        <v>6</v>
      </c>
      <c r="C3" s="14">
        <v>43568</v>
      </c>
      <c r="D3">
        <f>COUNTIFS(agendamentos!$B:$B,C3,agendamentos!$L:$L,B3)</f>
        <v>0</v>
      </c>
      <c r="E3" s="32" t="str">
        <f t="shared" si="0"/>
        <v>1</v>
      </c>
      <c r="F3" s="33" t="s">
        <v>70</v>
      </c>
    </row>
    <row r="4" spans="1:8" x14ac:dyDescent="0.25">
      <c r="A4" s="51">
        <v>43582</v>
      </c>
      <c r="B4" t="s">
        <v>6</v>
      </c>
      <c r="C4" s="14">
        <v>43582</v>
      </c>
      <c r="D4">
        <f>COUNTIFS(agendamentos!$B:$B,C4,agendamentos!$L:$L,B4)</f>
        <v>0</v>
      </c>
      <c r="E4" s="32" t="str">
        <f t="shared" si="0"/>
        <v>1</v>
      </c>
      <c r="F4" s="33" t="s">
        <v>71</v>
      </c>
    </row>
    <row r="5" spans="1:8" x14ac:dyDescent="0.25">
      <c r="A5" s="51">
        <v>43589</v>
      </c>
      <c r="B5" t="s">
        <v>6</v>
      </c>
      <c r="C5" s="14">
        <v>43589</v>
      </c>
      <c r="D5">
        <f>COUNTIFS(agendamentos!$B:$B,C5,agendamentos!$L:$L,B5)</f>
        <v>0</v>
      </c>
      <c r="E5" s="32" t="str">
        <f t="shared" si="0"/>
        <v>1</v>
      </c>
      <c r="F5" s="33" t="s">
        <v>41</v>
      </c>
    </row>
    <row r="6" spans="1:8" x14ac:dyDescent="0.25">
      <c r="A6" s="51">
        <v>43596</v>
      </c>
      <c r="B6" t="s">
        <v>6</v>
      </c>
      <c r="C6" s="14">
        <v>43596</v>
      </c>
      <c r="D6">
        <f>COUNTIFS(agendamentos!$B:$B,C6,agendamentos!$L:$L,B6)</f>
        <v>0</v>
      </c>
      <c r="E6" s="32" t="str">
        <f t="shared" si="0"/>
        <v>1</v>
      </c>
      <c r="F6" s="33" t="s">
        <v>68</v>
      </c>
    </row>
    <row r="7" spans="1:8" x14ac:dyDescent="0.25">
      <c r="A7" s="51">
        <v>43603</v>
      </c>
      <c r="B7" t="s">
        <v>6</v>
      </c>
      <c r="C7" s="14">
        <v>43603</v>
      </c>
      <c r="D7">
        <f>COUNTIFS(agendamentos!$B:$B,C7,agendamentos!$L:$L,B7)</f>
        <v>0</v>
      </c>
      <c r="E7" s="32" t="str">
        <f t="shared" si="0"/>
        <v>1</v>
      </c>
      <c r="F7" s="33" t="s">
        <v>44</v>
      </c>
    </row>
    <row r="8" spans="1:8" x14ac:dyDescent="0.25">
      <c r="A8" s="51">
        <v>43610</v>
      </c>
      <c r="B8" t="s">
        <v>6</v>
      </c>
      <c r="C8" s="14">
        <v>43610</v>
      </c>
      <c r="D8">
        <f>COUNTIFS(agendamentos!$B:$B,C8,agendamentos!$L:$L,B8)</f>
        <v>1</v>
      </c>
      <c r="E8" s="32" t="str">
        <f t="shared" si="0"/>
        <v>1</v>
      </c>
      <c r="F8" s="33" t="s">
        <v>70</v>
      </c>
    </row>
    <row r="9" spans="1:8" x14ac:dyDescent="0.25">
      <c r="A9" s="51">
        <v>43617</v>
      </c>
      <c r="B9" t="s">
        <v>6</v>
      </c>
      <c r="C9" s="14">
        <v>43617</v>
      </c>
      <c r="D9">
        <f>COUNTIFS(agendamentos!$B:$B,C9,agendamentos!$L:$L,B9)</f>
        <v>1</v>
      </c>
      <c r="E9" s="32" t="str">
        <f t="shared" si="0"/>
        <v>1</v>
      </c>
      <c r="F9" s="33" t="s">
        <v>47</v>
      </c>
    </row>
    <row r="10" spans="1:8" x14ac:dyDescent="0.25">
      <c r="A10" s="51">
        <v>43624</v>
      </c>
      <c r="B10" t="s">
        <v>6</v>
      </c>
      <c r="C10" s="14">
        <v>43624</v>
      </c>
      <c r="D10">
        <f>COUNTIFS(agendamentos!$B:$B,C10,agendamentos!$L:$L,B10)</f>
        <v>1</v>
      </c>
      <c r="E10" s="32" t="str">
        <f t="shared" si="0"/>
        <v>1</v>
      </c>
      <c r="F10" s="33" t="s">
        <v>72</v>
      </c>
    </row>
    <row r="11" spans="1:8" x14ac:dyDescent="0.25">
      <c r="A11" s="51">
        <v>43631</v>
      </c>
      <c r="B11" t="s">
        <v>6</v>
      </c>
      <c r="C11" s="14">
        <v>43631</v>
      </c>
      <c r="D11">
        <f>COUNTIFS(agendamentos!$B:$B,C11,agendamentos!$L:$L,B11)</f>
        <v>0</v>
      </c>
      <c r="E11" s="32" t="str">
        <f t="shared" si="0"/>
        <v>1</v>
      </c>
      <c r="F11" s="33" t="s">
        <v>42</v>
      </c>
    </row>
    <row r="12" spans="1:8" x14ac:dyDescent="0.25">
      <c r="A12" s="51">
        <v>43645</v>
      </c>
      <c r="B12" t="s">
        <v>6</v>
      </c>
      <c r="C12" s="14">
        <v>43645</v>
      </c>
      <c r="D12">
        <f>COUNTIFS(agendamentos!$B:$B,C12,agendamentos!$L:$L,B12)</f>
        <v>5</v>
      </c>
      <c r="E12" s="32" t="str">
        <f t="shared" si="0"/>
        <v>2</v>
      </c>
      <c r="F12" s="33" t="s">
        <v>73</v>
      </c>
    </row>
    <row r="13" spans="1:8" x14ac:dyDescent="0.25">
      <c r="A13" s="51">
        <v>43652</v>
      </c>
      <c r="B13" t="s">
        <v>6</v>
      </c>
      <c r="C13" s="14">
        <v>43652</v>
      </c>
      <c r="D13">
        <f>COUNTIFS(agendamentos!$B:$B,C13,agendamentos!$L:$L,B13)</f>
        <v>3</v>
      </c>
      <c r="E13" s="32" t="str">
        <f t="shared" si="0"/>
        <v>1</v>
      </c>
      <c r="F13" s="33" t="s">
        <v>45</v>
      </c>
    </row>
    <row r="14" spans="1:8" x14ac:dyDescent="0.25">
      <c r="A14" s="51">
        <v>43659</v>
      </c>
      <c r="B14" t="s">
        <v>6</v>
      </c>
      <c r="C14" s="14">
        <v>43659</v>
      </c>
      <c r="D14">
        <f>COUNTIFS(agendamentos!$B:$B,C14,agendamentos!$L:$L,B14)</f>
        <v>0</v>
      </c>
      <c r="E14" s="32" t="str">
        <f t="shared" si="0"/>
        <v>1</v>
      </c>
      <c r="F14" s="33" t="s">
        <v>46</v>
      </c>
    </row>
    <row r="15" spans="1:8" x14ac:dyDescent="0.25">
      <c r="A15" s="51">
        <v>43666</v>
      </c>
      <c r="B15" t="s">
        <v>6</v>
      </c>
      <c r="C15" s="14">
        <v>43666</v>
      </c>
      <c r="D15">
        <f>COUNTIFS(agendamentos!$B:$B,C15,agendamentos!$L:$L,B15)</f>
        <v>1</v>
      </c>
      <c r="E15" s="32" t="str">
        <f t="shared" si="0"/>
        <v>1</v>
      </c>
      <c r="F15" s="33" t="s">
        <v>47</v>
      </c>
    </row>
    <row r="16" spans="1:8" x14ac:dyDescent="0.25">
      <c r="A16" s="51">
        <v>43673</v>
      </c>
      <c r="B16" t="s">
        <v>6</v>
      </c>
      <c r="C16" s="14">
        <v>43673</v>
      </c>
      <c r="D16">
        <f>COUNTIFS(agendamentos!$B:$B,C16,agendamentos!$L:$L,B16)</f>
        <v>0</v>
      </c>
      <c r="E16" s="32" t="str">
        <f t="shared" si="0"/>
        <v>1</v>
      </c>
      <c r="F16" s="33" t="s">
        <v>48</v>
      </c>
    </row>
    <row r="17" spans="1:6" x14ac:dyDescent="0.25">
      <c r="A17" s="51">
        <v>43680</v>
      </c>
      <c r="B17" t="s">
        <v>6</v>
      </c>
      <c r="C17" s="14">
        <v>43680</v>
      </c>
      <c r="D17">
        <f>COUNTIFS(agendamentos!$B:$B,C17,agendamentos!$L:$L,B17)</f>
        <v>3</v>
      </c>
      <c r="E17" s="32" t="str">
        <f t="shared" si="0"/>
        <v>1</v>
      </c>
      <c r="F17" s="33" t="s">
        <v>41</v>
      </c>
    </row>
    <row r="18" spans="1:6" x14ac:dyDescent="0.25">
      <c r="A18" s="51">
        <v>43687</v>
      </c>
      <c r="B18" t="s">
        <v>6</v>
      </c>
      <c r="C18" s="14">
        <v>43687</v>
      </c>
      <c r="D18">
        <f>COUNTIFS(agendamentos!$B:$B,C18,agendamentos!$L:$L,B18)</f>
        <v>1</v>
      </c>
      <c r="E18" s="32" t="str">
        <f t="shared" si="0"/>
        <v>1</v>
      </c>
      <c r="F18" s="33" t="s">
        <v>42</v>
      </c>
    </row>
    <row r="19" spans="1:6" x14ac:dyDescent="0.25">
      <c r="A19" s="51">
        <v>43694</v>
      </c>
      <c r="B19" t="s">
        <v>6</v>
      </c>
      <c r="C19" s="14">
        <v>43694</v>
      </c>
      <c r="D19">
        <f>COUNTIFS(agendamentos!$B:$B,C19,agendamentos!$L:$L,B19)</f>
        <v>3</v>
      </c>
      <c r="E19" s="32" t="str">
        <f t="shared" si="0"/>
        <v>1</v>
      </c>
      <c r="F19" s="33" t="s">
        <v>43</v>
      </c>
    </row>
    <row r="20" spans="1:6" x14ac:dyDescent="0.25">
      <c r="A20" s="51">
        <v>43701</v>
      </c>
      <c r="B20" t="s">
        <v>6</v>
      </c>
      <c r="C20" s="14">
        <v>43701</v>
      </c>
      <c r="D20">
        <f>COUNTIFS(agendamentos!$B:$B,C20,agendamentos!$L:$L,B20)</f>
        <v>2</v>
      </c>
      <c r="E20" s="32" t="str">
        <f t="shared" si="0"/>
        <v>1</v>
      </c>
      <c r="F20" s="33" t="s">
        <v>44</v>
      </c>
    </row>
    <row r="21" spans="1:6" x14ac:dyDescent="0.25">
      <c r="B21" t="s">
        <v>6</v>
      </c>
      <c r="C21" s="14">
        <v>43708</v>
      </c>
      <c r="D21">
        <f>COUNTIFS(agendamentos!$B:$B,C21,agendamentos!$L:$L,B21)</f>
        <v>3</v>
      </c>
      <c r="E21" s="32" t="str">
        <f t="shared" si="0"/>
        <v>1</v>
      </c>
      <c r="F21" s="33" t="s">
        <v>45</v>
      </c>
    </row>
    <row r="22" spans="1:6" x14ac:dyDescent="0.25">
      <c r="B22" t="s">
        <v>6</v>
      </c>
      <c r="C22" s="14">
        <v>43722</v>
      </c>
      <c r="D22">
        <f>COUNTIFS(agendamentos!$B:$B,C22,agendamentos!$L:$L,B22)</f>
        <v>2</v>
      </c>
      <c r="E22" s="32" t="str">
        <f t="shared" si="0"/>
        <v>1</v>
      </c>
      <c r="F22" s="33" t="s">
        <v>74</v>
      </c>
    </row>
    <row r="23" spans="1:6" x14ac:dyDescent="0.25">
      <c r="B23" t="s">
        <v>6</v>
      </c>
      <c r="C23" s="14">
        <v>43736</v>
      </c>
      <c r="D23">
        <f>COUNTIFS(agendamentos!$B:$B,C23,agendamentos!$L:$L,B23)</f>
        <v>2</v>
      </c>
      <c r="E23" s="32" t="str">
        <f t="shared" si="0"/>
        <v>1</v>
      </c>
      <c r="F23" s="33" t="s">
        <v>72</v>
      </c>
    </row>
    <row r="24" spans="1:6" x14ac:dyDescent="0.25">
      <c r="B24" t="s">
        <v>6</v>
      </c>
      <c r="C24" s="14">
        <v>43743</v>
      </c>
      <c r="D24">
        <f>COUNTIFS(agendamentos!$B:$B,C24,agendamentos!$L:$L,B24)</f>
        <v>1</v>
      </c>
      <c r="E24" s="32" t="str">
        <f t="shared" si="0"/>
        <v>1</v>
      </c>
      <c r="F24" s="33" t="s">
        <v>42</v>
      </c>
    </row>
    <row r="25" spans="1:6" x14ac:dyDescent="0.25">
      <c r="B25" t="s">
        <v>6</v>
      </c>
      <c r="C25" s="14">
        <v>43757</v>
      </c>
      <c r="D25">
        <f>COUNTIFS(agendamentos!$B:$B,C25,agendamentos!$L:$L,B25)</f>
        <v>1</v>
      </c>
      <c r="E25" s="32" t="str">
        <f t="shared" si="0"/>
        <v>1</v>
      </c>
      <c r="F25" s="33" t="s">
        <v>43</v>
      </c>
    </row>
    <row r="26" spans="1:6" x14ac:dyDescent="0.25">
      <c r="B26" t="s">
        <v>6</v>
      </c>
      <c r="C26" s="14">
        <v>43764</v>
      </c>
      <c r="D26">
        <f>COUNTIFS(agendamentos!$B:$B,C26,agendamentos!$L:$L,B26)</f>
        <v>1</v>
      </c>
      <c r="E26" s="32" t="str">
        <f t="shared" si="0"/>
        <v>1</v>
      </c>
      <c r="F26" s="33" t="s">
        <v>44</v>
      </c>
    </row>
    <row r="27" spans="1:6" x14ac:dyDescent="0.25">
      <c r="B27" t="s">
        <v>6</v>
      </c>
      <c r="C27" s="14">
        <v>43778</v>
      </c>
      <c r="D27">
        <f>COUNTIFS(agendamentos!$B:$B,C27,agendamentos!$L:$L,B27)</f>
        <v>2</v>
      </c>
      <c r="E27" s="32" t="str">
        <f t="shared" si="0"/>
        <v>1</v>
      </c>
      <c r="F27" s="33" t="s">
        <v>45</v>
      </c>
    </row>
    <row r="28" spans="1:6" x14ac:dyDescent="0.25">
      <c r="B28" t="s">
        <v>6</v>
      </c>
      <c r="C28" s="14">
        <v>43792</v>
      </c>
      <c r="D28">
        <f>COUNTIFS(agendamentos!$B:$B,C28,agendamentos!$L:$L,B28)</f>
        <v>1</v>
      </c>
      <c r="E28" s="32" t="str">
        <f t="shared" si="0"/>
        <v>1</v>
      </c>
      <c r="F28" s="33" t="s">
        <v>46</v>
      </c>
    </row>
    <row r="29" spans="1:6" x14ac:dyDescent="0.25">
      <c r="B29" t="s">
        <v>6</v>
      </c>
      <c r="C29" s="14">
        <v>43799</v>
      </c>
      <c r="D29">
        <f>COUNTIFS(agendamentos!$B:$B,C29,agendamentos!$L:$L,B29)</f>
        <v>0</v>
      </c>
      <c r="E29" s="32" t="str">
        <f t="shared" si="0"/>
        <v>1</v>
      </c>
      <c r="F29" s="33" t="s">
        <v>47</v>
      </c>
    </row>
    <row r="30" spans="1:6" x14ac:dyDescent="0.25">
      <c r="B30" t="s">
        <v>6</v>
      </c>
      <c r="C30" s="14">
        <v>43806</v>
      </c>
      <c r="D30">
        <f>COUNTIFS(agendamentos!$B:$B,C30,agendamentos!$L:$L,B30)</f>
        <v>1</v>
      </c>
      <c r="E30" s="32" t="str">
        <f t="shared" si="0"/>
        <v>1</v>
      </c>
      <c r="F30" s="33" t="s">
        <v>48</v>
      </c>
    </row>
    <row r="31" spans="1:6" x14ac:dyDescent="0.25">
      <c r="B31" t="s">
        <v>6</v>
      </c>
      <c r="C31" s="14">
        <v>43813</v>
      </c>
      <c r="D31">
        <f>COUNTIFS(agendamentos!$B:$B,C31,agendamentos!$L:$L,B31)</f>
        <v>0</v>
      </c>
      <c r="E31" s="32" t="str">
        <f t="shared" si="0"/>
        <v>1</v>
      </c>
      <c r="F31" s="33" t="s">
        <v>41</v>
      </c>
    </row>
    <row r="32" spans="1:6" x14ac:dyDescent="0.25">
      <c r="B32" t="s">
        <v>6</v>
      </c>
      <c r="C32" s="14">
        <v>43841</v>
      </c>
      <c r="D32">
        <f>COUNTIFS(agendamentos!$B:$B,C32,agendamentos!$L:$L,B32)</f>
        <v>0</v>
      </c>
      <c r="E32" s="32" t="str">
        <f t="shared" si="0"/>
        <v>1</v>
      </c>
      <c r="F32" s="33" t="s">
        <v>42</v>
      </c>
    </row>
    <row r="33" spans="2:6" x14ac:dyDescent="0.25">
      <c r="B33" t="s">
        <v>6</v>
      </c>
      <c r="C33" s="14">
        <v>43855</v>
      </c>
      <c r="D33">
        <f>COUNTIFS(agendamentos!$B:$B,C33,agendamentos!$L:$L,B33)</f>
        <v>0</v>
      </c>
      <c r="E33" s="32" t="str">
        <f t="shared" si="0"/>
        <v>1</v>
      </c>
      <c r="F33" s="33" t="s">
        <v>43</v>
      </c>
    </row>
    <row r="34" spans="2:6" x14ac:dyDescent="0.25">
      <c r="B34" t="s">
        <v>6</v>
      </c>
      <c r="C34" s="14">
        <v>43862</v>
      </c>
      <c r="D34">
        <f>COUNTIFS(agendamentos!$B:$B,C34,agendamentos!$L:$L,B34)</f>
        <v>0</v>
      </c>
      <c r="E34" s="32" t="str">
        <f t="shared" si="0"/>
        <v>1</v>
      </c>
      <c r="F34" s="33" t="s">
        <v>44</v>
      </c>
    </row>
    <row r="35" spans="2:6" x14ac:dyDescent="0.25">
      <c r="B35" t="s">
        <v>6</v>
      </c>
      <c r="C35" s="14">
        <v>43869</v>
      </c>
      <c r="D35">
        <f>COUNTIFS(agendamentos!$B:$B,C35,agendamentos!$L:$L,B35)</f>
        <v>0</v>
      </c>
      <c r="E35" s="32" t="str">
        <f t="shared" si="0"/>
        <v>1</v>
      </c>
      <c r="F35" s="33" t="s">
        <v>45</v>
      </c>
    </row>
    <row r="36" spans="2:6" x14ac:dyDescent="0.25">
      <c r="B36" t="s">
        <v>6</v>
      </c>
      <c r="C36" s="14">
        <v>43876</v>
      </c>
      <c r="D36">
        <f>COUNTIFS(agendamentos!$B:$B,C36,agendamentos!$L:$L,B36)</f>
        <v>0</v>
      </c>
      <c r="E36" s="32" t="str">
        <f t="shared" si="0"/>
        <v>1</v>
      </c>
      <c r="F36" s="33" t="s">
        <v>46</v>
      </c>
    </row>
    <row r="37" spans="2:6" x14ac:dyDescent="0.25">
      <c r="B37" t="s">
        <v>6</v>
      </c>
      <c r="C37" s="14">
        <v>43890</v>
      </c>
      <c r="D37">
        <f>COUNTIFS(agendamentos!$B:$B,C37,agendamentos!$L:$L,B37)</f>
        <v>0</v>
      </c>
      <c r="E37" s="32" t="str">
        <f t="shared" si="0"/>
        <v>1</v>
      </c>
      <c r="F37" s="33" t="s">
        <v>47</v>
      </c>
    </row>
    <row r="38" spans="2:6" x14ac:dyDescent="0.25">
      <c r="B38" t="s">
        <v>6</v>
      </c>
      <c r="C38" s="14">
        <v>43904</v>
      </c>
      <c r="D38">
        <f>COUNTIFS(agendamentos!$B:$B,C38,agendamentos!$L:$L,B38)</f>
        <v>0</v>
      </c>
      <c r="E38" s="32" t="str">
        <f t="shared" si="0"/>
        <v>1</v>
      </c>
      <c r="F38" s="33" t="s">
        <v>48</v>
      </c>
    </row>
    <row r="39" spans="2:6" x14ac:dyDescent="0.25">
      <c r="B39" t="s">
        <v>6</v>
      </c>
      <c r="C39" s="14">
        <v>43918</v>
      </c>
      <c r="D39">
        <f>COUNTIFS(agendamentos!$B:$B,C39,agendamentos!$L:$L,B39)</f>
        <v>0</v>
      </c>
      <c r="E39" s="32" t="str">
        <f t="shared" si="0"/>
        <v>1</v>
      </c>
      <c r="F39" s="33" t="s">
        <v>41</v>
      </c>
    </row>
    <row r="40" spans="2:6" x14ac:dyDescent="0.25">
      <c r="B40" t="s">
        <v>6</v>
      </c>
      <c r="C40" s="14">
        <v>43925</v>
      </c>
      <c r="D40">
        <f>COUNTIFS(agendamentos!$B:$B,C40,agendamentos!$L:$L,B40)</f>
        <v>0</v>
      </c>
      <c r="E40" s="32" t="str">
        <f t="shared" si="0"/>
        <v>1</v>
      </c>
      <c r="F40" s="33" t="s">
        <v>42</v>
      </c>
    </row>
    <row r="41" spans="2:6" x14ac:dyDescent="0.25">
      <c r="B41" t="s">
        <v>6</v>
      </c>
      <c r="C41" s="14">
        <v>43946</v>
      </c>
      <c r="D41">
        <f>COUNTIFS(agendamentos!$B:$B,C41,agendamentos!$L:$L,B41)</f>
        <v>0</v>
      </c>
      <c r="E41" s="32" t="str">
        <f t="shared" si="0"/>
        <v>1</v>
      </c>
      <c r="F41" s="33" t="s">
        <v>43</v>
      </c>
    </row>
    <row r="42" spans="2:6" x14ac:dyDescent="0.25">
      <c r="B42" t="s">
        <v>6</v>
      </c>
      <c r="C42" s="14">
        <v>43960</v>
      </c>
      <c r="D42">
        <f>COUNTIFS(agendamentos!$B:$B,C42,agendamentos!$L:$L,B42)</f>
        <v>0</v>
      </c>
      <c r="E42" s="32" t="str">
        <f t="shared" si="0"/>
        <v>1</v>
      </c>
      <c r="F42" s="33" t="s">
        <v>44</v>
      </c>
    </row>
    <row r="43" spans="2:6" x14ac:dyDescent="0.25">
      <c r="B43" t="s">
        <v>6</v>
      </c>
      <c r="C43" s="14">
        <v>43974</v>
      </c>
      <c r="D43">
        <f>COUNTIFS(agendamentos!$B:$B,C43,agendamentos!$L:$L,B43)</f>
        <v>0</v>
      </c>
      <c r="E43" s="32" t="str">
        <f t="shared" si="0"/>
        <v>1</v>
      </c>
      <c r="F43" s="33" t="s">
        <v>45</v>
      </c>
    </row>
    <row r="44" spans="2:6" x14ac:dyDescent="0.25">
      <c r="B44" t="s">
        <v>6</v>
      </c>
      <c r="C44" s="14">
        <v>43988</v>
      </c>
      <c r="D44">
        <f>COUNTIFS(agendamentos!$B:$B,C44,agendamentos!$L:$L,B44)</f>
        <v>0</v>
      </c>
      <c r="E44" s="32" t="str">
        <f t="shared" si="0"/>
        <v>1</v>
      </c>
      <c r="F44" s="33" t="s">
        <v>46</v>
      </c>
    </row>
    <row r="45" spans="2:6" x14ac:dyDescent="0.25">
      <c r="B45" t="s">
        <v>6</v>
      </c>
      <c r="C45" s="14">
        <v>44009</v>
      </c>
      <c r="D45">
        <f>COUNTIFS(agendamentos!$B:$B,C45,agendamentos!$L:$L,B45)</f>
        <v>0</v>
      </c>
      <c r="E45" s="32" t="str">
        <f t="shared" si="0"/>
        <v>1</v>
      </c>
      <c r="F45" s="33" t="s">
        <v>47</v>
      </c>
    </row>
  </sheetData>
  <conditionalFormatting sqref="C1:C45">
    <cfRule type="cellIs" dxfId="0" priority="1" operator="lessThan">
      <formula>$XFB$1</formula>
    </cfRule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agendamentos</vt:lpstr>
      <vt:lpstr>escala - limpeza</vt:lpstr>
      <vt:lpstr>Historico</vt:lpstr>
      <vt:lpstr>contagem café</vt:lpstr>
      <vt:lpstr>agendamentos!Area_de_impressao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chrysler.freitas</dc:creator>
  <cp:lastModifiedBy>Ivanildo Junior</cp:lastModifiedBy>
  <cp:lastPrinted>2019-05-24T14:37:06Z</cp:lastPrinted>
  <dcterms:created xsi:type="dcterms:W3CDTF">2016-05-23T16:35:38Z</dcterms:created>
  <dcterms:modified xsi:type="dcterms:W3CDTF">2019-05-31T00:16:27Z</dcterms:modified>
</cp:coreProperties>
</file>