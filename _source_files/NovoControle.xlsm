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b4343a284c5e40de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12" codeName="{61638066-69CD-5DBD-CD94-FFEC8A4DF156}"/>
  <workbookPr codeName="twb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esktop\"/>
    </mc:Choice>
  </mc:AlternateContent>
  <xr:revisionPtr revIDLastSave="0" documentId="13_ncr:1_{33C2C459-6191-4B50-95C6-CC972257EEC8}" xr6:coauthVersionLast="32" xr6:coauthVersionMax="32" xr10:uidLastSave="{00000000-0000-0000-0000-000000000000}"/>
  <bookViews>
    <workbookView xWindow="0" yWindow="15000" windowWidth="20490" windowHeight="8355" tabRatio="794" xr2:uid="{71036123-8338-437F-A95B-8BAB25895B64}"/>
  </bookViews>
  <sheets>
    <sheet name="Lançamentos" sheetId="1" r:id="rId1"/>
    <sheet name="Pedidos" sheetId="4" r:id="rId2"/>
    <sheet name="Tabela_Cartões" sheetId="26" state="hidden" r:id="rId3"/>
    <sheet name="Dimensões Apoio" sheetId="24" r:id="rId4"/>
    <sheet name="Report" sheetId="28" r:id="rId5"/>
  </sheets>
  <functionGroups builtInGroupCount="19"/>
  <definedNames>
    <definedName name="_xlcn.WorksheetConnection_wbSalesManager.xlsmfCaixa1" hidden="1">fCaixa[]</definedName>
    <definedName name="dPagamentos">'Dimensões Apoio'!$B$6:$C$8</definedName>
    <definedName name="nDESC">OFFSET('Dimensões Apoio'!#REF!,1,0,COUNTA('Dimensões Apoio'!#REF!)-1,1)</definedName>
    <definedName name="nDESC2">OFFSET('Dimensões Apoio'!#REF!,1,0,COUNTA('Dimensões Apoio'!#REF!)-2,1)</definedName>
    <definedName name="nLancs">OFFSET('Dimensões Apoio'!#REF!,1,0,COUNTA('Dimensões Apoio'!$A:$A)-1,1)</definedName>
    <definedName name="nPGTO">OFFSET('Dimensões Apoio'!#REF!,1,0,COUNTA('Dimensões Apoio'!$B:$B)-1,1)</definedName>
  </definedNames>
  <calcPr calcId="179017"/>
  <fileRecoveryPr autoRecover="0"/>
  <extLst>
    <ext xmlns:x15="http://schemas.microsoft.com/office/spreadsheetml/2010/11/main" uri="{841E416B-1EF1-43b6-AB56-02D37102CBD5}">
      <x15:pivotCaches>
        <pivotCache cacheId="20" r:id="rId6"/>
        <pivotCache cacheId="21" r:id="rId7"/>
        <pivotCache cacheId="22" r:id="rId8"/>
        <pivotCache cacheId="28" r:id="rId9"/>
      </x15:pivotCaches>
    </ext>
    <ext xmlns:x15="http://schemas.microsoft.com/office/spreadsheetml/2010/11/main" uri="{983426D0-5260-488c-9760-48F4B6AC55F4}">
      <x15:pivotTableReferences>
        <x15:pivotTableReference r:id="rId10"/>
        <x15:pivotTableReference r:id="rId11"/>
        <x15:pivotTableReference r:id="rId12"/>
        <x15:pivotTableReference r:id="rId1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Caixa" name="fCaixa" connection="WorksheetConnection_wbSalesManager.xlsm!fCaixa"/>
          <x15:modelTable id="Calendário" name="Calendário" connection="Conexão"/>
        </x15:modelTables>
        <x15:modelRelationships>
          <x15:modelRelationship fromTable="fCaixa" fromColumn="DataLançamento" toTable="Calendário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2" i="4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G70" i="1"/>
  <c r="A71" i="1"/>
  <c r="A72" i="1"/>
  <c r="G72" i="1"/>
  <c r="A73" i="1"/>
  <c r="A74" i="1"/>
  <c r="A75" i="1"/>
  <c r="A76" i="1"/>
  <c r="A77" i="1"/>
  <c r="J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H92" i="1"/>
  <c r="A93" i="1"/>
  <c r="A94" i="1"/>
  <c r="H94" i="1"/>
  <c r="A95" i="1"/>
  <c r="A96" i="1"/>
  <c r="G96" i="1"/>
  <c r="H96" i="1"/>
  <c r="A97" i="1"/>
  <c r="A98" i="1"/>
  <c r="A99" i="1"/>
  <c r="A100" i="1"/>
  <c r="H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H120" i="1"/>
  <c r="A121" i="1"/>
  <c r="H121" i="1"/>
  <c r="A122" i="1"/>
  <c r="H122" i="1"/>
  <c r="A123" i="1"/>
  <c r="H123" i="1"/>
  <c r="A124" i="1"/>
  <c r="A125" i="1"/>
  <c r="H125" i="1"/>
  <c r="A126" i="1"/>
  <c r="H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C28A82-8B9E-48BC-9EC3-1BEACCCD9E4E}" name="Conexão" type="104" refreshedVersion="0" background="1">
    <extLst>
      <ext xmlns:x15="http://schemas.microsoft.com/office/spreadsheetml/2010/11/main" uri="{DE250136-89BD-433C-8126-D09CA5730AF9}">
        <x15:connection id="Calendário"/>
      </ext>
    </extLst>
  </connection>
  <connection id="2" xr16:uid="{FB040D9C-0AB9-42C3-87E8-53CAF35994F1}" keepAlive="1" name="ThisWorkbookDataModel" description="Modelo de Dados" type="5" refreshedVersion="6" minRefreshableVersion="5" background="1" saveData="1">
    <dbPr connection="Data Model Connection" command="Model" commandType="1"/>
    <olapPr sendLocale="1" rowDrillCount="1000" serverFill="0" serverFont="0" serverFontColor="0"/>
    <extLst>
      <ext xmlns:x15="http://schemas.microsoft.com/office/spreadsheetml/2010/11/main" uri="{DE250136-89BD-433C-8126-D09CA5730AF9}">
        <x15:connection id="" model="1"/>
      </ext>
    </extLst>
  </connection>
  <connection id="3" xr16:uid="{FF97D80C-473D-484E-8AF6-7894F9D9A5F6}" name="WorksheetConnection_wbSalesManager.xlsm!fCaixa" type="102" refreshedVersion="6" minRefreshableVersion="5" refreshOnLoad="1" saveData="1">
    <extLst>
      <ext xmlns:x15="http://schemas.microsoft.com/office/spreadsheetml/2010/11/main" uri="{DE250136-89BD-433C-8126-D09CA5730AF9}">
        <x15:connection id="fCaixa">
          <x15:rangePr sourceName="_xlcn.WorksheetConnection_wbSalesManager.xlsmfCaixa1"/>
        </x15:connection>
      </ext>
    </extLst>
  </connection>
</connections>
</file>

<file path=xl/sharedStrings.xml><?xml version="1.0" encoding="utf-8"?>
<sst xmlns="http://schemas.openxmlformats.org/spreadsheetml/2006/main" count="236" uniqueCount="48">
  <si>
    <t>ID</t>
  </si>
  <si>
    <t>DataLançamento</t>
  </si>
  <si>
    <t>Descrição</t>
  </si>
  <si>
    <t>LocalVenda</t>
  </si>
  <si>
    <t>Venda</t>
  </si>
  <si>
    <t>Preço/Un.</t>
  </si>
  <si>
    <t>Custo/KG.</t>
  </si>
  <si>
    <t>QTD Perdida</t>
  </si>
  <si>
    <t>IDPedido</t>
  </si>
  <si>
    <t>RECEITA</t>
  </si>
  <si>
    <t>DINHEIRO</t>
  </si>
  <si>
    <t>VENDA/35G</t>
  </si>
  <si>
    <t>TEREZA</t>
  </si>
  <si>
    <t>VAZAME</t>
  </si>
  <si>
    <t>CUSTO</t>
  </si>
  <si>
    <t>MANUTENÇÕES</t>
  </si>
  <si>
    <t>GÁS</t>
  </si>
  <si>
    <t>ALUGUEL</t>
  </si>
  <si>
    <t>EMBALAGENS</t>
  </si>
  <si>
    <t>VENDA/50G</t>
  </si>
  <si>
    <t>ENERGIA</t>
  </si>
  <si>
    <t>CARTÃO DÉBITO</t>
  </si>
  <si>
    <t>CARTÃO CRÉDITO</t>
  </si>
  <si>
    <t>Data Entrada</t>
  </si>
  <si>
    <t>Entrada</t>
  </si>
  <si>
    <t>Preço/KG</t>
  </si>
  <si>
    <t>Status</t>
  </si>
  <si>
    <t>PAGO</t>
  </si>
  <si>
    <t>NÃO PAGO</t>
  </si>
  <si>
    <t>DATA</t>
  </si>
  <si>
    <t>DESCRIÇÃO</t>
  </si>
  <si>
    <t>GRUPO</t>
  </si>
  <si>
    <t>VALOR</t>
  </si>
  <si>
    <t>VAL</t>
  </si>
  <si>
    <t>CASAS BAHIA</t>
  </si>
  <si>
    <t>CARTÕES DE CRÉDITO</t>
  </si>
  <si>
    <t>COLOMBO</t>
  </si>
  <si>
    <t>C&amp;A</t>
  </si>
  <si>
    <t>ÁVISTA</t>
  </si>
  <si>
    <t>CARTÃO LOPES</t>
  </si>
  <si>
    <t>PONTAL</t>
  </si>
  <si>
    <t>BESNI</t>
  </si>
  <si>
    <t>Pagamento</t>
  </si>
  <si>
    <t>TaxaADM</t>
  </si>
  <si>
    <t>TipoLançamento</t>
  </si>
  <si>
    <t>TipoPagamento</t>
  </si>
  <si>
    <t>PIRAJUSSARA</t>
  </si>
  <si>
    <t>IMPOSTOS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</si>
</sst>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-* #,##0.000_-;\-* #,##0.000_-;_-* &quot;-&quot;??_-;_-@_-"/>
    <numFmt numFmtId="167" formatCode="_-* #,##0.000_-;\-* #,##0.000_-;_-* &quot;-&quot;?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0">
    <xf numFmtId="0" fontId="0" fillId="0" borderId="0" xfId="0"/>
    <xf numFmtId="0" fontId="4" fillId="0" borderId="0" xfId="0" applyFont="1"/>
    <xf numFmtId="0" fontId="5" fillId="0" borderId="0" xfId="0" applyFont="1"/>
    <xf numFmtId="0" fontId="1" fillId="0" borderId="0" xfId="0" applyNumberFormat="1" applyFont="1"/>
    <xf numFmtId="14" fontId="2" fillId="3" borderId="2" xfId="0" applyNumberFormat="1" applyFont="1" applyFill="1" applyBorder="1" applyAlignment="1">
      <alignment horizontal="center"/>
    </xf>
    <xf numFmtId="0" fontId="2" fillId="3" borderId="4" xfId="0" applyNumberFormat="1" applyFont="1" applyFill="1" applyBorder="1" applyAlignment="1">
      <alignment horizontal="center"/>
    </xf>
    <xf numFmtId="164" fontId="2" fillId="3" borderId="4" xfId="0" applyNumberFormat="1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/>
    </xf>
    <xf numFmtId="14" fontId="2" fillId="0" borderId="2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6" fillId="2" borderId="5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3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/>
    <xf numFmtId="164" fontId="1" fillId="0" borderId="0" xfId="0" applyNumberFormat="1" applyFont="1"/>
    <xf numFmtId="44" fontId="1" fillId="0" borderId="0" xfId="0" applyNumberFormat="1" applyFont="1"/>
    <xf numFmtId="10" fontId="1" fillId="0" borderId="0" xfId="1" applyNumberFormat="1" applyFont="1"/>
    <xf numFmtId="164" fontId="1" fillId="0" borderId="0" xfId="1" applyNumberFormat="1" applyFont="1"/>
    <xf numFmtId="166" fontId="1" fillId="0" borderId="0" xfId="3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14" fontId="1" fillId="0" borderId="0" xfId="0" applyNumberFormat="1" applyFont="1"/>
    <xf numFmtId="167" fontId="1" fillId="0" borderId="0" xfId="0" applyNumberFormat="1" applyFont="1"/>
    <xf numFmtId="166" fontId="5" fillId="0" borderId="0" xfId="3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64" fontId="4" fillId="0" borderId="0" xfId="0" applyNumberFormat="1" applyFont="1"/>
    <xf numFmtId="14" fontId="3" fillId="0" borderId="0" xfId="0" applyNumberFormat="1" applyFont="1" applyAlignment="1">
      <alignment horizontal="center" vertical="center"/>
    </xf>
    <xf numFmtId="10" fontId="0" fillId="0" borderId="0" xfId="1" applyNumberFormat="1" applyFont="1"/>
    <xf numFmtId="0" fontId="0" fillId="0" borderId="0" xfId="0" applyNumberFormat="1" applyAlignment="1">
      <alignment horizontal="center"/>
    </xf>
  </cellXfs>
  <cellStyles count="4">
    <cellStyle name="Moeda 2" xfId="2" xr:uid="{800B963C-B4DF-47B2-8B13-69B7F141CF2C}"/>
    <cellStyle name="Normal" xfId="0" builtinId="0"/>
    <cellStyle name="Porcentagem" xfId="1" builtinId="5"/>
    <cellStyle name="Vírgula" xfId="3" builtinId="3"/>
  </cellStyles>
  <dxfs count="42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4" formatCode="0.00%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.000_-;\-* #,##0.000_-;_-* &quot;-&quot;??_-;_-@_-"/>
      <alignment horizontal="center" vertical="center" textRotation="0" wrapText="0" indent="0" justifyLastLine="0" shrinkToFit="0" readingOrder="0"/>
    </dxf>
    <dxf>
      <numFmt numFmtId="166" formatCode="_-* #,##0.000_-;\-* #,##0.000_-;_-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ck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2A34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Table" Target="pivotTables/pivotTable4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pivotCacheDefinition" Target="pivotCache/pivotCacheDefinition2.xml"/><Relationship Id="rId12" Type="http://schemas.openxmlformats.org/officeDocument/2006/relationships/pivotTable" Target="pivotTables/pivotTable3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Table" Target="pivotTables/pivotTable2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pivotTable" Target="pivotTables/pivotTable1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 b="1">
                <a:latin typeface="Segoe UI" panose="020B0502040204020203" pitchFamily="34" charset="0"/>
                <a:cs typeface="Segoe UI" panose="020B0502040204020203" pitchFamily="34" charset="0"/>
              </a:rPr>
              <a:t>Faturamento</a:t>
            </a:r>
            <a:r>
              <a:rPr lang="pt-BR" b="1" baseline="0">
                <a:latin typeface="Segoe UI" panose="020B0502040204020203" pitchFamily="34" charset="0"/>
                <a:cs typeface="Segoe UI" panose="020B0502040204020203" pitchFamily="34" charset="0"/>
              </a:rPr>
              <a:t> e Lucro Final por Ano/Mês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191711824"/>
        <c:axId val="1191718384"/>
      </c:barChart>
      <c:lineChart>
        <c:grouping val="standar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91711824"/>
        <c:axId val="1191718384"/>
      </c:lineChart>
      <c:catAx>
        <c:axId val="1191711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11917183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91718384"/>
        <c:scaling>
          <c:orientation val="minMax"/>
        </c:scaling>
        <c:delete val="1"/>
        <c:axPos val="l"/>
        <c:numFmt formatCode="&quot;R$&quot;#,##0.00_);\(&quot;R$&quot;#,##0.00\)" sourceLinked="0"/>
        <c:majorTickMark val="none"/>
        <c:minorTickMark val="none"/>
        <c:tickLblPos val="nextTo"/>
        <c:crossAx val="1191711824"/>
        <c:crosses val="autoZero"/>
        <c:crossBetween val="between"/>
        <c:extLst>
          <c:ext xmlns:c15="http://schemas.microsoft.com/office/drawing/2012/chart" uri="{F40574EE-89B7-4290-83BB-5DA773EAF853}">
            <c15:numFmt c:formatCode="&quot;R$&quot;#,##0.00_);\(&quot;R$&quot;#,##0.00\)" c:sourceLinked="1"/>
          </c:ext>
        </c:extLst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[NovoControle.xlsm]PivotChartTable2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Ticket Médio ID Pedido por Ano/Mês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"R$"#,##0.00_);\("R$"#,##0.00\)</c:formatCode>
              <c:ptCount val="1"/>
              <c:pt idx="0">
                <c:v>87.51015873015875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EE4-442C-9ED4-35DB43933ED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93761400"/>
        <c:axId val="1193763040"/>
      </c:lineChart>
      <c:catAx>
        <c:axId val="1193761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endParaRPr lang="pt-BR"/>
          </a:p>
        </c:txPr>
        <c:crossAx val="119376304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93763040"/>
        <c:scaling>
          <c:orientation val="minMax"/>
        </c:scaling>
        <c:delete val="1"/>
        <c:axPos val="l"/>
        <c:numFmt formatCode="&quot;R$&quot;#,##0.00_);\(&quot;R$&quot;#,##0.00\)" sourceLinked="0"/>
        <c:majorTickMark val="none"/>
        <c:minorTickMark val="none"/>
        <c:tickLblPos val="nextTo"/>
        <c:crossAx val="1193761400"/>
        <c:crosses val="autoZero"/>
        <c:crossBetween val="between"/>
        <c:extLst>
          <c:ext xmlns:c15="http://schemas.microsoft.com/office/drawing/2012/chart" uri="{F40574EE-89B7-4290-83BB-5DA773EAF853}">
            <c15:numFmt c:formatCode="&quot;R$&quot;#,##0.00_);\(&quot;R$&quot;#,##0.00\)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[NovoControle.xlsm]PivotChartTable3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Despesa, Custo Produto, Outros</a:t>
            </a:r>
            <a:r>
              <a:rPr lang="pt-BR" b="1" baseline="0"/>
              <a:t> Custos por Ano/Mês</a:t>
            </a:r>
            <a:endParaRPr lang="pt-B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97064312"/>
        <c:axId val="1297064640"/>
      </c:barChart>
      <c:lineChart>
        <c:grouping val="standar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97064312"/>
        <c:axId val="1297064640"/>
      </c:lineChart>
      <c:catAx>
        <c:axId val="12970643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706464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97064640"/>
        <c:scaling>
          <c:orientation val="minMax"/>
        </c:scaling>
        <c:delete val="1"/>
        <c:axPos val="l"/>
        <c:numFmt formatCode="&quot;R$&quot;#,##0.00_);\(&quot;R$&quot;#,##0.00\)" sourceLinked="0"/>
        <c:majorTickMark val="none"/>
        <c:minorTickMark val="none"/>
        <c:tickLblPos val="nextTo"/>
        <c:crossAx val="1297064312"/>
        <c:crosses val="autoZero"/>
        <c:crossBetween val="between"/>
        <c:extLst>
          <c:ext xmlns:c15="http://schemas.microsoft.com/office/drawing/2012/chart" uri="{F40574EE-89B7-4290-83BB-5DA773EAF853}">
            <c15:numFmt c:formatCode="&quot;R$&quot;#,##0.00_);\(&quot;R$&quot;#,##0.00\)" c:sourceLinked="1"/>
          </c:ext>
        </c:extLst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[NovoControle.xlsm]PivotChartTable4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KG's</a:t>
            </a:r>
            <a:r>
              <a:rPr lang="pt-BR" b="1" baseline="0"/>
              <a:t> Vendidos e Perdios por Ano/Mês</a:t>
            </a:r>
            <a:endParaRPr lang="pt-B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143073960"/>
        <c:axId val="1143077240"/>
      </c:barChart>
      <c:catAx>
        <c:axId val="1143073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07724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3077240"/>
        <c:scaling>
          <c:orientation val="minMax"/>
        </c:scaling>
        <c:delete val="1"/>
        <c:axPos val="l"/>
        <c:numFmt formatCode="#,##0.000" sourceLinked="0"/>
        <c:majorTickMark val="none"/>
        <c:minorTickMark val="none"/>
        <c:tickLblPos val="nextTo"/>
        <c:crossAx val="1143073960"/>
        <c:crosses val="autoZero"/>
        <c:crossBetween val="between"/>
        <c:extLst>
          <c:ext xmlns:c15="http://schemas.microsoft.com/office/drawing/2012/chart" uri="{F40574EE-89B7-4290-83BB-5DA773EAF853}">
            <c15:numFmt c:formatCode="#,##0.000" c:sourceLinked="1"/>
          </c:ext>
        </c:extLst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[NovoControle.xlsm]PivotChartTable5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452438</xdr:colOff>
      <xdr:row>14</xdr:row>
      <xdr:rowOff>154780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267DCCE-0361-4C94-B02D-934811CBE1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164306</xdr:rowOff>
    </xdr:from>
    <xdr:to>
      <xdr:col>19</xdr:col>
      <xdr:colOff>476250</xdr:colOff>
      <xdr:row>30</xdr:row>
      <xdr:rowOff>50006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2FA5484-823A-4AA5-BD5B-42E737D807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21431</xdr:rowOff>
    </xdr:from>
    <xdr:to>
      <xdr:col>19</xdr:col>
      <xdr:colOff>511968</xdr:colOff>
      <xdr:row>45</xdr:row>
      <xdr:rowOff>97631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E52E835-4488-4133-89C2-ED140D79F5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46</xdr:row>
      <xdr:rowOff>80962</xdr:rowOff>
    </xdr:from>
    <xdr:to>
      <xdr:col>19</xdr:col>
      <xdr:colOff>511968</xdr:colOff>
      <xdr:row>60</xdr:row>
      <xdr:rowOff>157162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E05FFF54-8207-45AC-84E0-DF13087FC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vanildo Junior" refreshedDate="43209.555493518521" backgroundQuery="1" createdVersion="6" refreshedVersion="6" minRefreshableVersion="3" recordCount="0" supportSubquery="1" supportAdvancedDrill="1" xr:uid="{A374B769-70CA-4949-BDB1-2A630D8829EB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1">
    <cacheField name="[Calendário].[Ano/Mês].[Ano/Mês]" caption="Ano/Mês" numFmtId="0" hierarchy="7" level="1">
      <sharedItems count="24">
        <s v="2017-JUL"/>
        <s v="2017-FEV"/>
        <s v="2017-MAR"/>
        <s v="2017-ABR"/>
        <s v="2017-MAI"/>
        <s v="2017-JUN"/>
        <s v="2017-JAN"/>
        <s v="2017-AGO"/>
        <s v="2017-SET"/>
        <s v="2017-OUT"/>
        <s v="2017-NOV"/>
        <s v="2017-DEZ"/>
        <s v="2018-JAN"/>
        <s v="2018-FEV"/>
        <s v="2018-MAR"/>
        <s v="2018-ABR"/>
        <s v="2018-MAI"/>
        <s v="2018-JUN"/>
        <s v="2018-JUL"/>
        <s v="2018-AGO"/>
        <s v="2018-SET"/>
        <s v="2018-OUT"/>
        <s v="2018-NOV"/>
        <s v="2018-DEZ"/>
      </sharedItems>
    </cacheField>
  </cacheFields>
  <cacheHierarchies count="31">
    <cacheHierarchy uniqueName="[Calendário].[Date]" caption="Date" attribute="1" time="1" keyAttribute="1" defaultMemberUniqueName="[Calendário].[Date].[All]" allUniqueName="[Calendário].[Date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Número do Mês]" caption="Número do Mês" attribute="1" time="1" defaultMemberUniqueName="[Calendário].[Número do Mês].[All]" allUniqueName="[Calendário].[Número do Mês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0" memberValueDatatype="130" unbalanced="0"/>
    <cacheHierarchy uniqueName="[Calendário].[Hierarquia de Datas]" caption="Hierarquia de Datas" time="1" defaultMemberUniqueName="[Calendário].[Hierarquia de Datas].[All]" allUniqueName="[Calendário].[Hierarquia de Datas].[All]" dimensionUniqueName="[Calendário]" displayFolder="" count="0" unbalanced="0"/>
    <cacheHierarchy uniqueName="[Calendário].[Número do Dia da Semana]" caption="Número do Dia da Semana" attribute="1" time="1" defaultMemberUniqueName="[Calendário].[Número do Dia da Semana].[All]" allUniqueName="[Calendário].[Número do Dia da Semana].[All]" dimensionUniqueName="[Calendário]" displayFolder="" count="0" memberValueDatatype="2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Ano/Mês]" caption="Ano/Mês" attribute="1" time="1" defaultMemberUniqueName="[Calendário].[Ano/Mês].[All]" allUniqueName="[Calendário].[Ano/Mês].[All]" dimensionUniqueName="[Calendário]" displayFolder="" count="2" memberValueDatatype="130" unbalanced="0">
      <fieldsUsage count="2">
        <fieldUsage x="-1"/>
        <fieldUsage x="0"/>
      </fieldsUsage>
    </cacheHierarchy>
    <cacheHierarchy uniqueName="[fCaixa].[ID]" caption="ID" attribute="1" defaultMemberUniqueName="[fCaixa].[ID].[All]" allUniqueName="[fCaixa].[ID].[All]" dimensionUniqueName="[fCaixa]" displayFolder="" count="0" memberValueDatatype="20" unbalanced="0"/>
    <cacheHierarchy uniqueName="[fCaixa].[DataLançamento]" caption="DataLançamento" attribute="1" time="1" defaultMemberUniqueName="[fCaixa].[DataLançamento].[All]" allUniqueName="[fCaixa].[DataLançamento].[All]" dimensionUniqueName="[fCaixa]" displayFolder="" count="0" memberValueDatatype="7" unbalanced="0"/>
    <cacheHierarchy uniqueName="[fCaixa].[TipoLançamento]" caption="TipoLançamento" attribute="1" defaultMemberUniqueName="[fCaixa].[TipoLançamento].[All]" allUniqueName="[fCaixa].[TipoLançamento].[All]" dimensionUniqueName="[fCaixa]" displayFolder="" count="0" memberValueDatatype="20" unbalanced="0"/>
    <cacheHierarchy uniqueName="[fCaixa].[TipoPagamento]" caption="TipoPagamento" attribute="1" defaultMemberUniqueName="[fCaixa].[TipoPagamento].[All]" allUniqueName="[fCaixa].[TipoPagamento].[All]" dimensionUniqueName="[fCaixa]" displayFolder="" count="0" memberValueDatatype="20" unbalanced="0"/>
    <cacheHierarchy uniqueName="[fCaixa].[Descrição]" caption="Descrição" attribute="1" defaultMemberUniqueName="[fCaixa].[Descrição].[All]" allUniqueName="[fCaixa].[Descrição].[All]" dimensionUniqueName="[fCaixa]" displayFolder="" count="0" memberValueDatatype="20" unbalanced="0"/>
    <cacheHierarchy uniqueName="[fCaixa].[LocalVenda]" caption="LocalVenda" attribute="1" defaultMemberUniqueName="[fCaixa].[LocalVenda].[All]" allUniqueName="[fCaixa].[LocalVenda].[All]" dimensionUniqueName="[fCaixa]" displayFolder="" count="0" memberValueDatatype="20" unbalanced="0"/>
    <cacheHierarchy uniqueName="[fCaixa].[Venda]" caption="Venda" attribute="1" defaultMemberUniqueName="[fCaixa].[Venda].[All]" allUniqueName="[fCaixa].[Venda].[All]" dimensionUniqueName="[fCaixa]" displayFolder="" count="0" memberValueDatatype="5" unbalanced="0"/>
    <cacheHierarchy uniqueName="[fCaixa].[Preço/Un.]" caption="Preço/Un." attribute="1" defaultMemberUniqueName="[fCaixa].[Preço/Un.].[All]" allUniqueName="[fCaixa].[Preço/Un.].[All]" dimensionUniqueName="[fCaixa]" displayFolder="" count="0" memberValueDatatype="5" unbalanced="0"/>
    <cacheHierarchy uniqueName="[fCaixa].[Custo/KG.]" caption="Custo/KG." attribute="1" defaultMemberUniqueName="[fCaixa].[Custo/KG.].[All]" allUniqueName="[fCaixa].[Custo/KG.].[All]" dimensionUniqueName="[fCaixa]" displayFolder="" count="0" memberValueDatatype="5" unbalanced="0"/>
    <cacheHierarchy uniqueName="[fCaixa].[QTD Perdida]" caption="QTD Perdida" attribute="1" defaultMemberUniqueName="[fCaixa].[QTD Perdida].[All]" allUniqueName="[fCaixa].[QTD Perdida].[All]" dimensionUniqueName="[fCaixa]" displayFolder="" count="0" memberValueDatatype="20" unbalanced="0"/>
    <cacheHierarchy uniqueName="[fCaixa].[CalculaID]" caption="CalculaID" attribute="1" defaultMemberUniqueName="[fCaixa].[CalculaID].[All]" allUniqueName="[fCaixa].[CalculaID].[All]" dimensionUniqueName="[fCaixa]" displayFolder="" count="0" memberValueDatatype="20" unbalanced="0"/>
    <cacheHierarchy uniqueName="[Measures].[.Faturamento]" caption=".Faturamento" measure="1" displayFolder="" measureGroup="fCaixa" count="0"/>
    <cacheHierarchy uniqueName="[Measures].[.DespesaTotal]" caption=".DespesaTotal" measure="1" displayFolder="" measureGroup="fCaixa" count="0"/>
    <cacheHierarchy uniqueName="[Measures].[.LucroFinal]" caption=".LucroFinal" measure="1" displayFolder="" measureGroup="fCaixa" count="0"/>
    <cacheHierarchy uniqueName="[Measures].[.TicketMédio]" caption=".TicketMédio" measure="1" displayFolder="" measureGroup="fCaixa" count="0"/>
    <cacheHierarchy uniqueName="[Measures].[.CustoProduto]" caption=".CustoProduto" measure="1" displayFolder="" measureGroup="fCaixa" count="0"/>
    <cacheHierarchy uniqueName="[Measures].[.OutrosCustos]" caption=".OutrosCustos" measure="1" displayFolder="" measureGroup="fCaixa" count="0"/>
    <cacheHierarchy uniqueName="[Measures].[.KG's Vendidos]" caption=".KG's Vendidos" measure="1" displayFolder="" measureGroup="fCaixa" count="0"/>
    <cacheHierarchy uniqueName="[Measures].[.KG's Perdidos]" caption=".KG's Perdidos" measure="1" displayFolder="" measureGroup="fCaixa" count="0"/>
    <cacheHierarchy uniqueName="[Measures].[.KG's Totais]" caption=".KG's Totais" measure="1" displayFolder="" measureGroup="fCaixa" count="0"/>
    <cacheHierarchy uniqueName="[Measures].[__XL_Count fCaixa]" caption="__XL_Count fCaixa" measure="1" displayFolder="" measureGroup="fCaixa" count="0" hidden="1"/>
    <cacheHierarchy uniqueName="[Measures].[__XL_Count Calendário]" caption="__XL_Count Calendário" measure="1" displayFolder="" measureGroup="Calendário" count="0" hidden="1"/>
    <cacheHierarchy uniqueName="[Measures].[__Não há medidas definidas]" caption="__Não há medidas definidas" measure="1" displayFolder="" count="0" hidden="1"/>
  </cacheHierarchies>
  <kpis count="0"/>
  <dimensions count="3">
    <dimension name="Calendário" uniqueName="[Calendário]" caption="Calendário"/>
    <dimension name="fCaixa" uniqueName="[fCaixa]" caption="fCaixa"/>
    <dimension measure="1" name="Measures" uniqueName="[Measures]" caption="Measures"/>
  </dimensions>
  <measureGroups count="2">
    <measureGroup name="Calendário" caption="Calendário"/>
    <measureGroup name="fCaixa" caption="fCaixa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pivotCacheId="128750367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vanildo Junior" refreshedDate="43209.555491203704" backgroundQuery="1" createdVersion="6" refreshedVersion="6" minRefreshableVersion="3" recordCount="0" supportSubquery="1" supportAdvancedDrill="1" xr:uid="{6442F5ED-FF82-47F9-B6BA-92150D8FB711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1">
    <cacheField name="[Calendário].[Ano/Mês].[Ano/Mês]" caption="Ano/Mês" numFmtId="0" hierarchy="7" level="1">
      <sharedItems count="24">
        <s v="2017-JUL"/>
        <s v="2017-FEV"/>
        <s v="2017-MAR"/>
        <s v="2017-ABR"/>
        <s v="2017-MAI"/>
        <s v="2017-JUN"/>
        <s v="2017-JAN"/>
        <s v="2017-AGO"/>
        <s v="2017-SET"/>
        <s v="2017-OUT"/>
        <s v="2017-NOV"/>
        <s v="2017-DEZ"/>
        <s v="2018-JAN"/>
        <s v="2018-FEV"/>
        <s v="2018-MAR"/>
        <s v="2018-ABR"/>
        <s v="2018-MAI"/>
        <s v="2018-JUN"/>
        <s v="2018-JUL"/>
        <s v="2018-AGO"/>
        <s v="2018-SET"/>
        <s v="2018-OUT"/>
        <s v="2018-NOV"/>
        <s v="2018-DEZ"/>
      </sharedItems>
    </cacheField>
  </cacheFields>
  <cacheHierarchies count="31">
    <cacheHierarchy uniqueName="[Calendário].[Date]" caption="Date" attribute="1" time="1" keyAttribute="1" defaultMemberUniqueName="[Calendário].[Date].[All]" allUniqueName="[Calendário].[Date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Número do Mês]" caption="Número do Mês" attribute="1" time="1" defaultMemberUniqueName="[Calendário].[Número do Mês].[All]" allUniqueName="[Calendário].[Número do Mês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0" memberValueDatatype="130" unbalanced="0"/>
    <cacheHierarchy uniqueName="[Calendário].[Hierarquia de Datas]" caption="Hierarquia de Datas" time="1" defaultMemberUniqueName="[Calendário].[Hierarquia de Datas].[All]" allUniqueName="[Calendário].[Hierarquia de Datas].[All]" dimensionUniqueName="[Calendário]" displayFolder="" count="0" unbalanced="0"/>
    <cacheHierarchy uniqueName="[Calendário].[Número do Dia da Semana]" caption="Número do Dia da Semana" attribute="1" time="1" defaultMemberUniqueName="[Calendário].[Número do Dia da Semana].[All]" allUniqueName="[Calendário].[Número do Dia da Semana].[All]" dimensionUniqueName="[Calendário]" displayFolder="" count="0" memberValueDatatype="2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Ano/Mês]" caption="Ano/Mês" attribute="1" time="1" defaultMemberUniqueName="[Calendário].[Ano/Mês].[All]" allUniqueName="[Calendário].[Ano/Mês].[All]" dimensionUniqueName="[Calendário]" displayFolder="" count="2" memberValueDatatype="130" unbalanced="0">
      <fieldsUsage count="2">
        <fieldUsage x="-1"/>
        <fieldUsage x="0"/>
      </fieldsUsage>
    </cacheHierarchy>
    <cacheHierarchy uniqueName="[fCaixa].[ID]" caption="ID" attribute="1" defaultMemberUniqueName="[fCaixa].[ID].[All]" allUniqueName="[fCaixa].[ID].[All]" dimensionUniqueName="[fCaixa]" displayFolder="" count="0" memberValueDatatype="20" unbalanced="0"/>
    <cacheHierarchy uniqueName="[fCaixa].[DataLançamento]" caption="DataLançamento" attribute="1" time="1" defaultMemberUniqueName="[fCaixa].[DataLançamento].[All]" allUniqueName="[fCaixa].[DataLançamento].[All]" dimensionUniqueName="[fCaixa]" displayFolder="" count="0" memberValueDatatype="7" unbalanced="0"/>
    <cacheHierarchy uniqueName="[fCaixa].[TipoLançamento]" caption="TipoLançamento" attribute="1" defaultMemberUniqueName="[fCaixa].[TipoLançamento].[All]" allUniqueName="[fCaixa].[TipoLançamento].[All]" dimensionUniqueName="[fCaixa]" displayFolder="" count="0" memberValueDatatype="20" unbalanced="0"/>
    <cacheHierarchy uniqueName="[fCaixa].[TipoPagamento]" caption="TipoPagamento" attribute="1" defaultMemberUniqueName="[fCaixa].[TipoPagamento].[All]" allUniqueName="[fCaixa].[TipoPagamento].[All]" dimensionUniqueName="[fCaixa]" displayFolder="" count="0" memberValueDatatype="20" unbalanced="0"/>
    <cacheHierarchy uniqueName="[fCaixa].[Descrição]" caption="Descrição" attribute="1" defaultMemberUniqueName="[fCaixa].[Descrição].[All]" allUniqueName="[fCaixa].[Descrição].[All]" dimensionUniqueName="[fCaixa]" displayFolder="" count="0" memberValueDatatype="20" unbalanced="0"/>
    <cacheHierarchy uniqueName="[fCaixa].[LocalVenda]" caption="LocalVenda" attribute="1" defaultMemberUniqueName="[fCaixa].[LocalVenda].[All]" allUniqueName="[fCaixa].[LocalVenda].[All]" dimensionUniqueName="[fCaixa]" displayFolder="" count="0" memberValueDatatype="20" unbalanced="0"/>
    <cacheHierarchy uniqueName="[fCaixa].[Venda]" caption="Venda" attribute="1" defaultMemberUniqueName="[fCaixa].[Venda].[All]" allUniqueName="[fCaixa].[Venda].[All]" dimensionUniqueName="[fCaixa]" displayFolder="" count="0" memberValueDatatype="5" unbalanced="0"/>
    <cacheHierarchy uniqueName="[fCaixa].[Preço/Un.]" caption="Preço/Un." attribute="1" defaultMemberUniqueName="[fCaixa].[Preço/Un.].[All]" allUniqueName="[fCaixa].[Preço/Un.].[All]" dimensionUniqueName="[fCaixa]" displayFolder="" count="0" memberValueDatatype="5" unbalanced="0"/>
    <cacheHierarchy uniqueName="[fCaixa].[Custo/KG.]" caption="Custo/KG." attribute="1" defaultMemberUniqueName="[fCaixa].[Custo/KG.].[All]" allUniqueName="[fCaixa].[Custo/KG.].[All]" dimensionUniqueName="[fCaixa]" displayFolder="" count="0" memberValueDatatype="5" unbalanced="0"/>
    <cacheHierarchy uniqueName="[fCaixa].[QTD Perdida]" caption="QTD Perdida" attribute="1" defaultMemberUniqueName="[fCaixa].[QTD Perdida].[All]" allUniqueName="[fCaixa].[QTD Perdida].[All]" dimensionUniqueName="[fCaixa]" displayFolder="" count="0" memberValueDatatype="20" unbalanced="0"/>
    <cacheHierarchy uniqueName="[fCaixa].[CalculaID]" caption="CalculaID" attribute="1" defaultMemberUniqueName="[fCaixa].[CalculaID].[All]" allUniqueName="[fCaixa].[CalculaID].[All]" dimensionUniqueName="[fCaixa]" displayFolder="" count="0" memberValueDatatype="20" unbalanced="0"/>
    <cacheHierarchy uniqueName="[Measures].[.Faturamento]" caption=".Faturamento" measure="1" displayFolder="" measureGroup="fCaixa" count="0"/>
    <cacheHierarchy uniqueName="[Measures].[.DespesaTotal]" caption=".DespesaTotal" measure="1" displayFolder="" measureGroup="fCaixa" count="0"/>
    <cacheHierarchy uniqueName="[Measures].[.LucroFinal]" caption=".LucroFinal" measure="1" displayFolder="" measureGroup="fCaixa" count="0"/>
    <cacheHierarchy uniqueName="[Measures].[.TicketMédio]" caption=".TicketMédio" measure="1" displayFolder="" measureGroup="fCaixa" count="0"/>
    <cacheHierarchy uniqueName="[Measures].[.CustoProduto]" caption=".CustoProduto" measure="1" displayFolder="" measureGroup="fCaixa" count="0"/>
    <cacheHierarchy uniqueName="[Measures].[.OutrosCustos]" caption=".OutrosCustos" measure="1" displayFolder="" measureGroup="fCaixa" count="0"/>
    <cacheHierarchy uniqueName="[Measures].[.KG's Vendidos]" caption=".KG's Vendidos" measure="1" displayFolder="" measureGroup="fCaixa" count="0"/>
    <cacheHierarchy uniqueName="[Measures].[.KG's Perdidos]" caption=".KG's Perdidos" measure="1" displayFolder="" measureGroup="fCaixa" count="0"/>
    <cacheHierarchy uniqueName="[Measures].[.KG's Totais]" caption=".KG's Totais" measure="1" displayFolder="" measureGroup="fCaixa" count="0"/>
    <cacheHierarchy uniqueName="[Measures].[__XL_Count fCaixa]" caption="__XL_Count fCaixa" measure="1" displayFolder="" measureGroup="fCaixa" count="0" hidden="1"/>
    <cacheHierarchy uniqueName="[Measures].[__XL_Count Calendário]" caption="__XL_Count Calendário" measure="1" displayFolder="" measureGroup="Calendário" count="0" hidden="1"/>
    <cacheHierarchy uniqueName="[Measures].[__Não há medidas definidas]" caption="__Não há medidas definidas" measure="1" displayFolder="" count="0" hidden="1"/>
  </cacheHierarchies>
  <kpis count="0"/>
  <dimensions count="3">
    <dimension name="Calendário" uniqueName="[Calendário]" caption="Calendário"/>
    <dimension name="fCaixa" uniqueName="[fCaixa]" caption="fCaixa"/>
    <dimension measure="1" name="Measures" uniqueName="[Measures]" caption="Measures"/>
  </dimensions>
  <measureGroups count="2">
    <measureGroup name="Calendário" caption="Calendário"/>
    <measureGroup name="fCaixa" caption="fCaixa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pivotCacheId="207301846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vanildo Junior" refreshedDate="43209.555485763885" backgroundQuery="1" createdVersion="6" refreshedVersion="6" minRefreshableVersion="3" recordCount="0" supportSubquery="1" supportAdvancedDrill="1" xr:uid="{05F7D62C-70DF-4C1D-86B2-F6C4EC0EF133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1">
    <cacheField name="[Calendário].[Ano/Mês].[Ano/Mês]" caption="Ano/Mês" numFmtId="0" hierarchy="7" level="1">
      <sharedItems count="24">
        <s v="2017-JUL"/>
        <s v="2017-FEV"/>
        <s v="2017-MAR"/>
        <s v="2017-ABR"/>
        <s v="2017-MAI"/>
        <s v="2017-JUN"/>
        <s v="2017-JAN"/>
        <s v="2017-AGO"/>
        <s v="2017-SET"/>
        <s v="2017-OUT"/>
        <s v="2017-NOV"/>
        <s v="2017-DEZ"/>
        <s v="2018-JAN"/>
        <s v="2018-FEV"/>
        <s v="2018-MAR"/>
        <s v="2018-ABR"/>
        <s v="2018-MAI"/>
        <s v="2018-JUN"/>
        <s v="2018-JUL"/>
        <s v="2018-AGO"/>
        <s v="2018-SET"/>
        <s v="2018-OUT"/>
        <s v="2018-NOV"/>
        <s v="2018-DEZ"/>
      </sharedItems>
    </cacheField>
  </cacheFields>
  <cacheHierarchies count="31">
    <cacheHierarchy uniqueName="[Calendário].[Date]" caption="Date" attribute="1" time="1" keyAttribute="1" defaultMemberUniqueName="[Calendário].[Date].[All]" allUniqueName="[Calendário].[Date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Número do Mês]" caption="Número do Mês" attribute="1" time="1" defaultMemberUniqueName="[Calendário].[Número do Mês].[All]" allUniqueName="[Calendário].[Número do Mês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0" memberValueDatatype="130" unbalanced="0"/>
    <cacheHierarchy uniqueName="[Calendário].[Hierarquia de Datas]" caption="Hierarquia de Datas" time="1" defaultMemberUniqueName="[Calendário].[Hierarquia de Datas].[All]" allUniqueName="[Calendário].[Hierarquia de Datas].[All]" dimensionUniqueName="[Calendário]" displayFolder="" count="0" unbalanced="0"/>
    <cacheHierarchy uniqueName="[Calendário].[Número do Dia da Semana]" caption="Número do Dia da Semana" attribute="1" time="1" defaultMemberUniqueName="[Calendário].[Número do Dia da Semana].[All]" allUniqueName="[Calendário].[Número do Dia da Semana].[All]" dimensionUniqueName="[Calendário]" displayFolder="" count="0" memberValueDatatype="2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Ano/Mês]" caption="Ano/Mês" attribute="1" time="1" defaultMemberUniqueName="[Calendário].[Ano/Mês].[All]" allUniqueName="[Calendário].[Ano/Mês].[All]" dimensionUniqueName="[Calendário]" displayFolder="" count="2" memberValueDatatype="130" unbalanced="0">
      <fieldsUsage count="2">
        <fieldUsage x="-1"/>
        <fieldUsage x="0"/>
      </fieldsUsage>
    </cacheHierarchy>
    <cacheHierarchy uniqueName="[fCaixa].[ID]" caption="ID" attribute="1" defaultMemberUniqueName="[fCaixa].[ID].[All]" allUniqueName="[fCaixa].[ID].[All]" dimensionUniqueName="[fCaixa]" displayFolder="" count="0" memberValueDatatype="20" unbalanced="0"/>
    <cacheHierarchy uniqueName="[fCaixa].[DataLançamento]" caption="DataLançamento" attribute="1" time="1" defaultMemberUniqueName="[fCaixa].[DataLançamento].[All]" allUniqueName="[fCaixa].[DataLançamento].[All]" dimensionUniqueName="[fCaixa]" displayFolder="" count="0" memberValueDatatype="7" unbalanced="0"/>
    <cacheHierarchy uniqueName="[fCaixa].[TipoLançamento]" caption="TipoLançamento" attribute="1" defaultMemberUniqueName="[fCaixa].[TipoLançamento].[All]" allUniqueName="[fCaixa].[TipoLançamento].[All]" dimensionUniqueName="[fCaixa]" displayFolder="" count="0" memberValueDatatype="20" unbalanced="0"/>
    <cacheHierarchy uniqueName="[fCaixa].[TipoPagamento]" caption="TipoPagamento" attribute="1" defaultMemberUniqueName="[fCaixa].[TipoPagamento].[All]" allUniqueName="[fCaixa].[TipoPagamento].[All]" dimensionUniqueName="[fCaixa]" displayFolder="" count="0" memberValueDatatype="20" unbalanced="0"/>
    <cacheHierarchy uniqueName="[fCaixa].[Descrição]" caption="Descrição" attribute="1" defaultMemberUniqueName="[fCaixa].[Descrição].[All]" allUniqueName="[fCaixa].[Descrição].[All]" dimensionUniqueName="[fCaixa]" displayFolder="" count="0" memberValueDatatype="20" unbalanced="0"/>
    <cacheHierarchy uniqueName="[fCaixa].[LocalVenda]" caption="LocalVenda" attribute="1" defaultMemberUniqueName="[fCaixa].[LocalVenda].[All]" allUniqueName="[fCaixa].[LocalVenda].[All]" dimensionUniqueName="[fCaixa]" displayFolder="" count="0" memberValueDatatype="20" unbalanced="0"/>
    <cacheHierarchy uniqueName="[fCaixa].[Venda]" caption="Venda" attribute="1" defaultMemberUniqueName="[fCaixa].[Venda].[All]" allUniqueName="[fCaixa].[Venda].[All]" dimensionUniqueName="[fCaixa]" displayFolder="" count="0" memberValueDatatype="5" unbalanced="0"/>
    <cacheHierarchy uniqueName="[fCaixa].[Preço/Un.]" caption="Preço/Un." attribute="1" defaultMemberUniqueName="[fCaixa].[Preço/Un.].[All]" allUniqueName="[fCaixa].[Preço/Un.].[All]" dimensionUniqueName="[fCaixa]" displayFolder="" count="0" memberValueDatatype="5" unbalanced="0"/>
    <cacheHierarchy uniqueName="[fCaixa].[Custo/KG.]" caption="Custo/KG." attribute="1" defaultMemberUniqueName="[fCaixa].[Custo/KG.].[All]" allUniqueName="[fCaixa].[Custo/KG.].[All]" dimensionUniqueName="[fCaixa]" displayFolder="" count="0" memberValueDatatype="5" unbalanced="0"/>
    <cacheHierarchy uniqueName="[fCaixa].[QTD Perdida]" caption="QTD Perdida" attribute="1" defaultMemberUniqueName="[fCaixa].[QTD Perdida].[All]" allUniqueName="[fCaixa].[QTD Perdida].[All]" dimensionUniqueName="[fCaixa]" displayFolder="" count="0" memberValueDatatype="20" unbalanced="0"/>
    <cacheHierarchy uniqueName="[fCaixa].[CalculaID]" caption="CalculaID" attribute="1" defaultMemberUniqueName="[fCaixa].[CalculaID].[All]" allUniqueName="[fCaixa].[CalculaID].[All]" dimensionUniqueName="[fCaixa]" displayFolder="" count="0" memberValueDatatype="20" unbalanced="0"/>
    <cacheHierarchy uniqueName="[Measures].[.Faturamento]" caption=".Faturamento" measure="1" displayFolder="" measureGroup="fCaixa" count="0"/>
    <cacheHierarchy uniqueName="[Measures].[.DespesaTotal]" caption=".DespesaTotal" measure="1" displayFolder="" measureGroup="fCaixa" count="0"/>
    <cacheHierarchy uniqueName="[Measures].[.LucroFinal]" caption=".LucroFinal" measure="1" displayFolder="" measureGroup="fCaixa" count="0"/>
    <cacheHierarchy uniqueName="[Measures].[.TicketMédio]" caption=".TicketMédio" measure="1" displayFolder="" measureGroup="fCaixa" count="0"/>
    <cacheHierarchy uniqueName="[Measures].[.CustoProduto]" caption=".CustoProduto" measure="1" displayFolder="" measureGroup="fCaixa" count="0"/>
    <cacheHierarchy uniqueName="[Measures].[.OutrosCustos]" caption=".OutrosCustos" measure="1" displayFolder="" measureGroup="fCaixa" count="0"/>
    <cacheHierarchy uniqueName="[Measures].[.KG's Vendidos]" caption=".KG's Vendidos" measure="1" displayFolder="" measureGroup="fCaixa" count="0"/>
    <cacheHierarchy uniqueName="[Measures].[.KG's Perdidos]" caption=".KG's Perdidos" measure="1" displayFolder="" measureGroup="fCaixa" count="0"/>
    <cacheHierarchy uniqueName="[Measures].[.KG's Totais]" caption=".KG's Totais" measure="1" displayFolder="" measureGroup="fCaixa" count="0"/>
    <cacheHierarchy uniqueName="[Measures].[__XL_Count fCaixa]" caption="__XL_Count fCaixa" measure="1" displayFolder="" measureGroup="fCaixa" count="0" hidden="1"/>
    <cacheHierarchy uniqueName="[Measures].[__XL_Count Calendário]" caption="__XL_Count Calendário" measure="1" displayFolder="" measureGroup="Calendário" count="0" hidden="1"/>
    <cacheHierarchy uniqueName="[Measures].[__Não há medidas definidas]" caption="__Não há medidas definidas" measure="1" displayFolder="" count="0" hidden="1"/>
  </cacheHierarchies>
  <kpis count="0"/>
  <dimensions count="3">
    <dimension name="Calendário" uniqueName="[Calendário]" caption="Calendário"/>
    <dimension name="fCaixa" uniqueName="[fCaixa]" caption="fCaixa"/>
    <dimension measure="1" name="Measures" uniqueName="[Measures]" caption="Measures"/>
  </dimensions>
  <measureGroups count="2">
    <measureGroup name="Calendário" caption="Calendário"/>
    <measureGroup name="fCaixa" caption="fCaixa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pivotCacheId="102721819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vanildo Junior" refreshedDate="43210.91124872685" backgroundQuery="1" createdVersion="6" refreshedVersion="6" minRefreshableVersion="3" recordCount="0" supportSubquery="1" supportAdvancedDrill="1" xr:uid="{E57C62F5-BE78-4C2B-8FBD-33FA642E7EC4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1">
    <cacheField name="[Measures].[.TicketMédio]" caption=".TicketMédio" numFmtId="0" hierarchy="22" level="32767"/>
  </cacheFields>
  <cacheHierarchies count="31">
    <cacheHierarchy uniqueName="[Calendário].[Date]" caption="Date" attribute="1" time="1" keyAttribute="1" defaultMemberUniqueName="[Calendário].[Date].[All]" allUniqueName="[Calendário].[Date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Número do Mês]" caption="Número do Mês" attribute="1" time="1" defaultMemberUniqueName="[Calendário].[Número do Mês].[All]" allUniqueName="[Calendário].[Número do Mês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0" memberValueDatatype="130" unbalanced="0"/>
    <cacheHierarchy uniqueName="[Calendário].[Hierarquia de Datas]" caption="Hierarquia de Datas" time="1" defaultMemberUniqueName="[Calendário].[Hierarquia de Datas].[All]" allUniqueName="[Calendário].[Hierarquia de Datas].[All]" dimensionUniqueName="[Calendário]" displayFolder="" count="0" unbalanced="0"/>
    <cacheHierarchy uniqueName="[Calendário].[Número do Dia da Semana]" caption="Número do Dia da Semana" attribute="1" time="1" defaultMemberUniqueName="[Calendário].[Número do Dia da Semana].[All]" allUniqueName="[Calendário].[Número do Dia da Semana].[All]" dimensionUniqueName="[Calendário]" displayFolder="" count="0" memberValueDatatype="2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Ano/Mês]" caption="Ano/Mês" attribute="1" time="1" defaultMemberUniqueName="[Calendário].[Ano/Mês].[All]" allUniqueName="[Calendário].[Ano/Mês].[All]" dimensionUniqueName="[Calendário]" displayFolder="" count="0" memberValueDatatype="130" unbalanced="0"/>
    <cacheHierarchy uniqueName="[fCaixa].[ID]" caption="ID" attribute="1" defaultMemberUniqueName="[fCaixa].[ID].[All]" allUniqueName="[fCaixa].[ID].[All]" dimensionUniqueName="[fCaixa]" displayFolder="" count="0" memberValueDatatype="20" unbalanced="0"/>
    <cacheHierarchy uniqueName="[fCaixa].[DataLançamento]" caption="DataLançamento" attribute="1" time="1" defaultMemberUniqueName="[fCaixa].[DataLançamento].[All]" allUniqueName="[fCaixa].[DataLançamento].[All]" dimensionUniqueName="[fCaixa]" displayFolder="" count="0" memberValueDatatype="7" unbalanced="0"/>
    <cacheHierarchy uniqueName="[fCaixa].[TipoLançamento]" caption="TipoLançamento" attribute="1" defaultMemberUniqueName="[fCaixa].[TipoLançamento].[All]" allUniqueName="[fCaixa].[TipoLançamento].[All]" dimensionUniqueName="[fCaixa]" displayFolder="" count="0" memberValueDatatype="20" unbalanced="0"/>
    <cacheHierarchy uniqueName="[fCaixa].[TipoPagamento]" caption="TipoPagamento" attribute="1" defaultMemberUniqueName="[fCaixa].[TipoPagamento].[All]" allUniqueName="[fCaixa].[TipoPagamento].[All]" dimensionUniqueName="[fCaixa]" displayFolder="" count="0" memberValueDatatype="20" unbalanced="0"/>
    <cacheHierarchy uniqueName="[fCaixa].[Descrição]" caption="Descrição" attribute="1" defaultMemberUniqueName="[fCaixa].[Descrição].[All]" allUniqueName="[fCaixa].[Descrição].[All]" dimensionUniqueName="[fCaixa]" displayFolder="" count="0" memberValueDatatype="20" unbalanced="0"/>
    <cacheHierarchy uniqueName="[fCaixa].[LocalVenda]" caption="LocalVenda" attribute="1" defaultMemberUniqueName="[fCaixa].[LocalVenda].[All]" allUniqueName="[fCaixa].[LocalVenda].[All]" dimensionUniqueName="[fCaixa]" displayFolder="" count="0" memberValueDatatype="20" unbalanced="0"/>
    <cacheHierarchy uniqueName="[fCaixa].[Venda]" caption="Venda" attribute="1" defaultMemberUniqueName="[fCaixa].[Venda].[All]" allUniqueName="[fCaixa].[Venda].[All]" dimensionUniqueName="[fCaixa]" displayFolder="" count="0" memberValueDatatype="5" unbalanced="0"/>
    <cacheHierarchy uniqueName="[fCaixa].[Preço/Un.]" caption="Preço/Un." attribute="1" defaultMemberUniqueName="[fCaixa].[Preço/Un.].[All]" allUniqueName="[fCaixa].[Preço/Un.].[All]" dimensionUniqueName="[fCaixa]" displayFolder="" count="0" memberValueDatatype="5" unbalanced="0"/>
    <cacheHierarchy uniqueName="[fCaixa].[Custo/KG.]" caption="Custo/KG." attribute="1" defaultMemberUniqueName="[fCaixa].[Custo/KG.].[All]" allUniqueName="[fCaixa].[Custo/KG.].[All]" dimensionUniqueName="[fCaixa]" displayFolder="" count="0" memberValueDatatype="5" unbalanced="0"/>
    <cacheHierarchy uniqueName="[fCaixa].[QTD Perdida]" caption="QTD Perdida" attribute="1" defaultMemberUniqueName="[fCaixa].[QTD Perdida].[All]" allUniqueName="[fCaixa].[QTD Perdida].[All]" dimensionUniqueName="[fCaixa]" displayFolder="" count="0" memberValueDatatype="20" unbalanced="0"/>
    <cacheHierarchy uniqueName="[fCaixa].[CalculaID]" caption="CalculaID" attribute="1" defaultMemberUniqueName="[fCaixa].[CalculaID].[All]" allUniqueName="[fCaixa].[CalculaID].[All]" dimensionUniqueName="[fCaixa]" displayFolder="" count="0" memberValueDatatype="20" unbalanced="0"/>
    <cacheHierarchy uniqueName="[Measures].[.Faturamento]" caption=".Faturamento" measure="1" displayFolder="" measureGroup="fCaixa" count="0"/>
    <cacheHierarchy uniqueName="[Measures].[.DespesaTotal]" caption=".DespesaTotal" measure="1" displayFolder="" measureGroup="fCaixa" count="0"/>
    <cacheHierarchy uniqueName="[Measures].[.LucroFinal]" caption=".LucroFinal" measure="1" displayFolder="" measureGroup="fCaixa" count="0"/>
    <cacheHierarchy uniqueName="[Measures].[.TicketMédio]" caption=".TicketMédio" measure="1" displayFolder="" measureGroup="fCaixa" count="0" oneField="1">
      <fieldsUsage count="1">
        <fieldUsage x="0"/>
      </fieldsUsage>
    </cacheHierarchy>
    <cacheHierarchy uniqueName="[Measures].[.CustoProduto]" caption=".CustoProduto" measure="1" displayFolder="" measureGroup="fCaixa" count="0"/>
    <cacheHierarchy uniqueName="[Measures].[.OutrosCustos]" caption=".OutrosCustos" measure="1" displayFolder="" measureGroup="fCaixa" count="0"/>
    <cacheHierarchy uniqueName="[Measures].[.KG's Vendidos]" caption=".KG's Vendidos" measure="1" displayFolder="" measureGroup="fCaixa" count="0"/>
    <cacheHierarchy uniqueName="[Measures].[.KG's Perdidos]" caption=".KG's Perdidos" measure="1" displayFolder="" measureGroup="fCaixa" count="0"/>
    <cacheHierarchy uniqueName="[Measures].[.KG's Totais]" caption=".KG's Totais" measure="1" displayFolder="" measureGroup="fCaixa" count="0"/>
    <cacheHierarchy uniqueName="[Measures].[__XL_Count fCaixa]" caption="__XL_Count fCaixa" measure="1" displayFolder="" measureGroup="fCaixa" count="0" hidden="1"/>
    <cacheHierarchy uniqueName="[Measures].[__XL_Count Calendário]" caption="__XL_Count Calendário" measure="1" displayFolder="" measureGroup="Calendário" count="0" hidden="1"/>
    <cacheHierarchy uniqueName="[Measures].[__Não há medidas definidas]" caption="__Não há medidas definidas" measure="1" displayFolder="" count="0" hidden="1"/>
  </cacheHierarchies>
  <kpis count="0"/>
  <dimensions count="3">
    <dimension name="Calendário" uniqueName="[Calendário]" caption="Calendário"/>
    <dimension name="fCaixa" uniqueName="[fCaixa]" caption="fCaixa"/>
    <dimension measure="1" name="Measures" uniqueName="[Measures]" caption="Measures"/>
  </dimensions>
  <measureGroups count="2">
    <measureGroup name="Calendário" caption="Calendário"/>
    <measureGroup name="fCaixa" caption="fCaixa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pivotCacheId="10556287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F149A-9153-4733-B202-A02AF8A5525C}" name="PivotChartTable5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6" firstHeaderRow="1" firstDataRow="1" firstDataCol="1"/>
  <pivotFields count="1">
    <pivotField axis="axisRow" allDrilled="1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pivotHierarchies count="31"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fCaix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3FA6E3-B4DB-4C10-8CBB-FE1B9460EFC5}" name="PivotChartTable4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6" firstHeaderRow="1" firstDataRow="1" firstDataCol="1"/>
  <pivotFields count="1">
    <pivotField axis="axisRow" allDrilled="1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pivotHierarchies count="31"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Caixa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10F6AD-86DF-4DDC-836E-EF78A2888D9C}" name="PivotChartTable3" cacheId="28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">
  <location ref="A1:A2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&quot;R$&quot; #,0.00;-&quot;R$&quot; #,0.00;&quot;R$&quot; #,0.00"/>
      </x15:pivotTableServerFormats>
    </ext>
    <ext xmlns:x15="http://schemas.microsoft.com/office/spreadsheetml/2010/11/main" uri="{44433962-1CF7-4059-B4EE-95C3D5FFCF73}">
      <x15:pivotTableData rowCount="1" columnCount="1" cacheId="105562878">
        <x15:pivotRow count="1">
          <x15:c>
            <x15:v>87.51015873015875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Caixa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BA493-A674-444D-91FD-7213D1B99743}" name="PivotChartTable2" cacheId="2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6" firstHeaderRow="1" firstDataRow="1" firstDataCol="1"/>
  <pivotFields count="1">
    <pivotField axis="axisRow" allDrilled="1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pivotHierarchies count="31"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Caixa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B68CA6-2D14-48B2-A99F-8730764B3FEB}" name="fCaixa" displayName="fCaixa" ref="A1:J253" headerRowDxfId="41" dataDxfId="39" totalsRowDxfId="38" headerRowBorderDxfId="40">
  <sortState ref="A2:J253">
    <sortCondition ref="B1:B253"/>
  </sortState>
  <tableColumns count="10">
    <tableColumn id="24" xr3:uid="{C220E1D0-6163-433C-8DA9-01364618A857}" name="ID" dataDxfId="37" totalsRowDxfId="36">
      <calculatedColumnFormula>ROW() - 1</calculatedColumnFormula>
    </tableColumn>
    <tableColumn id="1" xr3:uid="{AFE71C36-C7CB-485C-81CF-93EDA3D82401}" name="DataLançamento" totalsRowFunction="custom" dataDxfId="35" totalsRowDxfId="34">
      <totalsRowFormula>SUBTOTAL(103,fCaixa[DataLançamento]) &amp; " REGISTROS"</totalsRowFormula>
    </tableColumn>
    <tableColumn id="25" xr3:uid="{559E5691-35C1-4719-B59C-27AB1388ACE1}" name="TipoLançamento" dataDxfId="33" totalsRowDxfId="32"/>
    <tableColumn id="26" xr3:uid="{DBDF630A-C080-4A08-91F2-CA914A2FFA43}" name="TipoPagamento" dataDxfId="31" totalsRowDxfId="30"/>
    <tableColumn id="28" xr3:uid="{950357FD-EAC2-4119-841B-12B5A0CF5692}" name="Descrição" dataDxfId="29" totalsRowDxfId="28"/>
    <tableColumn id="27" xr3:uid="{4E03077A-1A81-46A1-9B1F-3BFAFC1D5741}" name="LocalVenda" dataDxfId="27" totalsRowDxfId="26"/>
    <tableColumn id="6" xr3:uid="{C67971CE-858A-439A-A9A6-1352BDB2396A}" name="Venda" totalsRowFunction="sum" dataDxfId="25" totalsRowDxfId="24"/>
    <tableColumn id="7" xr3:uid="{9ED773C9-BD4A-4EFC-A995-3EE37EEC0BF2}" name="Preço/Un." totalsRowFunction="sum" dataDxfId="23" totalsRowDxfId="22"/>
    <tableColumn id="8" xr3:uid="{87F2A1E4-3A8F-4AAA-8C8E-D7D090E7E60C}" name="Custo/KG." dataDxfId="21" totalsRowDxfId="20"/>
    <tableColumn id="9" xr3:uid="{1725D94F-0BF5-49B4-BAD6-661888688D2F}" name="QTD Perdida" totalsRowFunction="sum" dataDxfId="19" totalsRowDxfId="18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1FDE49-D709-4CC4-A256-C5A3829243E2}" name="fPedidos" displayName="fPedidos" ref="A1:E18" headerRowDxfId="17" dataDxfId="15" totalsRowDxfId="14" headerRowBorderDxfId="16">
  <tableColumns count="5">
    <tableColumn id="12" xr3:uid="{3FA89387-2CC9-4D75-8943-2889587D844B}" name="IDPedido" dataDxfId="13" totalsRowDxfId="12">
      <calculatedColumnFormula>ROW() - 1</calculatedColumnFormula>
    </tableColumn>
    <tableColumn id="1" xr3:uid="{3B958669-19D4-4332-BA00-1EEEBE97BF23}" name="Data Entrada" totalsRowLabel="TOTAIS" dataDxfId="11" totalsRowDxfId="10"/>
    <tableColumn id="5" xr3:uid="{212C83C7-36F5-4E30-80D3-2C1B7E1EB60F}" name="Entrada" totalsRowFunction="sum" dataDxfId="9" totalsRowDxfId="8" dataCellStyle="Vírgula"/>
    <tableColumn id="6" xr3:uid="{9631A08B-F22D-4484-82F2-7B71F9819960}" name="Preço/KG" dataDxfId="7" totalsRowDxfId="6"/>
    <tableColumn id="10" xr3:uid="{1FAB92C1-AC80-4026-9537-79A7ECFE3DC3}" name="Status" dataDxfId="5" totalsRowDxf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8C3CCA-B1E4-48D5-A8EB-E77C7BFCFEFE}" name="tbDimLancamentos" displayName="tbDimLancamentos" ref="A1:B3" totalsRowShown="0">
  <autoFilter ref="A1:B3" xr:uid="{9ABB3AD4-AA92-4BF5-9400-A1B59F79E5BB}"/>
  <tableColumns count="2">
    <tableColumn id="1" xr3:uid="{71F1E813-D184-42C1-9142-860FCC99E570}" name="ID"/>
    <tableColumn id="2" xr3:uid="{211BEDBE-BA84-47EE-AE54-CC019DB3DEB0}" name="Descrição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6161D0-AC6F-4E89-B9DF-7E31A778FF17}" name="tbDimPgtos" displayName="tbDimPgtos" ref="A5:C8" totalsRowShown="0">
  <autoFilter ref="A5:C8" xr:uid="{3B668F54-273F-4DC0-A626-CC6039987DE0}"/>
  <tableColumns count="3">
    <tableColumn id="1" xr3:uid="{DE5092F7-C9D2-427E-ACD9-937CB52C9FE2}" name="ID"/>
    <tableColumn id="2" xr3:uid="{C9C138B6-F138-43EC-AFAE-9BBAF6DBC77E}" name="Pagamento"/>
    <tableColumn id="3" xr3:uid="{6D3DF1E8-C18E-4B48-88D6-ECE409970219}" name="TaxaADM" dataDxfId="3" dataCellStyle="Porcentagem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0A1528-EFCB-416D-B0DD-43EB846C3C29}" name="tbDimDescrição" displayName="tbDimDescrição" ref="A10:B18" totalsRowShown="0" dataDxfId="2">
  <autoFilter ref="A10:B18" xr:uid="{384BC954-4DF8-4CE0-83A6-D87607B84440}"/>
  <tableColumns count="2">
    <tableColumn id="1" xr3:uid="{18CE5F6D-9EE8-421D-B128-67EABD9F69C0}" name="ID" dataDxfId="1"/>
    <tableColumn id="2" xr3:uid="{CE825E8B-0E09-43E1-9E63-9BA92BD657A1}" name="Descrição" dataDxfId="0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99EA91F-47FD-4DCB-A726-8FB551541E17}" name="tbDimLocalVenda" displayName="tbDimLocalVenda" ref="A20:B23" totalsRowShown="0">
  <autoFilter ref="A20:B23" xr:uid="{B34851F3-727C-41C0-8BA4-0BAB6BAE7999}"/>
  <tableColumns count="2">
    <tableColumn id="1" xr3:uid="{D18177B6-2940-4D29-9394-90098FB2645D}" name="ID"/>
    <tableColumn id="2" xr3:uid="{56D90485-335F-406C-A381-B5AC07E3C983}" name="Descrição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DE84E-D8B5-476F-9374-1042BCEDE3DE}">
  <sheetPr codeName="shCaixa"/>
  <dimension ref="A1:X258"/>
  <sheetViews>
    <sheetView showGridLines="0" tabSelected="1" zoomScale="90" zoomScaleNormal="9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8.28515625" style="1" bestFit="1" customWidth="1"/>
    <col min="2" max="2" width="22.42578125" style="1" bestFit="1" customWidth="1"/>
    <col min="3" max="3" width="17.7109375" style="1" bestFit="1" customWidth="1"/>
    <col min="4" max="4" width="21.85546875" style="1" bestFit="1" customWidth="1"/>
    <col min="5" max="5" width="15.28515625" style="1" bestFit="1" customWidth="1"/>
    <col min="6" max="6" width="17" style="1" bestFit="1" customWidth="1"/>
    <col min="7" max="7" width="16" style="1" bestFit="1" customWidth="1"/>
    <col min="8" max="8" width="15.7109375" style="1" bestFit="1" customWidth="1"/>
    <col min="9" max="9" width="15.85546875" style="1" bestFit="1" customWidth="1"/>
    <col min="10" max="10" width="18" style="1" bestFit="1" customWidth="1"/>
    <col min="11" max="11" width="15" style="1" bestFit="1" customWidth="1"/>
    <col min="12" max="12" width="13.140625" style="1" bestFit="1" customWidth="1"/>
    <col min="13" max="13" width="19" style="1" bestFit="1" customWidth="1"/>
    <col min="14" max="14" width="21.140625" style="1" bestFit="1" customWidth="1"/>
    <col min="15" max="15" width="18.42578125" style="1" bestFit="1" customWidth="1"/>
    <col min="16" max="16" width="19.7109375" style="1" bestFit="1" customWidth="1"/>
    <col min="17" max="17" width="15.5703125" style="1" bestFit="1" customWidth="1"/>
    <col min="18" max="18" width="22" style="1" bestFit="1" customWidth="1"/>
    <col min="19" max="19" width="17.7109375" style="1" bestFit="1" customWidth="1"/>
    <col min="20" max="20" width="19.5703125" style="1" bestFit="1" customWidth="1"/>
    <col min="21" max="21" width="22" style="1" bestFit="1" customWidth="1"/>
    <col min="22" max="22" width="15.42578125" style="1" bestFit="1" customWidth="1"/>
    <col min="23" max="23" width="17.7109375" style="1" bestFit="1" customWidth="1"/>
    <col min="24" max="24" width="17.28515625" style="1" bestFit="1" customWidth="1"/>
    <col min="25" max="25" width="12.140625" style="1" bestFit="1" customWidth="1"/>
    <col min="26" max="26" width="16.7109375" style="1" bestFit="1" customWidth="1"/>
    <col min="27" max="16384" width="9.140625" style="1"/>
  </cols>
  <sheetData>
    <row r="1" spans="1:12" ht="16.5" thickBot="1" x14ac:dyDescent="0.3">
      <c r="A1" s="17" t="s">
        <v>0</v>
      </c>
      <c r="B1" s="17" t="s">
        <v>1</v>
      </c>
      <c r="C1" s="17" t="s">
        <v>44</v>
      </c>
      <c r="D1" s="17" t="s">
        <v>45</v>
      </c>
      <c r="E1" s="17" t="s">
        <v>2</v>
      </c>
      <c r="F1" s="17" t="s">
        <v>3</v>
      </c>
      <c r="G1" s="17" t="s">
        <v>4</v>
      </c>
      <c r="H1" s="17" t="s">
        <v>5</v>
      </c>
      <c r="I1" s="17" t="s">
        <v>6</v>
      </c>
      <c r="J1" s="17" t="s">
        <v>7</v>
      </c>
      <c r="K1" s="23"/>
      <c r="L1" s="23"/>
    </row>
    <row r="2" spans="1:12" ht="16.5" x14ac:dyDescent="0.25">
      <c r="A2" s="15">
        <f t="shared" ref="A2:A65" si="0">ROW() - 1</f>
        <v>1</v>
      </c>
      <c r="B2" s="37">
        <v>42926</v>
      </c>
      <c r="C2" s="12">
        <v>1</v>
      </c>
      <c r="D2" s="12">
        <v>1</v>
      </c>
      <c r="E2" s="12">
        <v>1</v>
      </c>
      <c r="F2" s="12">
        <v>2</v>
      </c>
      <c r="G2" s="13">
        <v>24</v>
      </c>
      <c r="H2" s="13">
        <v>0.75</v>
      </c>
      <c r="I2" s="13">
        <v>10.5</v>
      </c>
      <c r="J2" s="14">
        <v>0</v>
      </c>
      <c r="K2" s="23"/>
      <c r="L2" s="23"/>
    </row>
    <row r="3" spans="1:12" ht="16.5" x14ac:dyDescent="0.25">
      <c r="A3" s="15">
        <f t="shared" si="0"/>
        <v>2</v>
      </c>
      <c r="B3" s="37">
        <v>42927</v>
      </c>
      <c r="C3" s="12">
        <v>1</v>
      </c>
      <c r="D3" s="12">
        <v>1</v>
      </c>
      <c r="E3" s="12">
        <v>1</v>
      </c>
      <c r="F3" s="12">
        <v>2</v>
      </c>
      <c r="G3" s="13">
        <v>42</v>
      </c>
      <c r="H3" s="13">
        <v>0.75</v>
      </c>
      <c r="I3" s="13">
        <v>10.5</v>
      </c>
      <c r="J3" s="14">
        <v>0</v>
      </c>
      <c r="K3" s="23"/>
      <c r="L3" s="23"/>
    </row>
    <row r="4" spans="1:12" ht="16.5" x14ac:dyDescent="0.25">
      <c r="A4" s="15">
        <f t="shared" si="0"/>
        <v>3</v>
      </c>
      <c r="B4" s="37">
        <v>42928</v>
      </c>
      <c r="C4" s="12">
        <v>1</v>
      </c>
      <c r="D4" s="12">
        <v>1</v>
      </c>
      <c r="E4" s="12">
        <v>1</v>
      </c>
      <c r="F4" s="12">
        <v>2</v>
      </c>
      <c r="G4" s="13">
        <v>54</v>
      </c>
      <c r="H4" s="13">
        <v>0.75</v>
      </c>
      <c r="I4" s="13">
        <v>10.5</v>
      </c>
      <c r="J4" s="14">
        <v>0</v>
      </c>
      <c r="K4" s="23"/>
      <c r="L4" s="24"/>
    </row>
    <row r="5" spans="1:12" ht="16.5" x14ac:dyDescent="0.25">
      <c r="A5" s="15">
        <f t="shared" si="0"/>
        <v>4</v>
      </c>
      <c r="B5" s="37">
        <v>42929</v>
      </c>
      <c r="C5" s="12">
        <v>1</v>
      </c>
      <c r="D5" s="12">
        <v>1</v>
      </c>
      <c r="E5" s="12">
        <v>1</v>
      </c>
      <c r="F5" s="12">
        <v>2</v>
      </c>
      <c r="G5" s="13">
        <v>42</v>
      </c>
      <c r="H5" s="13">
        <v>0.75</v>
      </c>
      <c r="I5" s="13">
        <v>10.5</v>
      </c>
      <c r="J5" s="14">
        <v>0</v>
      </c>
      <c r="K5" s="23"/>
      <c r="L5" s="23"/>
    </row>
    <row r="6" spans="1:12" ht="16.5" x14ac:dyDescent="0.25">
      <c r="A6" s="15">
        <f t="shared" si="0"/>
        <v>5</v>
      </c>
      <c r="B6" s="37">
        <v>42930</v>
      </c>
      <c r="C6" s="12">
        <v>1</v>
      </c>
      <c r="D6" s="12">
        <v>1</v>
      </c>
      <c r="E6" s="12">
        <v>1</v>
      </c>
      <c r="F6" s="12">
        <v>2</v>
      </c>
      <c r="G6" s="13">
        <v>42</v>
      </c>
      <c r="H6" s="13">
        <v>0.75</v>
      </c>
      <c r="I6" s="13">
        <v>10.5</v>
      </c>
      <c r="J6" s="14">
        <v>0</v>
      </c>
      <c r="K6" s="23"/>
      <c r="L6" s="23"/>
    </row>
    <row r="7" spans="1:12" ht="16.5" x14ac:dyDescent="0.25">
      <c r="A7" s="15">
        <f t="shared" si="0"/>
        <v>6</v>
      </c>
      <c r="B7" s="37">
        <v>42931</v>
      </c>
      <c r="C7" s="12">
        <v>1</v>
      </c>
      <c r="D7" s="12">
        <v>1</v>
      </c>
      <c r="E7" s="12">
        <v>1</v>
      </c>
      <c r="F7" s="12">
        <v>2</v>
      </c>
      <c r="G7" s="13">
        <v>22</v>
      </c>
      <c r="H7" s="13">
        <v>0.75</v>
      </c>
      <c r="I7" s="13">
        <v>10.5</v>
      </c>
      <c r="J7" s="14">
        <v>0</v>
      </c>
      <c r="K7" s="23"/>
      <c r="L7" s="23"/>
    </row>
    <row r="8" spans="1:12" ht="16.5" x14ac:dyDescent="0.25">
      <c r="A8" s="15">
        <f t="shared" si="0"/>
        <v>7</v>
      </c>
      <c r="B8" s="37">
        <v>42933</v>
      </c>
      <c r="C8" s="12">
        <v>1</v>
      </c>
      <c r="D8" s="12">
        <v>1</v>
      </c>
      <c r="E8" s="12">
        <v>1</v>
      </c>
      <c r="F8" s="12">
        <v>2</v>
      </c>
      <c r="G8" s="13">
        <v>66</v>
      </c>
      <c r="H8" s="13">
        <v>0.75</v>
      </c>
      <c r="I8" s="13">
        <v>10.5</v>
      </c>
      <c r="J8" s="14">
        <v>0</v>
      </c>
      <c r="K8" s="23"/>
      <c r="L8" s="23"/>
    </row>
    <row r="9" spans="1:12" ht="16.5" x14ac:dyDescent="0.25">
      <c r="A9" s="15">
        <f t="shared" si="0"/>
        <v>8</v>
      </c>
      <c r="B9" s="37">
        <v>42934</v>
      </c>
      <c r="C9" s="12">
        <v>1</v>
      </c>
      <c r="D9" s="12">
        <v>1</v>
      </c>
      <c r="E9" s="12">
        <v>1</v>
      </c>
      <c r="F9" s="12">
        <v>2</v>
      </c>
      <c r="G9" s="13">
        <v>78</v>
      </c>
      <c r="H9" s="13">
        <v>0.75</v>
      </c>
      <c r="I9" s="13">
        <v>10.5</v>
      </c>
      <c r="J9" s="14">
        <v>0</v>
      </c>
      <c r="K9" s="23"/>
      <c r="L9" s="23"/>
    </row>
    <row r="10" spans="1:12" ht="16.5" x14ac:dyDescent="0.25">
      <c r="A10" s="15">
        <f t="shared" si="0"/>
        <v>9</v>
      </c>
      <c r="B10" s="37">
        <v>42935</v>
      </c>
      <c r="C10" s="12">
        <v>1</v>
      </c>
      <c r="D10" s="12">
        <v>1</v>
      </c>
      <c r="E10" s="12">
        <v>1</v>
      </c>
      <c r="F10" s="12">
        <v>2</v>
      </c>
      <c r="G10" s="13">
        <v>78</v>
      </c>
      <c r="H10" s="13">
        <v>0.75</v>
      </c>
      <c r="I10" s="13">
        <v>10.5</v>
      </c>
      <c r="J10" s="14">
        <v>0</v>
      </c>
      <c r="K10" s="23"/>
      <c r="L10" s="23"/>
    </row>
    <row r="11" spans="1:12" ht="16.5" x14ac:dyDescent="0.25">
      <c r="A11" s="15">
        <f t="shared" si="0"/>
        <v>10</v>
      </c>
      <c r="B11" s="37">
        <v>42936</v>
      </c>
      <c r="C11" s="12">
        <v>1</v>
      </c>
      <c r="D11" s="12">
        <v>1</v>
      </c>
      <c r="E11" s="12">
        <v>1</v>
      </c>
      <c r="F11" s="12">
        <v>2</v>
      </c>
      <c r="G11" s="13">
        <v>84</v>
      </c>
      <c r="H11" s="13">
        <v>0.75</v>
      </c>
      <c r="I11" s="13">
        <v>10.5</v>
      </c>
      <c r="J11" s="14">
        <v>0</v>
      </c>
      <c r="K11" s="23"/>
      <c r="L11" s="23"/>
    </row>
    <row r="12" spans="1:12" ht="16.5" x14ac:dyDescent="0.25">
      <c r="A12" s="15">
        <f t="shared" si="0"/>
        <v>11</v>
      </c>
      <c r="B12" s="37">
        <v>42937</v>
      </c>
      <c r="C12" s="12">
        <v>1</v>
      </c>
      <c r="D12" s="12">
        <v>1</v>
      </c>
      <c r="E12" s="12">
        <v>1</v>
      </c>
      <c r="F12" s="12">
        <v>2</v>
      </c>
      <c r="G12" s="13">
        <v>68</v>
      </c>
      <c r="H12" s="13">
        <v>0.75</v>
      </c>
      <c r="I12" s="13">
        <v>10.5</v>
      </c>
      <c r="J12" s="14">
        <v>0</v>
      </c>
      <c r="K12" s="23"/>
      <c r="L12" s="23"/>
    </row>
    <row r="13" spans="1:12" ht="16.5" x14ac:dyDescent="0.25">
      <c r="A13" s="15">
        <f t="shared" si="0"/>
        <v>12</v>
      </c>
      <c r="B13" s="37">
        <v>42938</v>
      </c>
      <c r="C13" s="12">
        <v>1</v>
      </c>
      <c r="D13" s="12">
        <v>1</v>
      </c>
      <c r="E13" s="12">
        <v>1</v>
      </c>
      <c r="F13" s="12">
        <v>2</v>
      </c>
      <c r="G13" s="13">
        <v>15.75</v>
      </c>
      <c r="H13" s="13">
        <v>0.75</v>
      </c>
      <c r="I13" s="13">
        <v>10.5</v>
      </c>
      <c r="J13" s="14">
        <v>0</v>
      </c>
      <c r="K13" s="23"/>
      <c r="L13" s="23"/>
    </row>
    <row r="14" spans="1:12" ht="16.5" x14ac:dyDescent="0.25">
      <c r="A14" s="15">
        <f t="shared" si="0"/>
        <v>13</v>
      </c>
      <c r="B14" s="37">
        <v>42938</v>
      </c>
      <c r="C14" s="12">
        <v>1</v>
      </c>
      <c r="D14" s="12">
        <v>1</v>
      </c>
      <c r="E14" s="12">
        <v>1</v>
      </c>
      <c r="F14" s="12">
        <v>1</v>
      </c>
      <c r="G14" s="13">
        <v>165.8</v>
      </c>
      <c r="H14" s="13">
        <v>0.5</v>
      </c>
      <c r="I14" s="13">
        <v>8</v>
      </c>
      <c r="J14" s="14">
        <v>0</v>
      </c>
      <c r="K14" s="23"/>
      <c r="L14" s="23"/>
    </row>
    <row r="15" spans="1:12" ht="16.5" x14ac:dyDescent="0.25">
      <c r="A15" s="15">
        <f t="shared" si="0"/>
        <v>14</v>
      </c>
      <c r="B15" s="37">
        <v>42940</v>
      </c>
      <c r="C15" s="12">
        <v>1</v>
      </c>
      <c r="D15" s="12">
        <v>1</v>
      </c>
      <c r="E15" s="12">
        <v>1</v>
      </c>
      <c r="F15" s="12">
        <v>2</v>
      </c>
      <c r="G15" s="13">
        <v>34.75</v>
      </c>
      <c r="H15" s="13">
        <v>0.75</v>
      </c>
      <c r="I15" s="13">
        <v>10.5</v>
      </c>
      <c r="J15" s="14">
        <v>0</v>
      </c>
      <c r="K15" s="23"/>
      <c r="L15" s="23"/>
    </row>
    <row r="16" spans="1:12" ht="16.5" x14ac:dyDescent="0.25">
      <c r="A16" s="15">
        <f t="shared" si="0"/>
        <v>15</v>
      </c>
      <c r="B16" s="37">
        <v>42941</v>
      </c>
      <c r="C16" s="12">
        <v>1</v>
      </c>
      <c r="D16" s="12">
        <v>1</v>
      </c>
      <c r="E16" s="12">
        <v>1</v>
      </c>
      <c r="F16" s="12">
        <v>2</v>
      </c>
      <c r="G16" s="13">
        <v>86.25</v>
      </c>
      <c r="H16" s="13">
        <v>0.75</v>
      </c>
      <c r="I16" s="13">
        <v>10.5</v>
      </c>
      <c r="J16" s="14">
        <v>0</v>
      </c>
      <c r="K16" s="23"/>
      <c r="L16" s="23"/>
    </row>
    <row r="17" spans="1:10" ht="16.5" x14ac:dyDescent="0.25">
      <c r="A17" s="15">
        <f t="shared" si="0"/>
        <v>16</v>
      </c>
      <c r="B17" s="37">
        <v>42942</v>
      </c>
      <c r="C17" s="12">
        <v>1</v>
      </c>
      <c r="D17" s="12">
        <v>1</v>
      </c>
      <c r="E17" s="12">
        <v>1</v>
      </c>
      <c r="F17" s="12">
        <v>2</v>
      </c>
      <c r="G17" s="13">
        <v>46.5</v>
      </c>
      <c r="H17" s="13">
        <v>0.75</v>
      </c>
      <c r="I17" s="13">
        <v>10.5</v>
      </c>
      <c r="J17" s="14">
        <v>0</v>
      </c>
    </row>
    <row r="18" spans="1:10" ht="16.5" x14ac:dyDescent="0.25">
      <c r="A18" s="15">
        <f t="shared" si="0"/>
        <v>17</v>
      </c>
      <c r="B18" s="37">
        <v>42942</v>
      </c>
      <c r="C18" s="12">
        <v>2</v>
      </c>
      <c r="D18" s="12">
        <v>1</v>
      </c>
      <c r="E18" s="12">
        <v>3</v>
      </c>
      <c r="F18" s="12">
        <v>2</v>
      </c>
      <c r="G18" s="13">
        <v>10</v>
      </c>
      <c r="H18" s="13">
        <v>0</v>
      </c>
      <c r="I18" s="13">
        <v>0</v>
      </c>
      <c r="J18" s="14">
        <v>0</v>
      </c>
    </row>
    <row r="19" spans="1:10" ht="16.5" x14ac:dyDescent="0.25">
      <c r="A19" s="15">
        <f t="shared" si="0"/>
        <v>18</v>
      </c>
      <c r="B19" s="37">
        <v>42943</v>
      </c>
      <c r="C19" s="12">
        <v>1</v>
      </c>
      <c r="D19" s="12">
        <v>1</v>
      </c>
      <c r="E19" s="12">
        <v>1</v>
      </c>
      <c r="F19" s="12">
        <v>2</v>
      </c>
      <c r="G19" s="13">
        <v>96.55</v>
      </c>
      <c r="H19" s="13">
        <v>0.75</v>
      </c>
      <c r="I19" s="13">
        <v>10.5</v>
      </c>
      <c r="J19" s="14">
        <v>0</v>
      </c>
    </row>
    <row r="20" spans="1:10" ht="16.5" x14ac:dyDescent="0.25">
      <c r="A20" s="15">
        <f t="shared" si="0"/>
        <v>19</v>
      </c>
      <c r="B20" s="37">
        <v>42944</v>
      </c>
      <c r="C20" s="12">
        <v>1</v>
      </c>
      <c r="D20" s="12">
        <v>1</v>
      </c>
      <c r="E20" s="12">
        <v>1</v>
      </c>
      <c r="F20" s="12">
        <v>2</v>
      </c>
      <c r="G20" s="13">
        <v>96.75</v>
      </c>
      <c r="H20" s="13">
        <v>0.75</v>
      </c>
      <c r="I20" s="13">
        <v>10.5</v>
      </c>
      <c r="J20" s="14">
        <v>0</v>
      </c>
    </row>
    <row r="21" spans="1:10" ht="16.5" x14ac:dyDescent="0.25">
      <c r="A21" s="15">
        <f t="shared" si="0"/>
        <v>20</v>
      </c>
      <c r="B21" s="37">
        <v>42945</v>
      </c>
      <c r="C21" s="12">
        <v>1</v>
      </c>
      <c r="D21" s="12">
        <v>1</v>
      </c>
      <c r="E21" s="12">
        <v>1</v>
      </c>
      <c r="F21" s="12">
        <v>1</v>
      </c>
      <c r="G21" s="13">
        <v>182.8</v>
      </c>
      <c r="H21" s="13">
        <v>0.5</v>
      </c>
      <c r="I21" s="13">
        <v>8</v>
      </c>
      <c r="J21" s="14">
        <v>0</v>
      </c>
    </row>
    <row r="22" spans="1:10" ht="16.5" x14ac:dyDescent="0.25">
      <c r="A22" s="15">
        <f t="shared" si="0"/>
        <v>21</v>
      </c>
      <c r="B22" s="37">
        <v>42947</v>
      </c>
      <c r="C22" s="12">
        <v>1</v>
      </c>
      <c r="D22" s="12">
        <v>1</v>
      </c>
      <c r="E22" s="12">
        <v>1</v>
      </c>
      <c r="F22" s="12">
        <v>2</v>
      </c>
      <c r="G22" s="13">
        <v>62.2</v>
      </c>
      <c r="H22" s="13">
        <v>0.75</v>
      </c>
      <c r="I22" s="13">
        <v>10.5</v>
      </c>
      <c r="J22" s="14">
        <v>0</v>
      </c>
    </row>
    <row r="23" spans="1:10" ht="16.5" x14ac:dyDescent="0.25">
      <c r="A23" s="15">
        <f t="shared" si="0"/>
        <v>22</v>
      </c>
      <c r="B23" s="37">
        <v>42948</v>
      </c>
      <c r="C23" s="12">
        <v>1</v>
      </c>
      <c r="D23" s="12">
        <v>1</v>
      </c>
      <c r="E23" s="12">
        <v>1</v>
      </c>
      <c r="F23" s="12">
        <v>2</v>
      </c>
      <c r="G23" s="13">
        <v>134.05000000000001</v>
      </c>
      <c r="H23" s="13">
        <v>0.75</v>
      </c>
      <c r="I23" s="13">
        <v>10.5</v>
      </c>
      <c r="J23" s="14">
        <v>0</v>
      </c>
    </row>
    <row r="24" spans="1:10" ht="16.5" x14ac:dyDescent="0.25">
      <c r="A24" s="15">
        <f t="shared" si="0"/>
        <v>23</v>
      </c>
      <c r="B24" s="37">
        <v>42949</v>
      </c>
      <c r="C24" s="12">
        <v>1</v>
      </c>
      <c r="D24" s="12">
        <v>1</v>
      </c>
      <c r="E24" s="12">
        <v>1</v>
      </c>
      <c r="F24" s="12">
        <v>2</v>
      </c>
      <c r="G24" s="13">
        <v>94.5</v>
      </c>
      <c r="H24" s="13">
        <v>0.75</v>
      </c>
      <c r="I24" s="13">
        <v>10.5</v>
      </c>
      <c r="J24" s="14">
        <v>0</v>
      </c>
    </row>
    <row r="25" spans="1:10" ht="16.5" x14ac:dyDescent="0.25">
      <c r="A25" s="15">
        <f t="shared" si="0"/>
        <v>24</v>
      </c>
      <c r="B25" s="37">
        <v>42950</v>
      </c>
      <c r="C25" s="12">
        <v>1</v>
      </c>
      <c r="D25" s="12">
        <v>1</v>
      </c>
      <c r="E25" s="12">
        <v>1</v>
      </c>
      <c r="F25" s="12">
        <v>2</v>
      </c>
      <c r="G25" s="13">
        <v>77.099999999999994</v>
      </c>
      <c r="H25" s="13">
        <v>0.75</v>
      </c>
      <c r="I25" s="13">
        <v>10.5</v>
      </c>
      <c r="J25" s="14">
        <v>0</v>
      </c>
    </row>
    <row r="26" spans="1:10" ht="16.5" x14ac:dyDescent="0.25">
      <c r="A26" s="15">
        <f t="shared" si="0"/>
        <v>25</v>
      </c>
      <c r="B26" s="37">
        <v>42950</v>
      </c>
      <c r="C26" s="12">
        <v>2</v>
      </c>
      <c r="D26" s="12">
        <v>1</v>
      </c>
      <c r="E26" s="12">
        <v>4</v>
      </c>
      <c r="F26" s="12">
        <v>2</v>
      </c>
      <c r="G26" s="13">
        <v>65</v>
      </c>
      <c r="H26" s="13">
        <v>0</v>
      </c>
      <c r="I26" s="13">
        <v>0</v>
      </c>
      <c r="J26" s="14">
        <v>0</v>
      </c>
    </row>
    <row r="27" spans="1:10" ht="16.5" x14ac:dyDescent="0.25">
      <c r="A27" s="15">
        <f t="shared" si="0"/>
        <v>26</v>
      </c>
      <c r="B27" s="37">
        <v>42951</v>
      </c>
      <c r="C27" s="12">
        <v>1</v>
      </c>
      <c r="D27" s="12">
        <v>1</v>
      </c>
      <c r="E27" s="12">
        <v>1</v>
      </c>
      <c r="F27" s="12">
        <v>2</v>
      </c>
      <c r="G27" s="13">
        <v>48.4</v>
      </c>
      <c r="H27" s="13">
        <v>0.75</v>
      </c>
      <c r="I27" s="13">
        <v>10.5</v>
      </c>
      <c r="J27" s="14">
        <v>32</v>
      </c>
    </row>
    <row r="28" spans="1:10" ht="16.5" x14ac:dyDescent="0.25">
      <c r="A28" s="15">
        <f t="shared" si="0"/>
        <v>27</v>
      </c>
      <c r="B28" s="37">
        <v>42952</v>
      </c>
      <c r="C28" s="12">
        <v>1</v>
      </c>
      <c r="D28" s="12">
        <v>1</v>
      </c>
      <c r="E28" s="12">
        <v>1</v>
      </c>
      <c r="F28" s="12">
        <v>1</v>
      </c>
      <c r="G28" s="13">
        <v>247</v>
      </c>
      <c r="H28" s="13">
        <v>0.5</v>
      </c>
      <c r="I28" s="13">
        <v>8</v>
      </c>
      <c r="J28" s="14">
        <v>0</v>
      </c>
    </row>
    <row r="29" spans="1:10" ht="16.5" x14ac:dyDescent="0.25">
      <c r="A29" s="15">
        <f t="shared" si="0"/>
        <v>28</v>
      </c>
      <c r="B29" s="37">
        <v>42952</v>
      </c>
      <c r="C29" s="12">
        <v>2</v>
      </c>
      <c r="D29" s="12">
        <v>1</v>
      </c>
      <c r="E29" s="12">
        <v>3</v>
      </c>
      <c r="F29" s="12">
        <v>2</v>
      </c>
      <c r="G29" s="13">
        <v>103.2</v>
      </c>
      <c r="H29" s="13">
        <v>0</v>
      </c>
      <c r="I29" s="13">
        <v>0</v>
      </c>
      <c r="J29" s="14">
        <v>0</v>
      </c>
    </row>
    <row r="30" spans="1:10" ht="16.5" x14ac:dyDescent="0.25">
      <c r="A30" s="15">
        <f t="shared" si="0"/>
        <v>29</v>
      </c>
      <c r="B30" s="37">
        <v>42954</v>
      </c>
      <c r="C30" s="12">
        <v>1</v>
      </c>
      <c r="D30" s="12">
        <v>1</v>
      </c>
      <c r="E30" s="12">
        <v>1</v>
      </c>
      <c r="F30" s="12">
        <v>2</v>
      </c>
      <c r="G30" s="13">
        <v>43.35</v>
      </c>
      <c r="H30" s="13">
        <v>0.75</v>
      </c>
      <c r="I30" s="13">
        <v>10.5</v>
      </c>
      <c r="J30" s="14">
        <v>60</v>
      </c>
    </row>
    <row r="31" spans="1:10" ht="16.5" x14ac:dyDescent="0.25">
      <c r="A31" s="15">
        <f t="shared" si="0"/>
        <v>30</v>
      </c>
      <c r="B31" s="37">
        <v>42954</v>
      </c>
      <c r="C31" s="12">
        <v>2</v>
      </c>
      <c r="D31" s="12">
        <v>1</v>
      </c>
      <c r="E31" s="12">
        <v>3</v>
      </c>
      <c r="F31" s="12">
        <v>2</v>
      </c>
      <c r="G31" s="13">
        <v>10</v>
      </c>
      <c r="H31" s="13">
        <v>0</v>
      </c>
      <c r="I31" s="13">
        <v>0</v>
      </c>
      <c r="J31" s="14">
        <v>0</v>
      </c>
    </row>
    <row r="32" spans="1:10" ht="16.5" x14ac:dyDescent="0.25">
      <c r="A32" s="15">
        <f t="shared" si="0"/>
        <v>31</v>
      </c>
      <c r="B32" s="37">
        <v>42955</v>
      </c>
      <c r="C32" s="12">
        <v>1</v>
      </c>
      <c r="D32" s="12">
        <v>1</v>
      </c>
      <c r="E32" s="12">
        <v>1</v>
      </c>
      <c r="F32" s="12">
        <v>2</v>
      </c>
      <c r="G32" s="13">
        <v>75.25</v>
      </c>
      <c r="H32" s="13">
        <v>0.75</v>
      </c>
      <c r="I32" s="13">
        <v>10.5</v>
      </c>
      <c r="J32" s="14">
        <v>0</v>
      </c>
    </row>
    <row r="33" spans="1:10" ht="16.5" x14ac:dyDescent="0.25">
      <c r="A33" s="15">
        <f t="shared" si="0"/>
        <v>32</v>
      </c>
      <c r="B33" s="37">
        <v>42956</v>
      </c>
      <c r="C33" s="12">
        <v>1</v>
      </c>
      <c r="D33" s="12">
        <v>1</v>
      </c>
      <c r="E33" s="12">
        <v>1</v>
      </c>
      <c r="F33" s="12">
        <v>2</v>
      </c>
      <c r="G33" s="13">
        <v>88.6</v>
      </c>
      <c r="H33" s="13">
        <v>0.75</v>
      </c>
      <c r="I33" s="13">
        <v>10.5</v>
      </c>
      <c r="J33" s="14">
        <v>25</v>
      </c>
    </row>
    <row r="34" spans="1:10" ht="16.5" x14ac:dyDescent="0.25">
      <c r="A34" s="15">
        <f t="shared" si="0"/>
        <v>33</v>
      </c>
      <c r="B34" s="37">
        <v>42957</v>
      </c>
      <c r="C34" s="12">
        <v>1</v>
      </c>
      <c r="D34" s="12">
        <v>1</v>
      </c>
      <c r="E34" s="12">
        <v>1</v>
      </c>
      <c r="F34" s="12">
        <v>2</v>
      </c>
      <c r="G34" s="13">
        <v>111.05</v>
      </c>
      <c r="H34" s="13">
        <v>0.75</v>
      </c>
      <c r="I34" s="13">
        <v>10.5</v>
      </c>
      <c r="J34" s="14">
        <v>23</v>
      </c>
    </row>
    <row r="35" spans="1:10" ht="16.5" x14ac:dyDescent="0.25">
      <c r="A35" s="15">
        <f t="shared" si="0"/>
        <v>34</v>
      </c>
      <c r="B35" s="37">
        <v>42957</v>
      </c>
      <c r="C35" s="12">
        <v>2</v>
      </c>
      <c r="D35" s="12">
        <v>1</v>
      </c>
      <c r="E35" s="12">
        <v>6</v>
      </c>
      <c r="F35" s="12">
        <v>2</v>
      </c>
      <c r="G35" s="13">
        <v>100</v>
      </c>
      <c r="H35" s="13">
        <v>0</v>
      </c>
      <c r="I35" s="13">
        <v>0</v>
      </c>
      <c r="J35" s="14">
        <v>0</v>
      </c>
    </row>
    <row r="36" spans="1:10" ht="16.5" x14ac:dyDescent="0.25">
      <c r="A36" s="15">
        <f t="shared" si="0"/>
        <v>35</v>
      </c>
      <c r="B36" s="37">
        <v>42958</v>
      </c>
      <c r="C36" s="12">
        <v>1</v>
      </c>
      <c r="D36" s="12">
        <v>1</v>
      </c>
      <c r="E36" s="12">
        <v>1</v>
      </c>
      <c r="F36" s="12">
        <v>2</v>
      </c>
      <c r="G36" s="13">
        <v>124.25</v>
      </c>
      <c r="H36" s="13">
        <v>0.75</v>
      </c>
      <c r="I36" s="13">
        <v>10.5</v>
      </c>
      <c r="J36" s="14">
        <v>8</v>
      </c>
    </row>
    <row r="37" spans="1:10" ht="16.5" x14ac:dyDescent="0.25">
      <c r="A37" s="15">
        <f t="shared" si="0"/>
        <v>36</v>
      </c>
      <c r="B37" s="37">
        <v>42959</v>
      </c>
      <c r="C37" s="12">
        <v>1</v>
      </c>
      <c r="D37" s="12">
        <v>1</v>
      </c>
      <c r="E37" s="12">
        <v>1</v>
      </c>
      <c r="F37" s="12">
        <v>1</v>
      </c>
      <c r="G37" s="13">
        <v>143</v>
      </c>
      <c r="H37" s="13">
        <v>0.5</v>
      </c>
      <c r="I37" s="13">
        <v>8</v>
      </c>
      <c r="J37" s="14">
        <v>0</v>
      </c>
    </row>
    <row r="38" spans="1:10" ht="16.5" x14ac:dyDescent="0.25">
      <c r="A38" s="15">
        <f t="shared" si="0"/>
        <v>37</v>
      </c>
      <c r="B38" s="37">
        <v>42961</v>
      </c>
      <c r="C38" s="12">
        <v>1</v>
      </c>
      <c r="D38" s="12">
        <v>1</v>
      </c>
      <c r="E38" s="12">
        <v>1</v>
      </c>
      <c r="F38" s="12">
        <v>2</v>
      </c>
      <c r="G38" s="13">
        <v>67.95</v>
      </c>
      <c r="H38" s="13">
        <v>0.75</v>
      </c>
      <c r="I38" s="13">
        <v>10.5</v>
      </c>
      <c r="J38" s="14">
        <v>6</v>
      </c>
    </row>
    <row r="39" spans="1:10" ht="16.5" x14ac:dyDescent="0.25">
      <c r="A39" s="15">
        <f t="shared" si="0"/>
        <v>38</v>
      </c>
      <c r="B39" s="37">
        <v>42962</v>
      </c>
      <c r="C39" s="12">
        <v>1</v>
      </c>
      <c r="D39" s="12">
        <v>1</v>
      </c>
      <c r="E39" s="12">
        <v>1</v>
      </c>
      <c r="F39" s="12">
        <v>2</v>
      </c>
      <c r="G39" s="13">
        <v>153.6</v>
      </c>
      <c r="H39" s="13">
        <v>0.75</v>
      </c>
      <c r="I39" s="13">
        <v>10.5</v>
      </c>
      <c r="J39" s="14">
        <v>18</v>
      </c>
    </row>
    <row r="40" spans="1:10" ht="16.5" x14ac:dyDescent="0.25">
      <c r="A40" s="15">
        <f t="shared" si="0"/>
        <v>39</v>
      </c>
      <c r="B40" s="37">
        <v>42962</v>
      </c>
      <c r="C40" s="12">
        <v>2</v>
      </c>
      <c r="D40" s="12">
        <v>1</v>
      </c>
      <c r="E40" s="12">
        <v>7</v>
      </c>
      <c r="F40" s="12">
        <v>2</v>
      </c>
      <c r="G40" s="13">
        <v>5.5</v>
      </c>
      <c r="H40" s="13">
        <v>0</v>
      </c>
      <c r="I40" s="13">
        <v>0</v>
      </c>
      <c r="J40" s="14">
        <v>0</v>
      </c>
    </row>
    <row r="41" spans="1:10" ht="16.5" x14ac:dyDescent="0.25">
      <c r="A41" s="15">
        <f t="shared" si="0"/>
        <v>40</v>
      </c>
      <c r="B41" s="37">
        <v>42963</v>
      </c>
      <c r="C41" s="12">
        <v>1</v>
      </c>
      <c r="D41" s="12">
        <v>1</v>
      </c>
      <c r="E41" s="12">
        <v>1</v>
      </c>
      <c r="F41" s="12">
        <v>2</v>
      </c>
      <c r="G41" s="13">
        <v>161.1</v>
      </c>
      <c r="H41" s="13">
        <v>0.75</v>
      </c>
      <c r="I41" s="13">
        <v>10.5</v>
      </c>
      <c r="J41" s="14">
        <v>0</v>
      </c>
    </row>
    <row r="42" spans="1:10" ht="16.5" x14ac:dyDescent="0.25">
      <c r="A42" s="15">
        <f t="shared" si="0"/>
        <v>41</v>
      </c>
      <c r="B42" s="37">
        <v>42964</v>
      </c>
      <c r="C42" s="12">
        <v>1</v>
      </c>
      <c r="D42" s="12">
        <v>1</v>
      </c>
      <c r="E42" s="12">
        <v>1</v>
      </c>
      <c r="F42" s="12">
        <v>2</v>
      </c>
      <c r="G42" s="13">
        <v>73.05</v>
      </c>
      <c r="H42" s="13">
        <v>0.75</v>
      </c>
      <c r="I42" s="13">
        <v>10.5</v>
      </c>
      <c r="J42" s="14">
        <v>28</v>
      </c>
    </row>
    <row r="43" spans="1:10" ht="16.5" x14ac:dyDescent="0.25">
      <c r="A43" s="15">
        <f t="shared" si="0"/>
        <v>42</v>
      </c>
      <c r="B43" s="37">
        <v>42965</v>
      </c>
      <c r="C43" s="12">
        <v>1</v>
      </c>
      <c r="D43" s="12">
        <v>1</v>
      </c>
      <c r="E43" s="12">
        <v>1</v>
      </c>
      <c r="F43" s="12">
        <v>2</v>
      </c>
      <c r="G43" s="13">
        <v>81.05</v>
      </c>
      <c r="H43" s="13">
        <v>0.75</v>
      </c>
      <c r="I43" s="13">
        <v>10.5</v>
      </c>
      <c r="J43" s="14">
        <v>20</v>
      </c>
    </row>
    <row r="44" spans="1:10" ht="16.5" x14ac:dyDescent="0.25">
      <c r="A44" s="15">
        <f t="shared" si="0"/>
        <v>43</v>
      </c>
      <c r="B44" s="37">
        <v>42965</v>
      </c>
      <c r="C44" s="12">
        <v>1</v>
      </c>
      <c r="D44" s="12">
        <v>1</v>
      </c>
      <c r="E44" s="12">
        <v>1</v>
      </c>
      <c r="F44" s="12">
        <v>2</v>
      </c>
      <c r="G44" s="13">
        <v>60</v>
      </c>
      <c r="H44" s="13">
        <v>0.71428571428571397</v>
      </c>
      <c r="I44" s="13">
        <v>10.5</v>
      </c>
      <c r="J44" s="14">
        <v>0</v>
      </c>
    </row>
    <row r="45" spans="1:10" ht="16.5" x14ac:dyDescent="0.25">
      <c r="A45" s="15">
        <f t="shared" si="0"/>
        <v>44</v>
      </c>
      <c r="B45" s="37">
        <v>42968</v>
      </c>
      <c r="C45" s="12">
        <v>1</v>
      </c>
      <c r="D45" s="12">
        <v>1</v>
      </c>
      <c r="E45" s="12">
        <v>1</v>
      </c>
      <c r="F45" s="12">
        <v>2</v>
      </c>
      <c r="G45" s="13">
        <v>83.25</v>
      </c>
      <c r="H45" s="13">
        <v>0.75</v>
      </c>
      <c r="I45" s="13">
        <v>10.5</v>
      </c>
      <c r="J45" s="14">
        <v>4</v>
      </c>
    </row>
    <row r="46" spans="1:10" ht="16.5" x14ac:dyDescent="0.25">
      <c r="A46" s="15">
        <f t="shared" si="0"/>
        <v>45</v>
      </c>
      <c r="B46" s="37">
        <v>42969</v>
      </c>
      <c r="C46" s="12">
        <v>1</v>
      </c>
      <c r="D46" s="12">
        <v>1</v>
      </c>
      <c r="E46" s="12">
        <v>1</v>
      </c>
      <c r="F46" s="12">
        <v>2</v>
      </c>
      <c r="G46" s="13">
        <v>133.94999999999999</v>
      </c>
      <c r="H46" s="13">
        <v>0.75</v>
      </c>
      <c r="I46" s="13">
        <v>10.5</v>
      </c>
      <c r="J46" s="14">
        <v>30</v>
      </c>
    </row>
    <row r="47" spans="1:10" ht="16.5" x14ac:dyDescent="0.25">
      <c r="A47" s="15">
        <f t="shared" si="0"/>
        <v>46</v>
      </c>
      <c r="B47" s="37">
        <v>42969</v>
      </c>
      <c r="C47" s="12">
        <v>2</v>
      </c>
      <c r="D47" s="12">
        <v>1</v>
      </c>
      <c r="E47" s="12">
        <v>7</v>
      </c>
      <c r="F47" s="12">
        <v>2</v>
      </c>
      <c r="G47" s="13">
        <v>5.5</v>
      </c>
      <c r="H47" s="13">
        <v>0</v>
      </c>
      <c r="I47" s="13">
        <v>0</v>
      </c>
      <c r="J47" s="14">
        <v>0</v>
      </c>
    </row>
    <row r="48" spans="1:10" ht="16.5" x14ac:dyDescent="0.25">
      <c r="A48" s="15">
        <f t="shared" si="0"/>
        <v>47</v>
      </c>
      <c r="B48" s="37">
        <v>42970</v>
      </c>
      <c r="C48" s="12">
        <v>1</v>
      </c>
      <c r="D48" s="12">
        <v>1</v>
      </c>
      <c r="E48" s="12">
        <v>1</v>
      </c>
      <c r="F48" s="12">
        <v>2</v>
      </c>
      <c r="G48" s="13">
        <v>116.45</v>
      </c>
      <c r="H48" s="13">
        <v>0.75</v>
      </c>
      <c r="I48" s="13">
        <v>10.5</v>
      </c>
      <c r="J48" s="14">
        <v>24</v>
      </c>
    </row>
    <row r="49" spans="1:10" ht="16.5" x14ac:dyDescent="0.25">
      <c r="A49" s="15">
        <f t="shared" si="0"/>
        <v>48</v>
      </c>
      <c r="B49" s="37">
        <v>42970</v>
      </c>
      <c r="C49" s="12">
        <v>1</v>
      </c>
      <c r="D49" s="12">
        <v>1</v>
      </c>
      <c r="E49" s="12">
        <v>1</v>
      </c>
      <c r="F49" s="12">
        <v>2</v>
      </c>
      <c r="G49" s="13">
        <v>20</v>
      </c>
      <c r="H49" s="13">
        <v>0.71428571428571397</v>
      </c>
      <c r="I49" s="13">
        <v>10.5</v>
      </c>
      <c r="J49" s="14">
        <v>0</v>
      </c>
    </row>
    <row r="50" spans="1:10" ht="16.5" x14ac:dyDescent="0.25">
      <c r="A50" s="15">
        <f t="shared" si="0"/>
        <v>49</v>
      </c>
      <c r="B50" s="37">
        <v>42970</v>
      </c>
      <c r="C50" s="12">
        <v>2</v>
      </c>
      <c r="D50" s="12">
        <v>1</v>
      </c>
      <c r="E50" s="12">
        <v>3</v>
      </c>
      <c r="F50" s="12">
        <v>2</v>
      </c>
      <c r="G50" s="13">
        <v>6</v>
      </c>
      <c r="H50" s="13">
        <v>0</v>
      </c>
      <c r="I50" s="13">
        <v>0</v>
      </c>
      <c r="J50" s="14">
        <v>0</v>
      </c>
    </row>
    <row r="51" spans="1:10" ht="16.5" x14ac:dyDescent="0.25">
      <c r="A51" s="15">
        <f t="shared" si="0"/>
        <v>50</v>
      </c>
      <c r="B51" s="37">
        <v>42971</v>
      </c>
      <c r="C51" s="12">
        <v>1</v>
      </c>
      <c r="D51" s="12">
        <v>1</v>
      </c>
      <c r="E51" s="12">
        <v>1</v>
      </c>
      <c r="F51" s="12">
        <v>2</v>
      </c>
      <c r="G51" s="13">
        <v>96.35</v>
      </c>
      <c r="H51" s="13">
        <v>0.75</v>
      </c>
      <c r="I51" s="13">
        <v>10.5</v>
      </c>
      <c r="J51" s="14">
        <v>0</v>
      </c>
    </row>
    <row r="52" spans="1:10" ht="16.5" x14ac:dyDescent="0.25">
      <c r="A52" s="15">
        <f t="shared" si="0"/>
        <v>51</v>
      </c>
      <c r="B52" s="37">
        <v>42971</v>
      </c>
      <c r="C52" s="12">
        <v>1</v>
      </c>
      <c r="D52" s="12">
        <v>1</v>
      </c>
      <c r="E52" s="12">
        <v>1</v>
      </c>
      <c r="F52" s="12">
        <v>2</v>
      </c>
      <c r="G52" s="13">
        <v>40</v>
      </c>
      <c r="H52" s="13">
        <v>0.71428571428571397</v>
      </c>
      <c r="I52" s="13">
        <v>10.5</v>
      </c>
      <c r="J52" s="14">
        <v>0</v>
      </c>
    </row>
    <row r="53" spans="1:10" ht="16.5" x14ac:dyDescent="0.25">
      <c r="A53" s="15">
        <f t="shared" si="0"/>
        <v>52</v>
      </c>
      <c r="B53" s="37">
        <v>42972</v>
      </c>
      <c r="C53" s="12">
        <v>1</v>
      </c>
      <c r="D53" s="12">
        <v>1</v>
      </c>
      <c r="E53" s="12">
        <v>1</v>
      </c>
      <c r="F53" s="12">
        <v>2</v>
      </c>
      <c r="G53" s="13">
        <v>35.75</v>
      </c>
      <c r="H53" s="13">
        <v>0.75</v>
      </c>
      <c r="I53" s="13">
        <v>10.5</v>
      </c>
      <c r="J53" s="14">
        <v>0</v>
      </c>
    </row>
    <row r="54" spans="1:10" ht="16.5" x14ac:dyDescent="0.25">
      <c r="A54" s="15">
        <f t="shared" si="0"/>
        <v>53</v>
      </c>
      <c r="B54" s="37">
        <v>42972</v>
      </c>
      <c r="C54" s="12">
        <v>2</v>
      </c>
      <c r="D54" s="12">
        <v>1</v>
      </c>
      <c r="E54" s="12">
        <v>4</v>
      </c>
      <c r="F54" s="12">
        <v>2</v>
      </c>
      <c r="G54" s="13">
        <v>55</v>
      </c>
      <c r="H54" s="13">
        <v>0</v>
      </c>
      <c r="I54" s="13">
        <v>0</v>
      </c>
      <c r="J54" s="14">
        <v>0</v>
      </c>
    </row>
    <row r="55" spans="1:10" ht="16.5" x14ac:dyDescent="0.25">
      <c r="A55" s="15">
        <f t="shared" si="0"/>
        <v>54</v>
      </c>
      <c r="B55" s="37">
        <v>42973</v>
      </c>
      <c r="C55" s="12">
        <v>1</v>
      </c>
      <c r="D55" s="12">
        <v>1</v>
      </c>
      <c r="E55" s="12">
        <v>1</v>
      </c>
      <c r="F55" s="12">
        <v>1</v>
      </c>
      <c r="G55" s="13">
        <v>113</v>
      </c>
      <c r="H55" s="13">
        <v>0.5</v>
      </c>
      <c r="I55" s="13">
        <v>8</v>
      </c>
      <c r="J55" s="14">
        <v>0</v>
      </c>
    </row>
    <row r="56" spans="1:10" ht="16.5" x14ac:dyDescent="0.25">
      <c r="A56" s="15">
        <f t="shared" si="0"/>
        <v>55</v>
      </c>
      <c r="B56" s="37">
        <v>42973</v>
      </c>
      <c r="C56" s="12">
        <v>2</v>
      </c>
      <c r="D56" s="12">
        <v>1</v>
      </c>
      <c r="E56" s="12">
        <v>7</v>
      </c>
      <c r="F56" s="12">
        <v>2</v>
      </c>
      <c r="G56" s="13">
        <v>13</v>
      </c>
      <c r="H56" s="13">
        <v>0</v>
      </c>
      <c r="I56" s="13">
        <v>0</v>
      </c>
      <c r="J56" s="14">
        <v>0</v>
      </c>
    </row>
    <row r="57" spans="1:10" ht="16.5" x14ac:dyDescent="0.25">
      <c r="A57" s="15">
        <f t="shared" si="0"/>
        <v>56</v>
      </c>
      <c r="B57" s="37">
        <v>42975</v>
      </c>
      <c r="C57" s="12">
        <v>1</v>
      </c>
      <c r="D57" s="12">
        <v>1</v>
      </c>
      <c r="E57" s="12">
        <v>1</v>
      </c>
      <c r="F57" s="12">
        <v>2</v>
      </c>
      <c r="G57" s="13">
        <v>3</v>
      </c>
      <c r="H57" s="13">
        <v>0.75</v>
      </c>
      <c r="I57" s="13">
        <v>10.5</v>
      </c>
      <c r="J57" s="14">
        <v>0</v>
      </c>
    </row>
    <row r="58" spans="1:10" ht="16.5" x14ac:dyDescent="0.25">
      <c r="A58" s="15">
        <f t="shared" si="0"/>
        <v>57</v>
      </c>
      <c r="B58" s="37">
        <v>42976</v>
      </c>
      <c r="C58" s="12">
        <v>1</v>
      </c>
      <c r="D58" s="12">
        <v>1</v>
      </c>
      <c r="E58" s="12">
        <v>1</v>
      </c>
      <c r="F58" s="12">
        <v>2</v>
      </c>
      <c r="G58" s="13">
        <v>45</v>
      </c>
      <c r="H58" s="13">
        <v>0.75</v>
      </c>
      <c r="I58" s="13">
        <v>10.5</v>
      </c>
      <c r="J58" s="14">
        <v>0</v>
      </c>
    </row>
    <row r="59" spans="1:10" ht="16.5" x14ac:dyDescent="0.25">
      <c r="A59" s="15">
        <f t="shared" si="0"/>
        <v>58</v>
      </c>
      <c r="B59" s="37">
        <v>42977</v>
      </c>
      <c r="C59" s="12">
        <v>1</v>
      </c>
      <c r="D59" s="12">
        <v>1</v>
      </c>
      <c r="E59" s="12">
        <v>1</v>
      </c>
      <c r="F59" s="12">
        <v>2</v>
      </c>
      <c r="G59" s="13">
        <v>92.65</v>
      </c>
      <c r="H59" s="13">
        <v>0.75</v>
      </c>
      <c r="I59" s="13">
        <v>10.5</v>
      </c>
      <c r="J59" s="14">
        <v>2</v>
      </c>
    </row>
    <row r="60" spans="1:10" ht="16.5" x14ac:dyDescent="0.25">
      <c r="A60" s="15">
        <f t="shared" si="0"/>
        <v>59</v>
      </c>
      <c r="B60" s="37">
        <v>42978</v>
      </c>
      <c r="C60" s="12">
        <v>1</v>
      </c>
      <c r="D60" s="12">
        <v>1</v>
      </c>
      <c r="E60" s="12">
        <v>1</v>
      </c>
      <c r="F60" s="12">
        <v>2</v>
      </c>
      <c r="G60" s="13">
        <v>74</v>
      </c>
      <c r="H60" s="13">
        <v>0.75</v>
      </c>
      <c r="I60" s="13">
        <v>10.5</v>
      </c>
      <c r="J60" s="14">
        <v>5</v>
      </c>
    </row>
    <row r="61" spans="1:10" ht="16.5" x14ac:dyDescent="0.25">
      <c r="A61" s="15">
        <f t="shared" si="0"/>
        <v>60</v>
      </c>
      <c r="B61" s="37">
        <v>42979</v>
      </c>
      <c r="C61" s="12">
        <v>1</v>
      </c>
      <c r="D61" s="12">
        <v>1</v>
      </c>
      <c r="E61" s="12">
        <v>1</v>
      </c>
      <c r="F61" s="12">
        <v>2</v>
      </c>
      <c r="G61" s="13">
        <v>72</v>
      </c>
      <c r="H61" s="13">
        <v>0.75</v>
      </c>
      <c r="I61" s="13">
        <v>10.5</v>
      </c>
      <c r="J61" s="14">
        <v>9</v>
      </c>
    </row>
    <row r="62" spans="1:10" ht="16.5" x14ac:dyDescent="0.25">
      <c r="A62" s="15">
        <f t="shared" si="0"/>
        <v>61</v>
      </c>
      <c r="B62" s="37">
        <v>42979</v>
      </c>
      <c r="C62" s="12">
        <v>1</v>
      </c>
      <c r="D62" s="12">
        <v>1</v>
      </c>
      <c r="E62" s="12">
        <v>1</v>
      </c>
      <c r="F62" s="12">
        <v>2</v>
      </c>
      <c r="G62" s="13">
        <v>20</v>
      </c>
      <c r="H62" s="13">
        <v>0.7142857142857143</v>
      </c>
      <c r="I62" s="13">
        <v>10.5</v>
      </c>
      <c r="J62" s="14">
        <v>0</v>
      </c>
    </row>
    <row r="63" spans="1:10" ht="16.5" x14ac:dyDescent="0.25">
      <c r="A63" s="15">
        <f t="shared" si="0"/>
        <v>62</v>
      </c>
      <c r="B63" s="37">
        <v>42980</v>
      </c>
      <c r="C63" s="12">
        <v>1</v>
      </c>
      <c r="D63" s="12">
        <v>1</v>
      </c>
      <c r="E63" s="12">
        <v>1</v>
      </c>
      <c r="F63" s="12">
        <v>1</v>
      </c>
      <c r="G63" s="13">
        <v>143</v>
      </c>
      <c r="H63" s="13">
        <v>0.5</v>
      </c>
      <c r="I63" s="13">
        <v>8</v>
      </c>
      <c r="J63" s="14">
        <v>0</v>
      </c>
    </row>
    <row r="64" spans="1:10" ht="16.5" x14ac:dyDescent="0.25">
      <c r="A64" s="15">
        <f t="shared" si="0"/>
        <v>63</v>
      </c>
      <c r="B64" s="37">
        <v>42982</v>
      </c>
      <c r="C64" s="12">
        <v>1</v>
      </c>
      <c r="D64" s="12">
        <v>1</v>
      </c>
      <c r="E64" s="12">
        <v>1</v>
      </c>
      <c r="F64" s="12">
        <v>2</v>
      </c>
      <c r="G64" s="13">
        <v>67.3</v>
      </c>
      <c r="H64" s="13">
        <v>0.75</v>
      </c>
      <c r="I64" s="13">
        <v>10.5</v>
      </c>
      <c r="J64" s="14">
        <v>30</v>
      </c>
    </row>
    <row r="65" spans="1:10" ht="16.5" x14ac:dyDescent="0.25">
      <c r="A65" s="15">
        <f t="shared" si="0"/>
        <v>64</v>
      </c>
      <c r="B65" s="37">
        <v>42983</v>
      </c>
      <c r="C65" s="12">
        <v>1</v>
      </c>
      <c r="D65" s="12">
        <v>1</v>
      </c>
      <c r="E65" s="12">
        <v>1</v>
      </c>
      <c r="F65" s="12">
        <v>2</v>
      </c>
      <c r="G65" s="13">
        <v>34.25</v>
      </c>
      <c r="H65" s="13">
        <v>0.75</v>
      </c>
      <c r="I65" s="13">
        <v>10.5</v>
      </c>
      <c r="J65" s="14">
        <v>30</v>
      </c>
    </row>
    <row r="66" spans="1:10" ht="16.5" x14ac:dyDescent="0.25">
      <c r="A66" s="15">
        <f t="shared" ref="A66:A129" si="1">ROW() - 1</f>
        <v>65</v>
      </c>
      <c r="B66" s="37">
        <v>42984</v>
      </c>
      <c r="C66" s="12">
        <v>1</v>
      </c>
      <c r="D66" s="12">
        <v>1</v>
      </c>
      <c r="E66" s="12">
        <v>1</v>
      </c>
      <c r="F66" s="12">
        <v>2</v>
      </c>
      <c r="G66" s="13">
        <v>67.55</v>
      </c>
      <c r="H66" s="13">
        <v>0.75</v>
      </c>
      <c r="I66" s="13">
        <v>10.5</v>
      </c>
      <c r="J66" s="14">
        <v>0</v>
      </c>
    </row>
    <row r="67" spans="1:10" ht="16.5" x14ac:dyDescent="0.25">
      <c r="A67" s="15">
        <f t="shared" si="1"/>
        <v>66</v>
      </c>
      <c r="B67" s="37">
        <v>42985</v>
      </c>
      <c r="C67" s="12">
        <v>2</v>
      </c>
      <c r="D67" s="12">
        <v>1</v>
      </c>
      <c r="E67" s="12">
        <v>6</v>
      </c>
      <c r="F67" s="12">
        <v>2</v>
      </c>
      <c r="G67" s="13">
        <v>70</v>
      </c>
      <c r="H67" s="13">
        <v>0</v>
      </c>
      <c r="I67" s="13">
        <v>0</v>
      </c>
      <c r="J67" s="14">
        <v>0</v>
      </c>
    </row>
    <row r="68" spans="1:10" ht="16.5" x14ac:dyDescent="0.25">
      <c r="A68" s="15">
        <f t="shared" si="1"/>
        <v>67</v>
      </c>
      <c r="B68" s="37">
        <v>42986</v>
      </c>
      <c r="C68" s="12">
        <v>1</v>
      </c>
      <c r="D68" s="12">
        <v>1</v>
      </c>
      <c r="E68" s="12">
        <v>1</v>
      </c>
      <c r="F68" s="12">
        <v>2</v>
      </c>
      <c r="G68" s="13">
        <v>55.05</v>
      </c>
      <c r="H68" s="13">
        <v>0.75</v>
      </c>
      <c r="I68" s="13">
        <v>0</v>
      </c>
      <c r="J68" s="14">
        <v>0</v>
      </c>
    </row>
    <row r="69" spans="1:10" ht="16.5" x14ac:dyDescent="0.25">
      <c r="A69" s="15">
        <f t="shared" si="1"/>
        <v>68</v>
      </c>
      <c r="B69" s="37">
        <v>42989</v>
      </c>
      <c r="C69" s="12">
        <v>1</v>
      </c>
      <c r="D69" s="12">
        <v>1</v>
      </c>
      <c r="E69" s="12">
        <v>1</v>
      </c>
      <c r="F69" s="12">
        <v>2</v>
      </c>
      <c r="G69" s="13">
        <v>21</v>
      </c>
      <c r="H69" s="13">
        <v>0.75</v>
      </c>
      <c r="I69" s="13">
        <v>8</v>
      </c>
      <c r="J69" s="14">
        <v>4</v>
      </c>
    </row>
    <row r="70" spans="1:10" ht="16.5" x14ac:dyDescent="0.25">
      <c r="A70" s="15">
        <f t="shared" si="1"/>
        <v>69</v>
      </c>
      <c r="B70" s="37">
        <v>42990</v>
      </c>
      <c r="C70" s="12">
        <v>1</v>
      </c>
      <c r="D70" s="12">
        <v>1</v>
      </c>
      <c r="E70" s="12">
        <v>1</v>
      </c>
      <c r="F70" s="12">
        <v>2</v>
      </c>
      <c r="G70" s="13">
        <f>15.75</f>
        <v>15.75</v>
      </c>
      <c r="H70" s="13">
        <v>0.75</v>
      </c>
      <c r="I70" s="13">
        <v>10.5</v>
      </c>
      <c r="J70" s="14">
        <v>24</v>
      </c>
    </row>
    <row r="71" spans="1:10" ht="16.5" x14ac:dyDescent="0.25">
      <c r="A71" s="15">
        <f t="shared" si="1"/>
        <v>70</v>
      </c>
      <c r="B71" s="37">
        <v>42991</v>
      </c>
      <c r="C71" s="12">
        <v>1</v>
      </c>
      <c r="D71" s="12">
        <v>1</v>
      </c>
      <c r="E71" s="12">
        <v>1</v>
      </c>
      <c r="F71" s="12">
        <v>2</v>
      </c>
      <c r="G71" s="13">
        <v>18.75</v>
      </c>
      <c r="H71" s="13">
        <v>0.75</v>
      </c>
      <c r="I71" s="13">
        <v>10.5</v>
      </c>
      <c r="J71" s="14">
        <v>5</v>
      </c>
    </row>
    <row r="72" spans="1:10" ht="16.5" x14ac:dyDescent="0.25">
      <c r="A72" s="15">
        <f t="shared" si="1"/>
        <v>71</v>
      </c>
      <c r="B72" s="37">
        <v>42992</v>
      </c>
      <c r="C72" s="12">
        <v>1</v>
      </c>
      <c r="D72" s="12">
        <v>1</v>
      </c>
      <c r="E72" s="12">
        <v>1</v>
      </c>
      <c r="F72" s="12">
        <v>2</v>
      </c>
      <c r="G72" s="13">
        <f>46.7+10</f>
        <v>56.7</v>
      </c>
      <c r="H72" s="13">
        <v>0.75</v>
      </c>
      <c r="I72" s="13">
        <v>10.5</v>
      </c>
      <c r="J72" s="14">
        <v>4</v>
      </c>
    </row>
    <row r="73" spans="1:10" ht="16.5" x14ac:dyDescent="0.25">
      <c r="A73" s="15">
        <f t="shared" si="1"/>
        <v>72</v>
      </c>
      <c r="B73" s="37">
        <v>42993</v>
      </c>
      <c r="C73" s="12">
        <v>1</v>
      </c>
      <c r="D73" s="12">
        <v>1</v>
      </c>
      <c r="E73" s="12">
        <v>1</v>
      </c>
      <c r="F73" s="12">
        <v>2</v>
      </c>
      <c r="G73" s="13">
        <v>62.7</v>
      </c>
      <c r="H73" s="13">
        <v>0.75</v>
      </c>
      <c r="I73" s="13">
        <v>10.5</v>
      </c>
      <c r="J73" s="14">
        <v>5</v>
      </c>
    </row>
    <row r="74" spans="1:10" ht="16.5" x14ac:dyDescent="0.25">
      <c r="A74" s="15">
        <f t="shared" si="1"/>
        <v>73</v>
      </c>
      <c r="B74" s="37">
        <v>42994</v>
      </c>
      <c r="C74" s="12">
        <v>1</v>
      </c>
      <c r="D74" s="12">
        <v>1</v>
      </c>
      <c r="E74" s="12">
        <v>1</v>
      </c>
      <c r="F74" s="12">
        <v>1</v>
      </c>
      <c r="G74" s="13">
        <v>131</v>
      </c>
      <c r="H74" s="13">
        <v>0.5</v>
      </c>
      <c r="I74" s="13">
        <v>8</v>
      </c>
      <c r="J74" s="14">
        <v>0</v>
      </c>
    </row>
    <row r="75" spans="1:10" ht="16.5" x14ac:dyDescent="0.25">
      <c r="A75" s="15">
        <f t="shared" si="1"/>
        <v>74</v>
      </c>
      <c r="B75" s="37">
        <v>42996</v>
      </c>
      <c r="C75" s="12">
        <v>1</v>
      </c>
      <c r="D75" s="12">
        <v>1</v>
      </c>
      <c r="E75" s="12">
        <v>1</v>
      </c>
      <c r="F75" s="12">
        <v>2</v>
      </c>
      <c r="G75" s="13">
        <v>55.7</v>
      </c>
      <c r="H75" s="13">
        <v>0.75</v>
      </c>
      <c r="I75" s="13">
        <v>10.5</v>
      </c>
      <c r="J75" s="14">
        <v>5</v>
      </c>
    </row>
    <row r="76" spans="1:10" ht="16.5" x14ac:dyDescent="0.25">
      <c r="A76" s="15">
        <f t="shared" si="1"/>
        <v>75</v>
      </c>
      <c r="B76" s="37">
        <v>42997</v>
      </c>
      <c r="C76" s="12">
        <v>1</v>
      </c>
      <c r="D76" s="12">
        <v>1</v>
      </c>
      <c r="E76" s="12">
        <v>1</v>
      </c>
      <c r="F76" s="12">
        <v>2</v>
      </c>
      <c r="G76" s="13">
        <v>56.6</v>
      </c>
      <c r="H76" s="13">
        <v>0.75</v>
      </c>
      <c r="I76" s="13">
        <v>10.5</v>
      </c>
      <c r="J76" s="14">
        <v>0</v>
      </c>
    </row>
    <row r="77" spans="1:10" ht="16.5" x14ac:dyDescent="0.25">
      <c r="A77" s="15">
        <f t="shared" si="1"/>
        <v>76</v>
      </c>
      <c r="B77" s="37">
        <v>42998</v>
      </c>
      <c r="C77" s="12">
        <v>1</v>
      </c>
      <c r="D77" s="12">
        <v>1</v>
      </c>
      <c r="E77" s="12">
        <v>1</v>
      </c>
      <c r="F77" s="12">
        <v>2</v>
      </c>
      <c r="G77" s="13">
        <v>48</v>
      </c>
      <c r="H77" s="13">
        <v>0.75</v>
      </c>
      <c r="I77" s="13">
        <v>10.5</v>
      </c>
      <c r="J77" s="14">
        <f>3+1+2</f>
        <v>6</v>
      </c>
    </row>
    <row r="78" spans="1:10" ht="16.5" x14ac:dyDescent="0.25">
      <c r="A78" s="15">
        <f t="shared" si="1"/>
        <v>77</v>
      </c>
      <c r="B78" s="37">
        <v>42998</v>
      </c>
      <c r="C78" s="12">
        <v>2</v>
      </c>
      <c r="D78" s="12">
        <v>1</v>
      </c>
      <c r="E78" s="12">
        <v>8</v>
      </c>
      <c r="F78" s="12">
        <v>2</v>
      </c>
      <c r="G78" s="13">
        <v>47.85</v>
      </c>
      <c r="H78" s="13">
        <v>0</v>
      </c>
      <c r="I78" s="13">
        <v>0</v>
      </c>
      <c r="J78" s="14">
        <v>0</v>
      </c>
    </row>
    <row r="79" spans="1:10" ht="16.5" x14ac:dyDescent="0.25">
      <c r="A79" s="15">
        <f t="shared" si="1"/>
        <v>78</v>
      </c>
      <c r="B79" s="37">
        <v>42999</v>
      </c>
      <c r="C79" s="12">
        <v>1</v>
      </c>
      <c r="D79" s="12">
        <v>1</v>
      </c>
      <c r="E79" s="12">
        <v>1</v>
      </c>
      <c r="F79" s="12">
        <v>2</v>
      </c>
      <c r="G79" s="13">
        <v>33.1</v>
      </c>
      <c r="H79" s="13">
        <v>0.75</v>
      </c>
      <c r="I79" s="13">
        <v>10.5</v>
      </c>
      <c r="J79" s="14">
        <v>25</v>
      </c>
    </row>
    <row r="80" spans="1:10" ht="16.5" x14ac:dyDescent="0.25">
      <c r="A80" s="15">
        <f t="shared" si="1"/>
        <v>79</v>
      </c>
      <c r="B80" s="37">
        <v>43000</v>
      </c>
      <c r="C80" s="12">
        <v>1</v>
      </c>
      <c r="D80" s="12">
        <v>1</v>
      </c>
      <c r="E80" s="12">
        <v>1</v>
      </c>
      <c r="F80" s="12">
        <v>2</v>
      </c>
      <c r="G80" s="13">
        <v>32.75</v>
      </c>
      <c r="H80" s="13">
        <v>0.75</v>
      </c>
      <c r="I80" s="13">
        <v>10.5</v>
      </c>
      <c r="J80" s="14">
        <v>0</v>
      </c>
    </row>
    <row r="81" spans="1:10" ht="16.5" x14ac:dyDescent="0.25">
      <c r="A81" s="15">
        <f t="shared" si="1"/>
        <v>80</v>
      </c>
      <c r="B81" s="37">
        <v>43003</v>
      </c>
      <c r="C81" s="12">
        <v>1</v>
      </c>
      <c r="D81" s="12">
        <v>1</v>
      </c>
      <c r="E81" s="12">
        <v>1</v>
      </c>
      <c r="F81" s="12">
        <v>2</v>
      </c>
      <c r="G81" s="13">
        <v>50.7</v>
      </c>
      <c r="H81" s="13">
        <v>0.75</v>
      </c>
      <c r="I81" s="13">
        <v>10.5</v>
      </c>
      <c r="J81" s="14">
        <v>3</v>
      </c>
    </row>
    <row r="82" spans="1:10" ht="16.5" x14ac:dyDescent="0.25">
      <c r="A82" s="15">
        <f t="shared" si="1"/>
        <v>81</v>
      </c>
      <c r="B82" s="37">
        <v>43004</v>
      </c>
      <c r="C82" s="12">
        <v>1</v>
      </c>
      <c r="D82" s="12">
        <v>1</v>
      </c>
      <c r="E82" s="12">
        <v>1</v>
      </c>
      <c r="F82" s="12">
        <v>2</v>
      </c>
      <c r="G82" s="13">
        <v>49.5</v>
      </c>
      <c r="H82" s="13">
        <v>0.75</v>
      </c>
      <c r="I82" s="13">
        <v>10.5</v>
      </c>
      <c r="J82" s="14">
        <v>28</v>
      </c>
    </row>
    <row r="83" spans="1:10" ht="16.5" x14ac:dyDescent="0.25">
      <c r="A83" s="15">
        <f t="shared" si="1"/>
        <v>82</v>
      </c>
      <c r="B83" s="37">
        <v>43004</v>
      </c>
      <c r="C83" s="12">
        <v>1</v>
      </c>
      <c r="D83" s="12">
        <v>1</v>
      </c>
      <c r="E83" s="12">
        <v>1</v>
      </c>
      <c r="F83" s="12">
        <v>2</v>
      </c>
      <c r="G83" s="13">
        <v>20</v>
      </c>
      <c r="H83" s="13">
        <v>0.7</v>
      </c>
      <c r="I83" s="13">
        <v>10.5</v>
      </c>
      <c r="J83" s="14">
        <v>0</v>
      </c>
    </row>
    <row r="84" spans="1:10" ht="16.5" x14ac:dyDescent="0.25">
      <c r="A84" s="15">
        <f t="shared" si="1"/>
        <v>83</v>
      </c>
      <c r="B84" s="37">
        <v>43005</v>
      </c>
      <c r="C84" s="12">
        <v>1</v>
      </c>
      <c r="D84" s="12">
        <v>1</v>
      </c>
      <c r="E84" s="12">
        <v>1</v>
      </c>
      <c r="F84" s="12">
        <v>2</v>
      </c>
      <c r="G84" s="13">
        <v>36</v>
      </c>
      <c r="H84" s="13">
        <v>0.75</v>
      </c>
      <c r="I84" s="13">
        <v>10.5</v>
      </c>
      <c r="J84" s="14">
        <v>12</v>
      </c>
    </row>
    <row r="85" spans="1:10" ht="16.5" x14ac:dyDescent="0.25">
      <c r="A85" s="15">
        <f t="shared" si="1"/>
        <v>84</v>
      </c>
      <c r="B85" s="37">
        <v>43006</v>
      </c>
      <c r="C85" s="12">
        <v>1</v>
      </c>
      <c r="D85" s="12">
        <v>1</v>
      </c>
      <c r="E85" s="12">
        <v>1</v>
      </c>
      <c r="F85" s="12">
        <v>2</v>
      </c>
      <c r="G85" s="13">
        <v>58.5</v>
      </c>
      <c r="H85" s="13">
        <v>0.75</v>
      </c>
      <c r="I85" s="13">
        <v>10.5</v>
      </c>
      <c r="J85" s="14">
        <v>2</v>
      </c>
    </row>
    <row r="86" spans="1:10" ht="16.5" x14ac:dyDescent="0.25">
      <c r="A86" s="15">
        <f t="shared" si="1"/>
        <v>85</v>
      </c>
      <c r="B86" s="37">
        <v>43007</v>
      </c>
      <c r="C86" s="12">
        <v>1</v>
      </c>
      <c r="D86" s="12">
        <v>1</v>
      </c>
      <c r="E86" s="12">
        <v>1</v>
      </c>
      <c r="F86" s="12">
        <v>2</v>
      </c>
      <c r="G86" s="13">
        <v>43.5</v>
      </c>
      <c r="H86" s="13">
        <v>0.75</v>
      </c>
      <c r="I86" s="13">
        <v>10.5</v>
      </c>
      <c r="J86" s="14">
        <v>10</v>
      </c>
    </row>
    <row r="87" spans="1:10" ht="16.5" x14ac:dyDescent="0.25">
      <c r="A87" s="15">
        <f t="shared" si="1"/>
        <v>86</v>
      </c>
      <c r="B87" s="37">
        <v>43008</v>
      </c>
      <c r="C87" s="12">
        <v>1</v>
      </c>
      <c r="D87" s="12">
        <v>1</v>
      </c>
      <c r="E87" s="12">
        <v>1</v>
      </c>
      <c r="F87" s="12">
        <v>1</v>
      </c>
      <c r="G87" s="13">
        <v>137</v>
      </c>
      <c r="H87" s="13">
        <v>0.5</v>
      </c>
      <c r="I87" s="13">
        <v>8</v>
      </c>
      <c r="J87" s="14">
        <v>0</v>
      </c>
    </row>
    <row r="88" spans="1:10" ht="16.5" x14ac:dyDescent="0.25">
      <c r="A88" s="15">
        <f t="shared" si="1"/>
        <v>87</v>
      </c>
      <c r="B88" s="37">
        <v>43010</v>
      </c>
      <c r="C88" s="12">
        <v>1</v>
      </c>
      <c r="D88" s="12">
        <v>1</v>
      </c>
      <c r="E88" s="12">
        <v>1</v>
      </c>
      <c r="F88" s="12">
        <v>2</v>
      </c>
      <c r="G88" s="13">
        <v>57.25</v>
      </c>
      <c r="H88" s="13">
        <v>0.75</v>
      </c>
      <c r="I88" s="13">
        <v>10.5</v>
      </c>
      <c r="J88" s="14">
        <v>0</v>
      </c>
    </row>
    <row r="89" spans="1:10" ht="16.5" x14ac:dyDescent="0.25">
      <c r="A89" s="15">
        <f t="shared" si="1"/>
        <v>88</v>
      </c>
      <c r="B89" s="37">
        <v>43011</v>
      </c>
      <c r="C89" s="12">
        <v>1</v>
      </c>
      <c r="D89" s="12">
        <v>1</v>
      </c>
      <c r="E89" s="12">
        <v>1</v>
      </c>
      <c r="F89" s="12">
        <v>2</v>
      </c>
      <c r="G89" s="13">
        <v>58.5</v>
      </c>
      <c r="H89" s="13">
        <v>0.75</v>
      </c>
      <c r="I89" s="13">
        <v>10.5</v>
      </c>
      <c r="J89" s="14">
        <v>0</v>
      </c>
    </row>
    <row r="90" spans="1:10" ht="16.5" x14ac:dyDescent="0.25">
      <c r="A90" s="15">
        <f t="shared" si="1"/>
        <v>89</v>
      </c>
      <c r="B90" s="37">
        <v>43012</v>
      </c>
      <c r="C90" s="12">
        <v>1</v>
      </c>
      <c r="D90" s="12">
        <v>1</v>
      </c>
      <c r="E90" s="12">
        <v>1</v>
      </c>
      <c r="F90" s="12">
        <v>2</v>
      </c>
      <c r="G90" s="13">
        <v>25.8</v>
      </c>
      <c r="H90" s="13">
        <v>0.75</v>
      </c>
      <c r="I90" s="13">
        <v>10.5</v>
      </c>
      <c r="J90" s="14">
        <v>46</v>
      </c>
    </row>
    <row r="91" spans="1:10" ht="16.5" x14ac:dyDescent="0.25">
      <c r="A91" s="15">
        <f t="shared" si="1"/>
        <v>90</v>
      </c>
      <c r="B91" s="37">
        <v>43013</v>
      </c>
      <c r="C91" s="12">
        <v>1</v>
      </c>
      <c r="D91" s="12">
        <v>1</v>
      </c>
      <c r="E91" s="12">
        <v>1</v>
      </c>
      <c r="F91" s="12">
        <v>2</v>
      </c>
      <c r="G91" s="13">
        <v>39</v>
      </c>
      <c r="H91" s="13">
        <v>0.75</v>
      </c>
      <c r="I91" s="13">
        <v>10.5</v>
      </c>
      <c r="J91" s="14">
        <v>0</v>
      </c>
    </row>
    <row r="92" spans="1:10" ht="16.5" x14ac:dyDescent="0.25">
      <c r="A92" s="15">
        <f t="shared" si="1"/>
        <v>91</v>
      </c>
      <c r="B92" s="37">
        <v>43014</v>
      </c>
      <c r="C92" s="12">
        <v>1</v>
      </c>
      <c r="D92" s="12">
        <v>1</v>
      </c>
      <c r="E92" s="12">
        <v>1</v>
      </c>
      <c r="F92" s="12">
        <v>2</v>
      </c>
      <c r="G92" s="13">
        <v>49.75</v>
      </c>
      <c r="H92" s="13">
        <f>2/3</f>
        <v>0.66666666666666663</v>
      </c>
      <c r="I92" s="13">
        <v>10.5</v>
      </c>
      <c r="J92" s="14">
        <v>3</v>
      </c>
    </row>
    <row r="93" spans="1:10" ht="16.5" x14ac:dyDescent="0.25">
      <c r="A93" s="15">
        <f t="shared" si="1"/>
        <v>92</v>
      </c>
      <c r="B93" s="37">
        <v>43015</v>
      </c>
      <c r="C93" s="12">
        <v>2</v>
      </c>
      <c r="D93" s="12">
        <v>1</v>
      </c>
      <c r="E93" s="12">
        <v>6</v>
      </c>
      <c r="F93" s="12">
        <v>2</v>
      </c>
      <c r="G93" s="13">
        <v>70</v>
      </c>
      <c r="H93" s="13">
        <v>0</v>
      </c>
      <c r="I93" s="13">
        <v>0</v>
      </c>
      <c r="J93" s="14">
        <v>0</v>
      </c>
    </row>
    <row r="94" spans="1:10" ht="16.5" x14ac:dyDescent="0.25">
      <c r="A94" s="15">
        <f t="shared" si="1"/>
        <v>93</v>
      </c>
      <c r="B94" s="37">
        <v>43017</v>
      </c>
      <c r="C94" s="12">
        <v>1</v>
      </c>
      <c r="D94" s="12">
        <v>1</v>
      </c>
      <c r="E94" s="12">
        <v>1</v>
      </c>
      <c r="F94" s="12">
        <v>2</v>
      </c>
      <c r="G94" s="13">
        <v>48.75</v>
      </c>
      <c r="H94" s="13">
        <f>2/3</f>
        <v>0.66666666666666663</v>
      </c>
      <c r="I94" s="13">
        <v>10.5</v>
      </c>
      <c r="J94" s="14">
        <v>29</v>
      </c>
    </row>
    <row r="95" spans="1:10" ht="16.5" x14ac:dyDescent="0.25">
      <c r="A95" s="15">
        <f t="shared" si="1"/>
        <v>94</v>
      </c>
      <c r="B95" s="37">
        <v>43017</v>
      </c>
      <c r="C95" s="12">
        <v>2</v>
      </c>
      <c r="D95" s="12">
        <v>1</v>
      </c>
      <c r="E95" s="12">
        <v>4</v>
      </c>
      <c r="F95" s="12">
        <v>2</v>
      </c>
      <c r="G95" s="13">
        <v>60</v>
      </c>
      <c r="H95" s="13">
        <v>0</v>
      </c>
      <c r="I95" s="13">
        <v>0</v>
      </c>
      <c r="J95" s="14">
        <v>0</v>
      </c>
    </row>
    <row r="96" spans="1:10" ht="16.5" x14ac:dyDescent="0.25">
      <c r="A96" s="15">
        <f t="shared" si="1"/>
        <v>95</v>
      </c>
      <c r="B96" s="37">
        <v>43018</v>
      </c>
      <c r="C96" s="12">
        <v>1</v>
      </c>
      <c r="D96" s="12">
        <v>1</v>
      </c>
      <c r="E96" s="12">
        <v>1</v>
      </c>
      <c r="F96" s="12">
        <v>2</v>
      </c>
      <c r="G96" s="13">
        <f>75-20</f>
        <v>55</v>
      </c>
      <c r="H96" s="13">
        <f>2/3</f>
        <v>0.66666666666666663</v>
      </c>
      <c r="I96" s="13">
        <v>10.5</v>
      </c>
      <c r="J96" s="14">
        <v>0</v>
      </c>
    </row>
    <row r="97" spans="1:10" ht="16.5" x14ac:dyDescent="0.25">
      <c r="A97" s="15">
        <f t="shared" si="1"/>
        <v>96</v>
      </c>
      <c r="B97" s="37">
        <v>43018</v>
      </c>
      <c r="C97" s="12">
        <v>1</v>
      </c>
      <c r="D97" s="12">
        <v>1</v>
      </c>
      <c r="E97" s="12">
        <v>1</v>
      </c>
      <c r="F97" s="12">
        <v>2</v>
      </c>
      <c r="G97" s="13">
        <v>20</v>
      </c>
      <c r="H97" s="13">
        <v>0.69</v>
      </c>
      <c r="I97" s="13">
        <v>10.5</v>
      </c>
      <c r="J97" s="14">
        <v>0</v>
      </c>
    </row>
    <row r="98" spans="1:10" ht="16.5" x14ac:dyDescent="0.25">
      <c r="A98" s="15">
        <f t="shared" si="1"/>
        <v>97</v>
      </c>
      <c r="B98" s="37">
        <v>43019</v>
      </c>
      <c r="C98" s="12">
        <v>1</v>
      </c>
      <c r="D98" s="12">
        <v>1</v>
      </c>
      <c r="E98" s="12">
        <v>1</v>
      </c>
      <c r="F98" s="12">
        <v>2</v>
      </c>
      <c r="G98" s="13">
        <v>43.550000000000004</v>
      </c>
      <c r="H98" s="13">
        <v>0.67</v>
      </c>
      <c r="I98" s="13">
        <v>10.5</v>
      </c>
      <c r="J98" s="14">
        <v>7</v>
      </c>
    </row>
    <row r="99" spans="1:10" ht="16.5" x14ac:dyDescent="0.25">
      <c r="A99" s="15">
        <f t="shared" si="1"/>
        <v>98</v>
      </c>
      <c r="B99" s="37">
        <v>43022</v>
      </c>
      <c r="C99" s="12">
        <v>1</v>
      </c>
      <c r="D99" s="12">
        <v>1</v>
      </c>
      <c r="E99" s="12">
        <v>1</v>
      </c>
      <c r="F99" s="12">
        <v>1</v>
      </c>
      <c r="G99" s="13">
        <v>104</v>
      </c>
      <c r="H99" s="13">
        <v>0.5</v>
      </c>
      <c r="I99" s="13">
        <v>8</v>
      </c>
      <c r="J99" s="14">
        <v>0</v>
      </c>
    </row>
    <row r="100" spans="1:10" ht="16.5" x14ac:dyDescent="0.25">
      <c r="A100" s="15">
        <f t="shared" si="1"/>
        <v>99</v>
      </c>
      <c r="B100" s="37">
        <v>43024</v>
      </c>
      <c r="C100" s="12">
        <v>1</v>
      </c>
      <c r="D100" s="12">
        <v>1</v>
      </c>
      <c r="E100" s="12">
        <v>1</v>
      </c>
      <c r="F100" s="12">
        <v>2</v>
      </c>
      <c r="G100" s="13">
        <v>66</v>
      </c>
      <c r="H100" s="13">
        <f>2/3</f>
        <v>0.66666666666666663</v>
      </c>
      <c r="I100" s="13">
        <v>10.5</v>
      </c>
      <c r="J100" s="14">
        <v>11</v>
      </c>
    </row>
    <row r="101" spans="1:10" ht="16.5" x14ac:dyDescent="0.25">
      <c r="A101" s="15">
        <f t="shared" si="1"/>
        <v>100</v>
      </c>
      <c r="B101" s="37">
        <v>43025</v>
      </c>
      <c r="C101" s="12">
        <v>1</v>
      </c>
      <c r="D101" s="12">
        <v>1</v>
      </c>
      <c r="E101" s="12">
        <v>1</v>
      </c>
      <c r="F101" s="12">
        <v>2</v>
      </c>
      <c r="G101" s="13">
        <v>21.5</v>
      </c>
      <c r="H101" s="13">
        <v>0.67</v>
      </c>
      <c r="I101" s="13">
        <v>10.5</v>
      </c>
      <c r="J101" s="14">
        <v>17</v>
      </c>
    </row>
    <row r="102" spans="1:10" ht="16.5" x14ac:dyDescent="0.25">
      <c r="A102" s="15">
        <f t="shared" si="1"/>
        <v>101</v>
      </c>
      <c r="B102" s="37">
        <v>43025</v>
      </c>
      <c r="C102" s="12">
        <v>2</v>
      </c>
      <c r="D102" s="12">
        <v>1</v>
      </c>
      <c r="E102" s="12">
        <v>7</v>
      </c>
      <c r="F102" s="12">
        <v>2</v>
      </c>
      <c r="G102" s="13">
        <v>7.5</v>
      </c>
      <c r="H102" s="13">
        <v>0</v>
      </c>
      <c r="I102" s="13">
        <v>0</v>
      </c>
      <c r="J102" s="14">
        <v>0</v>
      </c>
    </row>
    <row r="103" spans="1:10" ht="16.5" x14ac:dyDescent="0.25">
      <c r="A103" s="15">
        <f t="shared" si="1"/>
        <v>102</v>
      </c>
      <c r="B103" s="37">
        <v>43026</v>
      </c>
      <c r="C103" s="12">
        <v>1</v>
      </c>
      <c r="D103" s="12">
        <v>1</v>
      </c>
      <c r="E103" s="12">
        <v>1</v>
      </c>
      <c r="F103" s="12">
        <v>2</v>
      </c>
      <c r="G103" s="13">
        <v>50.25</v>
      </c>
      <c r="H103" s="13">
        <v>0.67</v>
      </c>
      <c r="I103" s="13">
        <v>10.5</v>
      </c>
      <c r="J103" s="14">
        <v>15</v>
      </c>
    </row>
    <row r="104" spans="1:10" ht="16.5" x14ac:dyDescent="0.25">
      <c r="A104" s="15">
        <f t="shared" si="1"/>
        <v>103</v>
      </c>
      <c r="B104" s="37">
        <v>43028</v>
      </c>
      <c r="C104" s="12">
        <v>1</v>
      </c>
      <c r="D104" s="12">
        <v>1</v>
      </c>
      <c r="E104" s="12">
        <v>1</v>
      </c>
      <c r="F104" s="12">
        <v>2</v>
      </c>
      <c r="G104" s="13">
        <v>68</v>
      </c>
      <c r="H104" s="13">
        <v>0.67</v>
      </c>
      <c r="I104" s="13">
        <v>10.5</v>
      </c>
      <c r="J104" s="14">
        <v>10</v>
      </c>
    </row>
    <row r="105" spans="1:10" ht="16.5" x14ac:dyDescent="0.25">
      <c r="A105" s="15">
        <f t="shared" si="1"/>
        <v>104</v>
      </c>
      <c r="B105" s="37">
        <v>43029</v>
      </c>
      <c r="C105" s="12">
        <v>1</v>
      </c>
      <c r="D105" s="12">
        <v>1</v>
      </c>
      <c r="E105" s="12">
        <v>1</v>
      </c>
      <c r="F105" s="12">
        <v>2</v>
      </c>
      <c r="G105" s="13">
        <v>23.75</v>
      </c>
      <c r="H105" s="13">
        <v>0.67</v>
      </c>
      <c r="I105" s="13">
        <v>10.5</v>
      </c>
      <c r="J105" s="14">
        <v>10</v>
      </c>
    </row>
    <row r="106" spans="1:10" ht="16.5" x14ac:dyDescent="0.25">
      <c r="A106" s="15">
        <f t="shared" si="1"/>
        <v>105</v>
      </c>
      <c r="B106" s="37">
        <v>43031</v>
      </c>
      <c r="C106" s="12">
        <v>1</v>
      </c>
      <c r="D106" s="12">
        <v>1</v>
      </c>
      <c r="E106" s="12">
        <v>1</v>
      </c>
      <c r="F106" s="12">
        <v>2</v>
      </c>
      <c r="G106" s="13">
        <v>56.5</v>
      </c>
      <c r="H106" s="13">
        <v>0.67</v>
      </c>
      <c r="I106" s="13">
        <v>10.5</v>
      </c>
      <c r="J106" s="14">
        <v>12</v>
      </c>
    </row>
    <row r="107" spans="1:10" ht="16.5" x14ac:dyDescent="0.25">
      <c r="A107" s="15">
        <f t="shared" si="1"/>
        <v>106</v>
      </c>
      <c r="B107" s="37">
        <v>43032</v>
      </c>
      <c r="C107" s="12">
        <v>1</v>
      </c>
      <c r="D107" s="12">
        <v>1</v>
      </c>
      <c r="E107" s="12">
        <v>1</v>
      </c>
      <c r="F107" s="12">
        <v>2</v>
      </c>
      <c r="G107" s="13">
        <v>76.75</v>
      </c>
      <c r="H107" s="13">
        <v>0.67</v>
      </c>
      <c r="I107" s="13">
        <v>10.5</v>
      </c>
      <c r="J107" s="14">
        <v>0</v>
      </c>
    </row>
    <row r="108" spans="1:10" ht="16.5" x14ac:dyDescent="0.25">
      <c r="A108" s="15">
        <f t="shared" si="1"/>
        <v>107</v>
      </c>
      <c r="B108" s="37">
        <v>43033</v>
      </c>
      <c r="C108" s="12">
        <v>1</v>
      </c>
      <c r="D108" s="12">
        <v>1</v>
      </c>
      <c r="E108" s="12">
        <v>1</v>
      </c>
      <c r="F108" s="12">
        <v>2</v>
      </c>
      <c r="G108" s="13">
        <v>22.1</v>
      </c>
      <c r="H108" s="13">
        <v>0.67</v>
      </c>
      <c r="I108" s="13">
        <v>9.5</v>
      </c>
      <c r="J108" s="14">
        <v>12</v>
      </c>
    </row>
    <row r="109" spans="1:10" ht="16.5" x14ac:dyDescent="0.25">
      <c r="A109" s="15">
        <f t="shared" si="1"/>
        <v>108</v>
      </c>
      <c r="B109" s="37">
        <v>43034</v>
      </c>
      <c r="C109" s="12">
        <v>1</v>
      </c>
      <c r="D109" s="12">
        <v>1</v>
      </c>
      <c r="E109" s="12">
        <v>1</v>
      </c>
      <c r="F109" s="12">
        <v>2</v>
      </c>
      <c r="G109" s="13">
        <v>22.78</v>
      </c>
      <c r="H109" s="13">
        <v>0.67</v>
      </c>
      <c r="I109" s="13">
        <v>9.5</v>
      </c>
      <c r="J109" s="14">
        <v>11</v>
      </c>
    </row>
    <row r="110" spans="1:10" ht="16.5" x14ac:dyDescent="0.25">
      <c r="A110" s="15">
        <f t="shared" si="1"/>
        <v>109</v>
      </c>
      <c r="B110" s="37">
        <v>43035</v>
      </c>
      <c r="C110" s="12">
        <v>1</v>
      </c>
      <c r="D110" s="12">
        <v>1</v>
      </c>
      <c r="E110" s="12">
        <v>1</v>
      </c>
      <c r="F110" s="12">
        <v>2</v>
      </c>
      <c r="G110" s="13">
        <v>38.200000000000003</v>
      </c>
      <c r="H110" s="13">
        <v>0.67</v>
      </c>
      <c r="I110" s="13">
        <v>9.5</v>
      </c>
      <c r="J110" s="14">
        <v>3</v>
      </c>
    </row>
    <row r="111" spans="1:10" ht="16.5" x14ac:dyDescent="0.25">
      <c r="A111" s="15">
        <f t="shared" si="1"/>
        <v>110</v>
      </c>
      <c r="B111" s="37">
        <v>43036</v>
      </c>
      <c r="C111" s="12">
        <v>1</v>
      </c>
      <c r="D111" s="12">
        <v>1</v>
      </c>
      <c r="E111" s="12">
        <v>1</v>
      </c>
      <c r="F111" s="12">
        <v>2</v>
      </c>
      <c r="G111" s="13">
        <v>14.74</v>
      </c>
      <c r="H111" s="13">
        <v>0.67</v>
      </c>
      <c r="I111" s="13">
        <v>9.5</v>
      </c>
      <c r="J111" s="14">
        <v>21</v>
      </c>
    </row>
    <row r="112" spans="1:10" ht="16.5" x14ac:dyDescent="0.25">
      <c r="A112" s="15">
        <f t="shared" si="1"/>
        <v>111</v>
      </c>
      <c r="B112" s="37">
        <v>43038</v>
      </c>
      <c r="C112" s="12">
        <v>1</v>
      </c>
      <c r="D112" s="12">
        <v>1</v>
      </c>
      <c r="E112" s="12">
        <v>1</v>
      </c>
      <c r="F112" s="12">
        <v>2</v>
      </c>
      <c r="G112" s="13">
        <v>42</v>
      </c>
      <c r="H112" s="13">
        <v>0.67</v>
      </c>
      <c r="I112" s="13">
        <v>9.5</v>
      </c>
      <c r="J112" s="14">
        <v>0</v>
      </c>
    </row>
    <row r="113" spans="1:10" ht="16.5" x14ac:dyDescent="0.25">
      <c r="A113" s="15">
        <f t="shared" si="1"/>
        <v>112</v>
      </c>
      <c r="B113" s="37">
        <v>43039</v>
      </c>
      <c r="C113" s="12">
        <v>1</v>
      </c>
      <c r="D113" s="12">
        <v>1</v>
      </c>
      <c r="E113" s="12">
        <v>1</v>
      </c>
      <c r="F113" s="12">
        <v>2</v>
      </c>
      <c r="G113" s="13">
        <v>46.9</v>
      </c>
      <c r="H113" s="13">
        <v>0.67</v>
      </c>
      <c r="I113" s="13">
        <v>9.5</v>
      </c>
      <c r="J113" s="14">
        <v>4</v>
      </c>
    </row>
    <row r="114" spans="1:10" ht="16.5" x14ac:dyDescent="0.25">
      <c r="A114" s="15">
        <f t="shared" si="1"/>
        <v>113</v>
      </c>
      <c r="B114" s="37">
        <v>43040</v>
      </c>
      <c r="C114" s="12">
        <v>1</v>
      </c>
      <c r="D114" s="12">
        <v>1</v>
      </c>
      <c r="E114" s="12">
        <v>1</v>
      </c>
      <c r="F114" s="12">
        <v>2</v>
      </c>
      <c r="G114" s="13">
        <v>67.900000000000006</v>
      </c>
      <c r="H114" s="13">
        <v>0.67</v>
      </c>
      <c r="I114" s="13">
        <v>9.5</v>
      </c>
      <c r="J114" s="14">
        <v>4</v>
      </c>
    </row>
    <row r="115" spans="1:10" ht="16.5" x14ac:dyDescent="0.25">
      <c r="A115" s="15">
        <f t="shared" si="1"/>
        <v>114</v>
      </c>
      <c r="B115" s="37">
        <v>43045</v>
      </c>
      <c r="C115" s="12">
        <v>1</v>
      </c>
      <c r="D115" s="12">
        <v>1</v>
      </c>
      <c r="E115" s="12">
        <v>1</v>
      </c>
      <c r="F115" s="12">
        <v>2</v>
      </c>
      <c r="G115" s="13">
        <v>51.59</v>
      </c>
      <c r="H115" s="13">
        <v>0.67</v>
      </c>
      <c r="I115" s="13">
        <v>9.5</v>
      </c>
      <c r="J115" s="14">
        <v>3</v>
      </c>
    </row>
    <row r="116" spans="1:10" ht="16.5" x14ac:dyDescent="0.25">
      <c r="A116" s="15">
        <f t="shared" si="1"/>
        <v>115</v>
      </c>
      <c r="B116" s="37">
        <v>43046</v>
      </c>
      <c r="C116" s="12">
        <v>1</v>
      </c>
      <c r="D116" s="12">
        <v>1</v>
      </c>
      <c r="E116" s="12">
        <v>1</v>
      </c>
      <c r="F116" s="12">
        <v>2</v>
      </c>
      <c r="G116" s="13">
        <v>36</v>
      </c>
      <c r="H116" s="13">
        <v>0.67</v>
      </c>
      <c r="I116" s="13">
        <v>9.5</v>
      </c>
      <c r="J116" s="14">
        <v>38</v>
      </c>
    </row>
    <row r="117" spans="1:10" ht="16.5" x14ac:dyDescent="0.25">
      <c r="A117" s="15">
        <f t="shared" si="1"/>
        <v>116</v>
      </c>
      <c r="B117" s="37">
        <v>43046</v>
      </c>
      <c r="C117" s="12">
        <v>2</v>
      </c>
      <c r="D117" s="12">
        <v>1</v>
      </c>
      <c r="E117" s="12">
        <v>6</v>
      </c>
      <c r="F117" s="12">
        <v>2</v>
      </c>
      <c r="G117" s="13">
        <v>70</v>
      </c>
      <c r="H117" s="13">
        <v>0</v>
      </c>
      <c r="I117" s="13">
        <v>0</v>
      </c>
      <c r="J117" s="14">
        <v>0</v>
      </c>
    </row>
    <row r="118" spans="1:10" ht="16.5" x14ac:dyDescent="0.25">
      <c r="A118" s="15">
        <f t="shared" si="1"/>
        <v>117</v>
      </c>
      <c r="B118" s="37">
        <v>43047</v>
      </c>
      <c r="C118" s="12">
        <v>1</v>
      </c>
      <c r="D118" s="12">
        <v>1</v>
      </c>
      <c r="E118" s="12">
        <v>1</v>
      </c>
      <c r="F118" s="12">
        <v>2</v>
      </c>
      <c r="G118" s="13">
        <v>46.6</v>
      </c>
      <c r="H118" s="13">
        <v>0.67</v>
      </c>
      <c r="I118" s="13">
        <v>9.5</v>
      </c>
      <c r="J118" s="14">
        <v>6</v>
      </c>
    </row>
    <row r="119" spans="1:10" ht="16.5" x14ac:dyDescent="0.25">
      <c r="A119" s="15">
        <f t="shared" si="1"/>
        <v>118</v>
      </c>
      <c r="B119" s="37">
        <v>43048</v>
      </c>
      <c r="C119" s="12">
        <v>1</v>
      </c>
      <c r="D119" s="12">
        <v>1</v>
      </c>
      <c r="E119" s="12">
        <v>1</v>
      </c>
      <c r="F119" s="12">
        <v>2</v>
      </c>
      <c r="G119" s="13">
        <v>43.25</v>
      </c>
      <c r="H119" s="13">
        <v>0.67</v>
      </c>
      <c r="I119" s="13">
        <v>9.5</v>
      </c>
      <c r="J119" s="14">
        <v>15</v>
      </c>
    </row>
    <row r="120" spans="1:10" ht="16.5" x14ac:dyDescent="0.25">
      <c r="A120" s="15">
        <f t="shared" si="1"/>
        <v>119</v>
      </c>
      <c r="B120" s="37">
        <v>43052</v>
      </c>
      <c r="C120" s="12">
        <v>1</v>
      </c>
      <c r="D120" s="12">
        <v>1</v>
      </c>
      <c r="E120" s="12">
        <v>1</v>
      </c>
      <c r="F120" s="12">
        <v>2</v>
      </c>
      <c r="G120" s="13">
        <v>52</v>
      </c>
      <c r="H120" s="13">
        <f>2/3</f>
        <v>0.66666666666666663</v>
      </c>
      <c r="I120" s="13">
        <v>0</v>
      </c>
      <c r="J120" s="14">
        <v>0</v>
      </c>
    </row>
    <row r="121" spans="1:10" ht="16.5" x14ac:dyDescent="0.25">
      <c r="A121" s="15">
        <f t="shared" si="1"/>
        <v>120</v>
      </c>
      <c r="B121" s="37">
        <v>43053</v>
      </c>
      <c r="C121" s="12">
        <v>1</v>
      </c>
      <c r="D121" s="12">
        <v>1</v>
      </c>
      <c r="E121" s="12">
        <v>1</v>
      </c>
      <c r="F121" s="12">
        <v>2</v>
      </c>
      <c r="G121" s="13">
        <v>24</v>
      </c>
      <c r="H121" s="13">
        <f>2/3</f>
        <v>0.66666666666666663</v>
      </c>
      <c r="I121" s="13">
        <v>9.5</v>
      </c>
      <c r="J121" s="14">
        <v>0</v>
      </c>
    </row>
    <row r="122" spans="1:10" ht="16.5" x14ac:dyDescent="0.25">
      <c r="A122" s="15">
        <f t="shared" si="1"/>
        <v>121</v>
      </c>
      <c r="B122" s="37">
        <v>43055</v>
      </c>
      <c r="C122" s="12">
        <v>1</v>
      </c>
      <c r="D122" s="12">
        <v>1</v>
      </c>
      <c r="E122" s="12">
        <v>1</v>
      </c>
      <c r="F122" s="12">
        <v>2</v>
      </c>
      <c r="G122" s="13">
        <v>32</v>
      </c>
      <c r="H122" s="13">
        <f>2/3</f>
        <v>0.66666666666666663</v>
      </c>
      <c r="I122" s="13">
        <v>9.5</v>
      </c>
      <c r="J122" s="14">
        <v>0</v>
      </c>
    </row>
    <row r="123" spans="1:10" ht="16.5" x14ac:dyDescent="0.25">
      <c r="A123" s="15">
        <f t="shared" si="1"/>
        <v>122</v>
      </c>
      <c r="B123" s="37">
        <v>43056</v>
      </c>
      <c r="C123" s="12">
        <v>1</v>
      </c>
      <c r="D123" s="12">
        <v>1</v>
      </c>
      <c r="E123" s="12">
        <v>1</v>
      </c>
      <c r="F123" s="12">
        <v>2</v>
      </c>
      <c r="G123" s="13">
        <v>20</v>
      </c>
      <c r="H123" s="13">
        <f>2/3</f>
        <v>0.66666666666666663</v>
      </c>
      <c r="I123" s="13">
        <v>9.5</v>
      </c>
      <c r="J123" s="14">
        <v>3</v>
      </c>
    </row>
    <row r="124" spans="1:10" ht="16.5" x14ac:dyDescent="0.25">
      <c r="A124" s="15">
        <f t="shared" si="1"/>
        <v>123</v>
      </c>
      <c r="B124" s="37">
        <v>43060</v>
      </c>
      <c r="C124" s="12">
        <v>2</v>
      </c>
      <c r="D124" s="12">
        <v>1</v>
      </c>
      <c r="E124" s="12">
        <v>7</v>
      </c>
      <c r="F124" s="12">
        <v>2</v>
      </c>
      <c r="G124" s="13">
        <v>5</v>
      </c>
      <c r="H124" s="13">
        <v>0</v>
      </c>
      <c r="I124" s="13">
        <v>0</v>
      </c>
      <c r="J124" s="14">
        <v>0</v>
      </c>
    </row>
    <row r="125" spans="1:10" ht="16.5" x14ac:dyDescent="0.25">
      <c r="A125" s="15">
        <f t="shared" si="1"/>
        <v>124</v>
      </c>
      <c r="B125" s="37">
        <v>43060</v>
      </c>
      <c r="C125" s="12">
        <v>1</v>
      </c>
      <c r="D125" s="12">
        <v>1</v>
      </c>
      <c r="E125" s="12">
        <v>1</v>
      </c>
      <c r="F125" s="12">
        <v>2</v>
      </c>
      <c r="G125" s="13">
        <v>42.8</v>
      </c>
      <c r="H125" s="13">
        <f>2/3</f>
        <v>0.66666666666666663</v>
      </c>
      <c r="I125" s="13">
        <v>9.5</v>
      </c>
      <c r="J125" s="14">
        <v>19</v>
      </c>
    </row>
    <row r="126" spans="1:10" ht="16.5" x14ac:dyDescent="0.25">
      <c r="A126" s="15">
        <f t="shared" si="1"/>
        <v>125</v>
      </c>
      <c r="B126" s="37">
        <v>43061</v>
      </c>
      <c r="C126" s="12">
        <v>1</v>
      </c>
      <c r="D126" s="12">
        <v>1</v>
      </c>
      <c r="E126" s="12">
        <v>1</v>
      </c>
      <c r="F126" s="12">
        <v>2</v>
      </c>
      <c r="G126" s="13">
        <v>50.25</v>
      </c>
      <c r="H126" s="13">
        <f>2/3</f>
        <v>0.66666666666666663</v>
      </c>
      <c r="I126" s="13">
        <v>9.5</v>
      </c>
      <c r="J126" s="14">
        <v>0</v>
      </c>
    </row>
    <row r="127" spans="1:10" ht="16.5" x14ac:dyDescent="0.25">
      <c r="A127" s="15">
        <f t="shared" si="1"/>
        <v>126</v>
      </c>
      <c r="B127" s="37">
        <v>43062</v>
      </c>
      <c r="C127" s="12">
        <v>1</v>
      </c>
      <c r="D127" s="12">
        <v>1</v>
      </c>
      <c r="E127" s="12">
        <v>1</v>
      </c>
      <c r="F127" s="12">
        <v>2</v>
      </c>
      <c r="G127" s="13">
        <v>67</v>
      </c>
      <c r="H127" s="13">
        <v>0.67</v>
      </c>
      <c r="I127" s="13">
        <v>9.5</v>
      </c>
      <c r="J127" s="14">
        <v>11</v>
      </c>
    </row>
    <row r="128" spans="1:10" ht="16.5" x14ac:dyDescent="0.25">
      <c r="A128" s="15">
        <f t="shared" si="1"/>
        <v>127</v>
      </c>
      <c r="B128" s="37">
        <v>43063</v>
      </c>
      <c r="C128" s="12">
        <v>1</v>
      </c>
      <c r="D128" s="12">
        <v>1</v>
      </c>
      <c r="E128" s="12">
        <v>1</v>
      </c>
      <c r="F128" s="12">
        <v>2</v>
      </c>
      <c r="G128" s="13">
        <v>20</v>
      </c>
      <c r="H128" s="13">
        <v>0.67</v>
      </c>
      <c r="I128" s="13">
        <v>9.5</v>
      </c>
      <c r="J128" s="14">
        <v>17</v>
      </c>
    </row>
    <row r="129" spans="1:10" ht="16.5" x14ac:dyDescent="0.25">
      <c r="A129" s="15">
        <f t="shared" si="1"/>
        <v>128</v>
      </c>
      <c r="B129" s="37">
        <v>43066</v>
      </c>
      <c r="C129" s="12">
        <v>1</v>
      </c>
      <c r="D129" s="12">
        <v>1</v>
      </c>
      <c r="E129" s="12">
        <v>1</v>
      </c>
      <c r="F129" s="12">
        <v>2</v>
      </c>
      <c r="G129" s="13">
        <v>25.4</v>
      </c>
      <c r="H129" s="13">
        <v>0.67</v>
      </c>
      <c r="I129" s="13">
        <v>9.5</v>
      </c>
      <c r="J129" s="14">
        <v>2</v>
      </c>
    </row>
    <row r="130" spans="1:10" ht="16.5" x14ac:dyDescent="0.25">
      <c r="A130" s="15">
        <f t="shared" ref="A130:A193" si="2">ROW() - 1</f>
        <v>129</v>
      </c>
      <c r="B130" s="37">
        <v>43066</v>
      </c>
      <c r="C130" s="12">
        <v>1</v>
      </c>
      <c r="D130" s="12">
        <v>1</v>
      </c>
      <c r="E130" s="12">
        <v>1</v>
      </c>
      <c r="F130" s="12">
        <v>2</v>
      </c>
      <c r="G130" s="13">
        <v>18</v>
      </c>
      <c r="H130" s="13">
        <v>0.6</v>
      </c>
      <c r="I130" s="13">
        <v>9.5</v>
      </c>
      <c r="J130" s="14">
        <v>0</v>
      </c>
    </row>
    <row r="131" spans="1:10" ht="16.5" x14ac:dyDescent="0.25">
      <c r="A131" s="15">
        <f t="shared" si="2"/>
        <v>130</v>
      </c>
      <c r="B131" s="37">
        <v>43067</v>
      </c>
      <c r="C131" s="12">
        <v>1</v>
      </c>
      <c r="D131" s="12">
        <v>1</v>
      </c>
      <c r="E131" s="12">
        <v>1</v>
      </c>
      <c r="F131" s="12">
        <v>2</v>
      </c>
      <c r="G131" s="13">
        <v>40</v>
      </c>
      <c r="H131" s="13">
        <v>0.67</v>
      </c>
      <c r="I131" s="13">
        <v>9.5</v>
      </c>
      <c r="J131" s="14">
        <v>11</v>
      </c>
    </row>
    <row r="132" spans="1:10" ht="16.5" x14ac:dyDescent="0.25">
      <c r="A132" s="15">
        <f t="shared" si="2"/>
        <v>131</v>
      </c>
      <c r="B132" s="37">
        <v>43067</v>
      </c>
      <c r="C132" s="12">
        <v>1</v>
      </c>
      <c r="D132" s="12">
        <v>1</v>
      </c>
      <c r="E132" s="12">
        <v>1</v>
      </c>
      <c r="F132" s="12">
        <v>2</v>
      </c>
      <c r="G132" s="13">
        <v>19</v>
      </c>
      <c r="H132" s="13">
        <v>0.65</v>
      </c>
      <c r="I132" s="13">
        <v>9.5</v>
      </c>
      <c r="J132" s="14">
        <v>0</v>
      </c>
    </row>
    <row r="133" spans="1:10" ht="16.5" x14ac:dyDescent="0.25">
      <c r="A133" s="15">
        <f t="shared" si="2"/>
        <v>132</v>
      </c>
      <c r="B133" s="37">
        <v>43068</v>
      </c>
      <c r="C133" s="12">
        <v>1</v>
      </c>
      <c r="D133" s="12">
        <v>1</v>
      </c>
      <c r="E133" s="12">
        <v>1</v>
      </c>
      <c r="F133" s="12">
        <v>2</v>
      </c>
      <c r="G133" s="13">
        <v>52.2</v>
      </c>
      <c r="H133" s="13">
        <v>0.67</v>
      </c>
      <c r="I133" s="13">
        <v>9.5</v>
      </c>
      <c r="J133" s="14">
        <v>13</v>
      </c>
    </row>
    <row r="134" spans="1:10" ht="16.5" x14ac:dyDescent="0.25">
      <c r="A134" s="15">
        <f t="shared" si="2"/>
        <v>133</v>
      </c>
      <c r="B134" s="37">
        <v>43069</v>
      </c>
      <c r="C134" s="12">
        <v>1</v>
      </c>
      <c r="D134" s="12">
        <v>1</v>
      </c>
      <c r="E134" s="12">
        <v>1</v>
      </c>
      <c r="F134" s="12">
        <v>2</v>
      </c>
      <c r="G134" s="13">
        <v>107.8</v>
      </c>
      <c r="H134" s="13">
        <v>0.67</v>
      </c>
      <c r="I134" s="13">
        <v>9.5</v>
      </c>
      <c r="J134" s="14">
        <v>14</v>
      </c>
    </row>
    <row r="135" spans="1:10" ht="16.5" x14ac:dyDescent="0.25">
      <c r="A135" s="15">
        <f t="shared" si="2"/>
        <v>134</v>
      </c>
      <c r="B135" s="37">
        <v>43074</v>
      </c>
      <c r="C135" s="12">
        <v>1</v>
      </c>
      <c r="D135" s="12">
        <v>1</v>
      </c>
      <c r="E135" s="12">
        <v>2</v>
      </c>
      <c r="F135" s="12">
        <v>1</v>
      </c>
      <c r="G135" s="13">
        <v>220</v>
      </c>
      <c r="H135" s="13">
        <v>1</v>
      </c>
      <c r="I135" s="13">
        <v>10</v>
      </c>
      <c r="J135" s="14">
        <v>0</v>
      </c>
    </row>
    <row r="136" spans="1:10" ht="16.5" x14ac:dyDescent="0.25">
      <c r="A136" s="15">
        <f t="shared" si="2"/>
        <v>135</v>
      </c>
      <c r="B136" s="37">
        <v>43075</v>
      </c>
      <c r="C136" s="12">
        <v>1</v>
      </c>
      <c r="D136" s="12">
        <v>1</v>
      </c>
      <c r="E136" s="12">
        <v>2</v>
      </c>
      <c r="F136" s="12">
        <v>1</v>
      </c>
      <c r="G136" s="13">
        <v>200</v>
      </c>
      <c r="H136" s="13">
        <v>1</v>
      </c>
      <c r="I136" s="13">
        <v>10</v>
      </c>
      <c r="J136" s="14">
        <v>0</v>
      </c>
    </row>
    <row r="137" spans="1:10" ht="16.5" x14ac:dyDescent="0.25">
      <c r="A137" s="15">
        <f t="shared" si="2"/>
        <v>136</v>
      </c>
      <c r="B137" s="37">
        <v>43076</v>
      </c>
      <c r="C137" s="12">
        <v>1</v>
      </c>
      <c r="D137" s="12">
        <v>1</v>
      </c>
      <c r="E137" s="12">
        <v>2</v>
      </c>
      <c r="F137" s="12">
        <v>1</v>
      </c>
      <c r="G137" s="13">
        <v>252</v>
      </c>
      <c r="H137" s="13">
        <v>1</v>
      </c>
      <c r="I137" s="13">
        <v>10</v>
      </c>
      <c r="J137" s="14">
        <v>0</v>
      </c>
    </row>
    <row r="138" spans="1:10" ht="16.5" x14ac:dyDescent="0.25">
      <c r="A138" s="15">
        <f t="shared" si="2"/>
        <v>137</v>
      </c>
      <c r="B138" s="37">
        <v>43077</v>
      </c>
      <c r="C138" s="12">
        <v>1</v>
      </c>
      <c r="D138" s="12">
        <v>1</v>
      </c>
      <c r="E138" s="12">
        <v>2</v>
      </c>
      <c r="F138" s="12">
        <v>1</v>
      </c>
      <c r="G138" s="13">
        <v>300</v>
      </c>
      <c r="H138" s="13">
        <v>1</v>
      </c>
      <c r="I138" s="13">
        <v>10</v>
      </c>
      <c r="J138" s="14">
        <v>0</v>
      </c>
    </row>
    <row r="139" spans="1:10" ht="16.5" x14ac:dyDescent="0.25">
      <c r="A139" s="15">
        <f t="shared" si="2"/>
        <v>138</v>
      </c>
      <c r="B139" s="37">
        <v>43080</v>
      </c>
      <c r="C139" s="12">
        <v>1</v>
      </c>
      <c r="D139" s="12">
        <v>1</v>
      </c>
      <c r="E139" s="12">
        <v>2</v>
      </c>
      <c r="F139" s="12">
        <v>1</v>
      </c>
      <c r="G139" s="13">
        <v>205</v>
      </c>
      <c r="H139" s="13">
        <v>1</v>
      </c>
      <c r="I139" s="13">
        <v>10</v>
      </c>
      <c r="J139" s="14">
        <v>15</v>
      </c>
    </row>
    <row r="140" spans="1:10" ht="16.5" x14ac:dyDescent="0.25">
      <c r="A140" s="15">
        <f t="shared" si="2"/>
        <v>139</v>
      </c>
      <c r="B140" s="37">
        <v>43081</v>
      </c>
      <c r="C140" s="12">
        <v>1</v>
      </c>
      <c r="D140" s="12">
        <v>1</v>
      </c>
      <c r="E140" s="12">
        <v>2</v>
      </c>
      <c r="F140" s="12">
        <v>1</v>
      </c>
      <c r="G140" s="13">
        <v>345</v>
      </c>
      <c r="H140" s="13">
        <v>1</v>
      </c>
      <c r="I140" s="13">
        <v>10</v>
      </c>
      <c r="J140" s="14">
        <v>3</v>
      </c>
    </row>
    <row r="141" spans="1:10" ht="16.5" x14ac:dyDescent="0.25">
      <c r="A141" s="15">
        <f t="shared" si="2"/>
        <v>140</v>
      </c>
      <c r="B141" s="37">
        <v>43082</v>
      </c>
      <c r="C141" s="12">
        <v>1</v>
      </c>
      <c r="D141" s="12">
        <v>1</v>
      </c>
      <c r="E141" s="12">
        <v>2</v>
      </c>
      <c r="F141" s="12">
        <v>1</v>
      </c>
      <c r="G141" s="13">
        <v>215</v>
      </c>
      <c r="H141" s="13">
        <v>1</v>
      </c>
      <c r="I141" s="13">
        <v>10</v>
      </c>
      <c r="J141" s="14">
        <v>6</v>
      </c>
    </row>
    <row r="142" spans="1:10" ht="16.5" x14ac:dyDescent="0.25">
      <c r="A142" s="15">
        <f t="shared" si="2"/>
        <v>141</v>
      </c>
      <c r="B142" s="37">
        <v>43083</v>
      </c>
      <c r="C142" s="12">
        <v>1</v>
      </c>
      <c r="D142" s="12">
        <v>1</v>
      </c>
      <c r="E142" s="12">
        <v>2</v>
      </c>
      <c r="F142" s="12">
        <v>1</v>
      </c>
      <c r="G142" s="13">
        <v>110</v>
      </c>
      <c r="H142" s="13">
        <v>1</v>
      </c>
      <c r="I142" s="13">
        <v>10</v>
      </c>
      <c r="J142" s="14">
        <v>9</v>
      </c>
    </row>
    <row r="143" spans="1:10" ht="16.5" x14ac:dyDescent="0.25">
      <c r="A143" s="15">
        <f t="shared" si="2"/>
        <v>142</v>
      </c>
      <c r="B143" s="37">
        <v>43084</v>
      </c>
      <c r="C143" s="12">
        <v>1</v>
      </c>
      <c r="D143" s="12">
        <v>1</v>
      </c>
      <c r="E143" s="12">
        <v>2</v>
      </c>
      <c r="F143" s="12">
        <v>1</v>
      </c>
      <c r="G143" s="13">
        <v>135</v>
      </c>
      <c r="H143" s="13">
        <v>1</v>
      </c>
      <c r="I143" s="13">
        <v>10</v>
      </c>
      <c r="J143" s="14">
        <v>0</v>
      </c>
    </row>
    <row r="144" spans="1:10" ht="16.5" x14ac:dyDescent="0.25">
      <c r="A144" s="15">
        <f t="shared" si="2"/>
        <v>143</v>
      </c>
      <c r="B144" s="37">
        <v>43084</v>
      </c>
      <c r="C144" s="12">
        <v>2</v>
      </c>
      <c r="D144" s="12">
        <v>1</v>
      </c>
      <c r="E144" s="12">
        <v>7</v>
      </c>
      <c r="F144" s="12">
        <v>1</v>
      </c>
      <c r="G144" s="13">
        <v>136</v>
      </c>
      <c r="H144" s="13">
        <v>0</v>
      </c>
      <c r="I144" s="13">
        <v>0</v>
      </c>
      <c r="J144" s="14">
        <v>0</v>
      </c>
    </row>
    <row r="145" spans="1:10" ht="16.5" x14ac:dyDescent="0.25">
      <c r="A145" s="15">
        <f t="shared" si="2"/>
        <v>144</v>
      </c>
      <c r="B145" s="37">
        <v>43087</v>
      </c>
      <c r="C145" s="12">
        <v>1</v>
      </c>
      <c r="D145" s="12">
        <v>1</v>
      </c>
      <c r="E145" s="12">
        <v>2</v>
      </c>
      <c r="F145" s="12">
        <v>1</v>
      </c>
      <c r="G145" s="13">
        <v>180</v>
      </c>
      <c r="H145" s="13">
        <v>1</v>
      </c>
      <c r="I145" s="13">
        <v>10</v>
      </c>
      <c r="J145" s="14">
        <v>2</v>
      </c>
    </row>
    <row r="146" spans="1:10" ht="16.5" x14ac:dyDescent="0.25">
      <c r="A146" s="15">
        <f t="shared" si="2"/>
        <v>145</v>
      </c>
      <c r="B146" s="37">
        <v>43088</v>
      </c>
      <c r="C146" s="12">
        <v>1</v>
      </c>
      <c r="D146" s="12">
        <v>1</v>
      </c>
      <c r="E146" s="12">
        <v>2</v>
      </c>
      <c r="F146" s="12">
        <v>1</v>
      </c>
      <c r="G146" s="13">
        <v>110</v>
      </c>
      <c r="H146" s="13">
        <v>1</v>
      </c>
      <c r="I146" s="13">
        <v>10</v>
      </c>
      <c r="J146" s="14">
        <v>25</v>
      </c>
    </row>
    <row r="147" spans="1:10" ht="16.5" x14ac:dyDescent="0.25">
      <c r="A147" s="15">
        <f t="shared" si="2"/>
        <v>146</v>
      </c>
      <c r="B147" s="37">
        <v>43089</v>
      </c>
      <c r="C147" s="12">
        <v>1</v>
      </c>
      <c r="D147" s="12">
        <v>1</v>
      </c>
      <c r="E147" s="12">
        <v>2</v>
      </c>
      <c r="F147" s="12">
        <v>1</v>
      </c>
      <c r="G147" s="13">
        <v>74</v>
      </c>
      <c r="H147" s="13">
        <v>1</v>
      </c>
      <c r="I147" s="13">
        <v>10</v>
      </c>
      <c r="J147" s="14">
        <v>6</v>
      </c>
    </row>
    <row r="148" spans="1:10" ht="16.5" x14ac:dyDescent="0.25">
      <c r="A148" s="15">
        <f t="shared" si="2"/>
        <v>147</v>
      </c>
      <c r="B148" s="37">
        <v>43091</v>
      </c>
      <c r="C148" s="12">
        <v>1</v>
      </c>
      <c r="D148" s="12">
        <v>1</v>
      </c>
      <c r="E148" s="12">
        <v>2</v>
      </c>
      <c r="F148" s="12">
        <v>1</v>
      </c>
      <c r="G148" s="13">
        <v>231</v>
      </c>
      <c r="H148" s="13">
        <v>1</v>
      </c>
      <c r="I148" s="13">
        <v>10</v>
      </c>
      <c r="J148" s="14">
        <v>0</v>
      </c>
    </row>
    <row r="149" spans="1:10" ht="16.5" x14ac:dyDescent="0.25">
      <c r="A149" s="15">
        <f t="shared" si="2"/>
        <v>148</v>
      </c>
      <c r="B149" s="37">
        <v>43095</v>
      </c>
      <c r="C149" s="12">
        <v>1</v>
      </c>
      <c r="D149" s="12">
        <v>1</v>
      </c>
      <c r="E149" s="12">
        <v>2</v>
      </c>
      <c r="F149" s="12">
        <v>1</v>
      </c>
      <c r="G149" s="13">
        <v>135</v>
      </c>
      <c r="H149" s="13">
        <v>1</v>
      </c>
      <c r="I149" s="13">
        <v>10</v>
      </c>
      <c r="J149" s="14">
        <v>0</v>
      </c>
    </row>
    <row r="150" spans="1:10" ht="16.5" x14ac:dyDescent="0.25">
      <c r="A150" s="15">
        <f t="shared" si="2"/>
        <v>149</v>
      </c>
      <c r="B150" s="37">
        <v>43096</v>
      </c>
      <c r="C150" s="12">
        <v>1</v>
      </c>
      <c r="D150" s="12">
        <v>1</v>
      </c>
      <c r="E150" s="12">
        <v>2</v>
      </c>
      <c r="F150" s="12">
        <v>1</v>
      </c>
      <c r="G150" s="13">
        <v>120</v>
      </c>
      <c r="H150" s="13">
        <v>1</v>
      </c>
      <c r="I150" s="13">
        <v>10</v>
      </c>
      <c r="J150" s="14">
        <v>0</v>
      </c>
    </row>
    <row r="151" spans="1:10" ht="16.5" x14ac:dyDescent="0.25">
      <c r="A151" s="15">
        <f t="shared" si="2"/>
        <v>150</v>
      </c>
      <c r="B151" s="37">
        <v>43102</v>
      </c>
      <c r="C151" s="12">
        <v>1</v>
      </c>
      <c r="D151" s="12">
        <v>1</v>
      </c>
      <c r="E151" s="12">
        <v>2</v>
      </c>
      <c r="F151" s="12">
        <v>1</v>
      </c>
      <c r="G151" s="13">
        <v>172</v>
      </c>
      <c r="H151" s="13">
        <v>1</v>
      </c>
      <c r="I151" s="13">
        <v>10</v>
      </c>
      <c r="J151" s="14">
        <v>3</v>
      </c>
    </row>
    <row r="152" spans="1:10" ht="16.5" x14ac:dyDescent="0.25">
      <c r="A152" s="15">
        <f t="shared" si="2"/>
        <v>151</v>
      </c>
      <c r="B152" s="37">
        <v>43103</v>
      </c>
      <c r="C152" s="12">
        <v>1</v>
      </c>
      <c r="D152" s="12">
        <v>1</v>
      </c>
      <c r="E152" s="12">
        <v>2</v>
      </c>
      <c r="F152" s="12">
        <v>1</v>
      </c>
      <c r="G152" s="13">
        <v>136</v>
      </c>
      <c r="H152" s="13">
        <v>1</v>
      </c>
      <c r="I152" s="13">
        <v>10</v>
      </c>
      <c r="J152" s="14">
        <v>0</v>
      </c>
    </row>
    <row r="153" spans="1:10" ht="16.5" x14ac:dyDescent="0.25">
      <c r="A153" s="15">
        <f t="shared" si="2"/>
        <v>152</v>
      </c>
      <c r="B153" s="37">
        <v>43104</v>
      </c>
      <c r="C153" s="12">
        <v>1</v>
      </c>
      <c r="D153" s="12">
        <v>1</v>
      </c>
      <c r="E153" s="12">
        <v>2</v>
      </c>
      <c r="F153" s="12">
        <v>1</v>
      </c>
      <c r="G153" s="13">
        <v>106</v>
      </c>
      <c r="H153" s="13">
        <v>1</v>
      </c>
      <c r="I153" s="13">
        <v>10</v>
      </c>
      <c r="J153" s="14">
        <v>0</v>
      </c>
    </row>
    <row r="154" spans="1:10" ht="16.5" x14ac:dyDescent="0.25">
      <c r="A154" s="15">
        <f t="shared" si="2"/>
        <v>153</v>
      </c>
      <c r="B154" s="37">
        <v>43105</v>
      </c>
      <c r="C154" s="12">
        <v>1</v>
      </c>
      <c r="D154" s="12">
        <v>1</v>
      </c>
      <c r="E154" s="12">
        <v>2</v>
      </c>
      <c r="F154" s="12">
        <v>1</v>
      </c>
      <c r="G154" s="13">
        <v>130</v>
      </c>
      <c r="H154" s="13">
        <v>1</v>
      </c>
      <c r="I154" s="13">
        <v>10</v>
      </c>
      <c r="J154" s="14">
        <v>2</v>
      </c>
    </row>
    <row r="155" spans="1:10" ht="16.5" x14ac:dyDescent="0.25">
      <c r="A155" s="15">
        <f t="shared" si="2"/>
        <v>154</v>
      </c>
      <c r="B155" s="37">
        <v>43105</v>
      </c>
      <c r="C155" s="12">
        <v>2</v>
      </c>
      <c r="D155" s="12">
        <v>1</v>
      </c>
      <c r="E155" s="12">
        <v>6</v>
      </c>
      <c r="F155" s="12">
        <v>1</v>
      </c>
      <c r="G155" s="13">
        <v>30</v>
      </c>
      <c r="H155" s="13">
        <v>0</v>
      </c>
      <c r="I155" s="13">
        <v>0</v>
      </c>
      <c r="J155" s="14">
        <v>0</v>
      </c>
    </row>
    <row r="156" spans="1:10" ht="16.5" x14ac:dyDescent="0.25">
      <c r="A156" s="15">
        <f t="shared" si="2"/>
        <v>155</v>
      </c>
      <c r="B156" s="37">
        <v>43108</v>
      </c>
      <c r="C156" s="12">
        <v>1</v>
      </c>
      <c r="D156" s="12">
        <v>1</v>
      </c>
      <c r="E156" s="12">
        <v>2</v>
      </c>
      <c r="F156" s="12">
        <v>1</v>
      </c>
      <c r="G156" s="13">
        <v>135</v>
      </c>
      <c r="H156" s="13">
        <v>1</v>
      </c>
      <c r="I156" s="13">
        <v>10</v>
      </c>
      <c r="J156" s="14">
        <v>6</v>
      </c>
    </row>
    <row r="157" spans="1:10" ht="16.5" x14ac:dyDescent="0.25">
      <c r="A157" s="15">
        <f t="shared" si="2"/>
        <v>156</v>
      </c>
      <c r="B157" s="37">
        <v>43109</v>
      </c>
      <c r="C157" s="12">
        <v>1</v>
      </c>
      <c r="D157" s="12">
        <v>1</v>
      </c>
      <c r="E157" s="12">
        <v>2</v>
      </c>
      <c r="F157" s="12">
        <v>1</v>
      </c>
      <c r="G157" s="13">
        <v>130</v>
      </c>
      <c r="H157" s="13">
        <v>1</v>
      </c>
      <c r="I157" s="13">
        <v>10</v>
      </c>
      <c r="J157" s="14">
        <v>5</v>
      </c>
    </row>
    <row r="158" spans="1:10" ht="16.5" x14ac:dyDescent="0.25">
      <c r="A158" s="15">
        <f t="shared" si="2"/>
        <v>157</v>
      </c>
      <c r="B158" s="37">
        <v>43110</v>
      </c>
      <c r="C158" s="12">
        <v>1</v>
      </c>
      <c r="D158" s="12">
        <v>1</v>
      </c>
      <c r="E158" s="12">
        <v>2</v>
      </c>
      <c r="F158" s="12">
        <v>1</v>
      </c>
      <c r="G158" s="13">
        <v>113</v>
      </c>
      <c r="H158" s="13">
        <v>1</v>
      </c>
      <c r="I158" s="13">
        <v>10</v>
      </c>
      <c r="J158" s="14">
        <v>7</v>
      </c>
    </row>
    <row r="159" spans="1:10" ht="16.5" x14ac:dyDescent="0.25">
      <c r="A159" s="15">
        <f t="shared" si="2"/>
        <v>158</v>
      </c>
      <c r="B159" s="37">
        <v>43112</v>
      </c>
      <c r="C159" s="12">
        <v>1</v>
      </c>
      <c r="D159" s="12">
        <v>1</v>
      </c>
      <c r="E159" s="12">
        <v>2</v>
      </c>
      <c r="F159" s="12">
        <v>1</v>
      </c>
      <c r="G159" s="13">
        <v>138</v>
      </c>
      <c r="H159" s="13">
        <v>1</v>
      </c>
      <c r="I159" s="13">
        <v>10</v>
      </c>
      <c r="J159" s="14">
        <v>2</v>
      </c>
    </row>
    <row r="160" spans="1:10" ht="16.5" x14ac:dyDescent="0.25">
      <c r="A160" s="15">
        <f t="shared" si="2"/>
        <v>159</v>
      </c>
      <c r="B160" s="37">
        <v>43115</v>
      </c>
      <c r="C160" s="12">
        <v>1</v>
      </c>
      <c r="D160" s="12">
        <v>1</v>
      </c>
      <c r="E160" s="12">
        <v>2</v>
      </c>
      <c r="F160" s="12">
        <v>1</v>
      </c>
      <c r="G160" s="13">
        <v>176</v>
      </c>
      <c r="H160" s="13">
        <v>1</v>
      </c>
      <c r="I160" s="13">
        <v>10</v>
      </c>
      <c r="J160" s="14">
        <v>4</v>
      </c>
    </row>
    <row r="161" spans="1:13" ht="16.5" x14ac:dyDescent="0.25">
      <c r="A161" s="15">
        <f t="shared" si="2"/>
        <v>160</v>
      </c>
      <c r="B161" s="37">
        <v>43116</v>
      </c>
      <c r="C161" s="12">
        <v>1</v>
      </c>
      <c r="D161" s="12">
        <v>1</v>
      </c>
      <c r="E161" s="12">
        <v>2</v>
      </c>
      <c r="F161" s="12">
        <v>1</v>
      </c>
      <c r="G161" s="13">
        <v>111</v>
      </c>
      <c r="H161" s="13">
        <v>1</v>
      </c>
      <c r="I161" s="13">
        <v>10</v>
      </c>
      <c r="J161" s="14">
        <v>27</v>
      </c>
    </row>
    <row r="162" spans="1:13" ht="16.5" x14ac:dyDescent="0.25">
      <c r="A162" s="15">
        <f t="shared" si="2"/>
        <v>161</v>
      </c>
      <c r="B162" s="37">
        <v>43117</v>
      </c>
      <c r="C162" s="12">
        <v>1</v>
      </c>
      <c r="D162" s="12">
        <v>1</v>
      </c>
      <c r="E162" s="12">
        <v>2</v>
      </c>
      <c r="F162" s="12">
        <v>1</v>
      </c>
      <c r="G162" s="13">
        <v>85</v>
      </c>
      <c r="H162" s="13">
        <v>1</v>
      </c>
      <c r="I162" s="13">
        <v>10</v>
      </c>
      <c r="J162" s="14">
        <v>5</v>
      </c>
    </row>
    <row r="163" spans="1:13" ht="16.5" x14ac:dyDescent="0.25">
      <c r="A163" s="15">
        <f t="shared" si="2"/>
        <v>162</v>
      </c>
      <c r="B163" s="37">
        <v>43118</v>
      </c>
      <c r="C163" s="12">
        <v>1</v>
      </c>
      <c r="D163" s="12">
        <v>1</v>
      </c>
      <c r="E163" s="12">
        <v>2</v>
      </c>
      <c r="F163" s="12">
        <v>1</v>
      </c>
      <c r="G163" s="13">
        <v>82</v>
      </c>
      <c r="H163" s="13">
        <v>1</v>
      </c>
      <c r="I163" s="13">
        <v>10</v>
      </c>
      <c r="J163" s="14">
        <v>8</v>
      </c>
    </row>
    <row r="164" spans="1:13" ht="16.5" x14ac:dyDescent="0.25">
      <c r="A164" s="15">
        <f t="shared" si="2"/>
        <v>163</v>
      </c>
      <c r="B164" s="37">
        <v>43119</v>
      </c>
      <c r="C164" s="12">
        <v>1</v>
      </c>
      <c r="D164" s="12">
        <v>1</v>
      </c>
      <c r="E164" s="12">
        <v>2</v>
      </c>
      <c r="F164" s="12">
        <v>1</v>
      </c>
      <c r="G164" s="13">
        <v>158</v>
      </c>
      <c r="H164" s="13">
        <v>1</v>
      </c>
      <c r="I164" s="13">
        <v>10</v>
      </c>
      <c r="J164" s="14">
        <v>2</v>
      </c>
    </row>
    <row r="165" spans="1:13" ht="16.5" x14ac:dyDescent="0.25">
      <c r="A165" s="15">
        <f t="shared" si="2"/>
        <v>164</v>
      </c>
      <c r="B165" s="37">
        <v>43122</v>
      </c>
      <c r="C165" s="12">
        <v>1</v>
      </c>
      <c r="D165" s="12">
        <v>1</v>
      </c>
      <c r="E165" s="12">
        <v>2</v>
      </c>
      <c r="F165" s="12">
        <v>1</v>
      </c>
      <c r="G165" s="13">
        <v>139</v>
      </c>
      <c r="H165" s="13">
        <v>1</v>
      </c>
      <c r="I165" s="13">
        <v>10</v>
      </c>
      <c r="J165" s="14">
        <v>1</v>
      </c>
    </row>
    <row r="166" spans="1:13" ht="16.5" x14ac:dyDescent="0.25">
      <c r="A166" s="15">
        <f t="shared" si="2"/>
        <v>165</v>
      </c>
      <c r="B166" s="37">
        <v>43123</v>
      </c>
      <c r="C166" s="12">
        <v>1</v>
      </c>
      <c r="D166" s="12">
        <v>1</v>
      </c>
      <c r="E166" s="12">
        <v>2</v>
      </c>
      <c r="F166" s="12">
        <v>1</v>
      </c>
      <c r="G166" s="13">
        <v>75</v>
      </c>
      <c r="H166" s="13">
        <v>1</v>
      </c>
      <c r="I166" s="13">
        <v>10</v>
      </c>
      <c r="J166" s="14">
        <v>5</v>
      </c>
    </row>
    <row r="167" spans="1:13" ht="16.5" x14ac:dyDescent="0.25">
      <c r="A167" s="15">
        <f t="shared" si="2"/>
        <v>166</v>
      </c>
      <c r="B167" s="37">
        <v>43124</v>
      </c>
      <c r="C167" s="12">
        <v>1</v>
      </c>
      <c r="D167" s="12">
        <v>1</v>
      </c>
      <c r="E167" s="12">
        <v>2</v>
      </c>
      <c r="F167" s="12">
        <v>1</v>
      </c>
      <c r="G167" s="13">
        <v>157</v>
      </c>
      <c r="H167" s="13">
        <v>1</v>
      </c>
      <c r="I167" s="13">
        <v>10</v>
      </c>
      <c r="J167" s="14">
        <v>3</v>
      </c>
    </row>
    <row r="168" spans="1:13" ht="16.5" x14ac:dyDescent="0.25">
      <c r="A168" s="15">
        <f t="shared" si="2"/>
        <v>167</v>
      </c>
      <c r="B168" s="37">
        <v>43125</v>
      </c>
      <c r="C168" s="12">
        <v>1</v>
      </c>
      <c r="D168" s="12">
        <v>1</v>
      </c>
      <c r="E168" s="12">
        <v>2</v>
      </c>
      <c r="F168" s="12">
        <v>1</v>
      </c>
      <c r="G168" s="13">
        <v>92</v>
      </c>
      <c r="H168" s="13">
        <v>1</v>
      </c>
      <c r="I168" s="13">
        <v>10</v>
      </c>
      <c r="J168" s="14">
        <v>8</v>
      </c>
    </row>
    <row r="169" spans="1:13" ht="16.5" x14ac:dyDescent="0.25">
      <c r="A169" s="15">
        <f t="shared" si="2"/>
        <v>168</v>
      </c>
      <c r="B169" s="37">
        <v>43126</v>
      </c>
      <c r="C169" s="12">
        <v>1</v>
      </c>
      <c r="D169" s="12">
        <v>1</v>
      </c>
      <c r="E169" s="12">
        <v>2</v>
      </c>
      <c r="F169" s="12">
        <v>1</v>
      </c>
      <c r="G169" s="13">
        <v>84</v>
      </c>
      <c r="H169" s="13">
        <v>1</v>
      </c>
      <c r="I169" s="13">
        <v>10</v>
      </c>
      <c r="J169" s="14">
        <v>6</v>
      </c>
    </row>
    <row r="170" spans="1:13" ht="16.5" x14ac:dyDescent="0.25">
      <c r="A170" s="15">
        <f t="shared" si="2"/>
        <v>169</v>
      </c>
      <c r="B170" s="37">
        <v>43129</v>
      </c>
      <c r="C170" s="12">
        <v>1</v>
      </c>
      <c r="D170" s="12">
        <v>1</v>
      </c>
      <c r="E170" s="12">
        <v>2</v>
      </c>
      <c r="F170" s="12">
        <v>1</v>
      </c>
      <c r="G170" s="13">
        <v>135</v>
      </c>
      <c r="H170" s="13">
        <v>1</v>
      </c>
      <c r="I170" s="13">
        <v>10</v>
      </c>
      <c r="J170" s="14">
        <v>5</v>
      </c>
    </row>
    <row r="171" spans="1:13" ht="16.5" x14ac:dyDescent="0.25">
      <c r="A171" s="15">
        <f t="shared" si="2"/>
        <v>170</v>
      </c>
      <c r="B171" s="37">
        <v>43129</v>
      </c>
      <c r="C171" s="12">
        <v>2</v>
      </c>
      <c r="D171" s="12">
        <v>1</v>
      </c>
      <c r="E171" s="12">
        <v>5</v>
      </c>
      <c r="F171" s="12">
        <v>1</v>
      </c>
      <c r="G171" s="13">
        <v>100</v>
      </c>
      <c r="H171" s="13">
        <v>0</v>
      </c>
      <c r="I171" s="13">
        <v>0</v>
      </c>
      <c r="J171" s="14">
        <v>0</v>
      </c>
    </row>
    <row r="172" spans="1:13" ht="16.5" x14ac:dyDescent="0.25">
      <c r="A172" s="15">
        <f t="shared" si="2"/>
        <v>171</v>
      </c>
      <c r="B172" s="37">
        <v>43130</v>
      </c>
      <c r="C172" s="12">
        <v>1</v>
      </c>
      <c r="D172" s="12">
        <v>1</v>
      </c>
      <c r="E172" s="12">
        <v>2</v>
      </c>
      <c r="F172" s="12">
        <v>1</v>
      </c>
      <c r="G172" s="13">
        <v>146</v>
      </c>
      <c r="H172" s="13">
        <v>1</v>
      </c>
      <c r="I172" s="13">
        <v>10</v>
      </c>
      <c r="J172" s="14">
        <v>4</v>
      </c>
    </row>
    <row r="173" spans="1:13" ht="16.5" x14ac:dyDescent="0.25">
      <c r="A173" s="15">
        <f t="shared" si="2"/>
        <v>172</v>
      </c>
      <c r="B173" s="37">
        <v>43131</v>
      </c>
      <c r="C173" s="12">
        <v>1</v>
      </c>
      <c r="D173" s="12">
        <v>1</v>
      </c>
      <c r="E173" s="12">
        <v>2</v>
      </c>
      <c r="F173" s="12">
        <v>1</v>
      </c>
      <c r="G173" s="13">
        <v>100</v>
      </c>
      <c r="H173" s="13">
        <v>1</v>
      </c>
      <c r="I173" s="13">
        <v>10</v>
      </c>
      <c r="J173" s="14">
        <v>10</v>
      </c>
    </row>
    <row r="174" spans="1:13" ht="16.5" x14ac:dyDescent="0.25">
      <c r="A174" s="15">
        <f t="shared" si="2"/>
        <v>173</v>
      </c>
      <c r="B174" s="37">
        <v>43132</v>
      </c>
      <c r="C174" s="12">
        <v>1</v>
      </c>
      <c r="D174" s="12">
        <v>1</v>
      </c>
      <c r="E174" s="12">
        <v>2</v>
      </c>
      <c r="F174" s="12">
        <v>1</v>
      </c>
      <c r="G174" s="13">
        <v>158</v>
      </c>
      <c r="H174" s="13">
        <v>1</v>
      </c>
      <c r="I174" s="13">
        <v>10</v>
      </c>
      <c r="J174" s="14">
        <v>22</v>
      </c>
    </row>
    <row r="175" spans="1:13" ht="16.5" x14ac:dyDescent="0.25">
      <c r="A175" s="15">
        <f t="shared" si="2"/>
        <v>174</v>
      </c>
      <c r="B175" s="37">
        <v>43133</v>
      </c>
      <c r="C175" s="12">
        <v>1</v>
      </c>
      <c r="D175" s="12">
        <v>1</v>
      </c>
      <c r="E175" s="12">
        <v>2</v>
      </c>
      <c r="F175" s="12">
        <v>1</v>
      </c>
      <c r="G175" s="13">
        <v>120</v>
      </c>
      <c r="H175" s="13">
        <v>1</v>
      </c>
      <c r="I175" s="13">
        <v>10</v>
      </c>
      <c r="J175" s="14">
        <v>0</v>
      </c>
    </row>
    <row r="176" spans="1:13" ht="16.5" x14ac:dyDescent="0.25">
      <c r="A176" s="15">
        <f t="shared" si="2"/>
        <v>175</v>
      </c>
      <c r="B176" s="37">
        <v>43135</v>
      </c>
      <c r="C176" s="12">
        <v>2</v>
      </c>
      <c r="D176" s="12">
        <v>1</v>
      </c>
      <c r="E176" s="12">
        <v>6</v>
      </c>
      <c r="F176" s="12">
        <v>1</v>
      </c>
      <c r="G176" s="13">
        <v>250</v>
      </c>
      <c r="H176" s="13">
        <v>0</v>
      </c>
      <c r="I176" s="13">
        <v>0</v>
      </c>
      <c r="J176" s="14">
        <v>0</v>
      </c>
      <c r="K176" s="23"/>
      <c r="L176" s="23"/>
      <c r="M176" s="23"/>
    </row>
    <row r="177" spans="1:13" ht="16.5" x14ac:dyDescent="0.25">
      <c r="A177" s="15">
        <f t="shared" si="2"/>
        <v>176</v>
      </c>
      <c r="B177" s="37">
        <v>43136</v>
      </c>
      <c r="C177" s="12">
        <v>1</v>
      </c>
      <c r="D177" s="12">
        <v>1</v>
      </c>
      <c r="E177" s="12">
        <v>2</v>
      </c>
      <c r="F177" s="12">
        <v>1</v>
      </c>
      <c r="G177" s="13">
        <v>140</v>
      </c>
      <c r="H177" s="13">
        <v>1</v>
      </c>
      <c r="I177" s="13">
        <v>10</v>
      </c>
      <c r="J177" s="14">
        <v>0</v>
      </c>
      <c r="K177" s="23"/>
      <c r="L177" s="23"/>
      <c r="M177" s="23"/>
    </row>
    <row r="178" spans="1:13" ht="16.5" x14ac:dyDescent="0.25">
      <c r="A178" s="15">
        <f t="shared" si="2"/>
        <v>177</v>
      </c>
      <c r="B178" s="37">
        <v>43137</v>
      </c>
      <c r="C178" s="12">
        <v>1</v>
      </c>
      <c r="D178" s="12">
        <v>1</v>
      </c>
      <c r="E178" s="12">
        <v>2</v>
      </c>
      <c r="F178" s="12">
        <v>1</v>
      </c>
      <c r="G178" s="13">
        <v>200</v>
      </c>
      <c r="H178" s="13">
        <v>1</v>
      </c>
      <c r="I178" s="13">
        <v>10</v>
      </c>
      <c r="J178" s="14">
        <v>1</v>
      </c>
      <c r="K178" s="23"/>
      <c r="L178" s="23"/>
      <c r="M178" s="23"/>
    </row>
    <row r="179" spans="1:13" ht="16.5" x14ac:dyDescent="0.25">
      <c r="A179" s="15">
        <f t="shared" si="2"/>
        <v>178</v>
      </c>
      <c r="B179" s="37">
        <v>43138</v>
      </c>
      <c r="C179" s="12">
        <v>1</v>
      </c>
      <c r="D179" s="12">
        <v>1</v>
      </c>
      <c r="E179" s="12">
        <v>2</v>
      </c>
      <c r="F179" s="12">
        <v>1</v>
      </c>
      <c r="G179" s="13">
        <v>135</v>
      </c>
      <c r="H179" s="13">
        <v>1</v>
      </c>
      <c r="I179" s="13">
        <v>10</v>
      </c>
      <c r="J179" s="14">
        <v>0</v>
      </c>
      <c r="K179" s="23"/>
      <c r="L179" s="23"/>
      <c r="M179" s="23"/>
    </row>
    <row r="180" spans="1:13" ht="16.5" x14ac:dyDescent="0.25">
      <c r="A180" s="15">
        <f t="shared" si="2"/>
        <v>179</v>
      </c>
      <c r="B180" s="37">
        <v>43139</v>
      </c>
      <c r="C180" s="12">
        <v>1</v>
      </c>
      <c r="D180" s="12">
        <v>1</v>
      </c>
      <c r="E180" s="12">
        <v>2</v>
      </c>
      <c r="F180" s="12">
        <v>1</v>
      </c>
      <c r="G180" s="13">
        <v>117</v>
      </c>
      <c r="H180" s="13">
        <v>1</v>
      </c>
      <c r="I180" s="13">
        <v>10</v>
      </c>
      <c r="J180" s="14">
        <v>3</v>
      </c>
      <c r="K180" s="23"/>
      <c r="L180" s="23"/>
      <c r="M180" s="24"/>
    </row>
    <row r="181" spans="1:13" ht="16.5" x14ac:dyDescent="0.25">
      <c r="A181" s="15">
        <f t="shared" si="2"/>
        <v>180</v>
      </c>
      <c r="B181" s="37">
        <v>43140</v>
      </c>
      <c r="C181" s="12">
        <v>1</v>
      </c>
      <c r="D181" s="12">
        <v>1</v>
      </c>
      <c r="E181" s="12">
        <v>2</v>
      </c>
      <c r="F181" s="12">
        <v>1</v>
      </c>
      <c r="G181" s="13">
        <v>110</v>
      </c>
      <c r="H181" s="13">
        <v>1</v>
      </c>
      <c r="I181" s="13">
        <v>10</v>
      </c>
      <c r="J181" s="14">
        <v>0</v>
      </c>
      <c r="K181" s="23"/>
      <c r="L181" s="23"/>
      <c r="M181" s="23"/>
    </row>
    <row r="182" spans="1:13" ht="16.5" x14ac:dyDescent="0.25">
      <c r="A182" s="15">
        <f t="shared" si="2"/>
        <v>181</v>
      </c>
      <c r="B182" s="37">
        <v>43143</v>
      </c>
      <c r="C182" s="12">
        <v>1</v>
      </c>
      <c r="D182" s="12">
        <v>1</v>
      </c>
      <c r="E182" s="12">
        <v>2</v>
      </c>
      <c r="F182" s="12">
        <v>1</v>
      </c>
      <c r="G182" s="13">
        <v>41</v>
      </c>
      <c r="H182" s="13">
        <v>1</v>
      </c>
      <c r="I182" s="13">
        <v>10</v>
      </c>
      <c r="J182" s="14">
        <v>4</v>
      </c>
      <c r="K182" s="23"/>
      <c r="L182" s="23"/>
      <c r="M182" s="23"/>
    </row>
    <row r="183" spans="1:13" ht="16.5" x14ac:dyDescent="0.25">
      <c r="A183" s="15">
        <f t="shared" si="2"/>
        <v>182</v>
      </c>
      <c r="B183" s="37">
        <v>43146</v>
      </c>
      <c r="C183" s="12">
        <v>1</v>
      </c>
      <c r="D183" s="12">
        <v>1</v>
      </c>
      <c r="E183" s="12">
        <v>2</v>
      </c>
      <c r="F183" s="12">
        <v>1</v>
      </c>
      <c r="G183" s="13">
        <v>200</v>
      </c>
      <c r="H183" s="13">
        <v>1</v>
      </c>
      <c r="I183" s="13">
        <v>10</v>
      </c>
      <c r="J183" s="14">
        <v>0</v>
      </c>
      <c r="K183" s="23"/>
      <c r="L183" s="23"/>
      <c r="M183" s="23"/>
    </row>
    <row r="184" spans="1:13" ht="16.5" x14ac:dyDescent="0.25">
      <c r="A184" s="15">
        <f t="shared" si="2"/>
        <v>183</v>
      </c>
      <c r="B184" s="37">
        <v>43147</v>
      </c>
      <c r="C184" s="12">
        <v>1</v>
      </c>
      <c r="D184" s="12">
        <v>1</v>
      </c>
      <c r="E184" s="12">
        <v>2</v>
      </c>
      <c r="F184" s="12">
        <v>1</v>
      </c>
      <c r="G184" s="13">
        <v>140</v>
      </c>
      <c r="H184" s="13">
        <v>1</v>
      </c>
      <c r="I184" s="13">
        <v>10</v>
      </c>
      <c r="J184" s="14">
        <v>10</v>
      </c>
      <c r="K184" s="23"/>
      <c r="L184" s="23"/>
      <c r="M184" s="23"/>
    </row>
    <row r="185" spans="1:13" ht="16.5" x14ac:dyDescent="0.25">
      <c r="A185" s="15">
        <f t="shared" si="2"/>
        <v>184</v>
      </c>
      <c r="B185" s="37">
        <v>43150</v>
      </c>
      <c r="C185" s="12">
        <v>2</v>
      </c>
      <c r="D185" s="12">
        <v>1</v>
      </c>
      <c r="E185" s="12">
        <v>6</v>
      </c>
      <c r="F185" s="12">
        <v>1</v>
      </c>
      <c r="G185" s="13">
        <v>95</v>
      </c>
      <c r="H185" s="13">
        <v>0</v>
      </c>
      <c r="I185" s="13">
        <v>0</v>
      </c>
      <c r="J185" s="14">
        <v>0</v>
      </c>
      <c r="K185" s="23"/>
      <c r="L185" s="23"/>
      <c r="M185" s="23"/>
    </row>
    <row r="186" spans="1:13" ht="16.5" x14ac:dyDescent="0.25">
      <c r="A186" s="15">
        <f t="shared" si="2"/>
        <v>185</v>
      </c>
      <c r="B186" s="37">
        <v>43150</v>
      </c>
      <c r="C186" s="12">
        <v>1</v>
      </c>
      <c r="D186" s="12">
        <v>1</v>
      </c>
      <c r="E186" s="12">
        <v>2</v>
      </c>
      <c r="F186" s="12">
        <v>1</v>
      </c>
      <c r="G186" s="13">
        <v>115</v>
      </c>
      <c r="H186" s="13">
        <v>1</v>
      </c>
      <c r="I186" s="13">
        <v>10</v>
      </c>
      <c r="J186" s="14">
        <v>5</v>
      </c>
      <c r="K186" s="23"/>
      <c r="L186" s="23"/>
      <c r="M186" s="23"/>
    </row>
    <row r="187" spans="1:13" ht="16.5" x14ac:dyDescent="0.25">
      <c r="A187" s="15">
        <f t="shared" si="2"/>
        <v>186</v>
      </c>
      <c r="B187" s="37">
        <v>43151</v>
      </c>
      <c r="C187" s="12">
        <v>1</v>
      </c>
      <c r="D187" s="12">
        <v>1</v>
      </c>
      <c r="E187" s="12">
        <v>2</v>
      </c>
      <c r="F187" s="12">
        <v>1</v>
      </c>
      <c r="G187" s="13">
        <v>154</v>
      </c>
      <c r="H187" s="13">
        <v>1</v>
      </c>
      <c r="I187" s="13">
        <v>10</v>
      </c>
      <c r="J187" s="14">
        <v>6</v>
      </c>
      <c r="K187" s="23"/>
      <c r="L187" s="23"/>
      <c r="M187" s="23"/>
    </row>
    <row r="188" spans="1:13" ht="16.5" x14ac:dyDescent="0.25">
      <c r="A188" s="15">
        <f t="shared" si="2"/>
        <v>187</v>
      </c>
      <c r="B188" s="37">
        <v>43151</v>
      </c>
      <c r="C188" s="12">
        <v>1</v>
      </c>
      <c r="D188" s="12">
        <v>1</v>
      </c>
      <c r="E188" s="12">
        <v>2</v>
      </c>
      <c r="F188" s="12">
        <v>1</v>
      </c>
      <c r="G188" s="13">
        <v>87</v>
      </c>
      <c r="H188" s="13">
        <v>0.87</v>
      </c>
      <c r="I188" s="13">
        <v>10</v>
      </c>
      <c r="J188" s="14">
        <v>0</v>
      </c>
      <c r="K188" s="23"/>
      <c r="L188" s="23"/>
      <c r="M188" s="23"/>
    </row>
    <row r="189" spans="1:13" ht="16.5" x14ac:dyDescent="0.25">
      <c r="A189" s="15">
        <f t="shared" si="2"/>
        <v>188</v>
      </c>
      <c r="B189" s="37">
        <v>43152</v>
      </c>
      <c r="C189" s="12">
        <v>1</v>
      </c>
      <c r="D189" s="12">
        <v>1</v>
      </c>
      <c r="E189" s="12">
        <v>2</v>
      </c>
      <c r="F189" s="12">
        <v>1</v>
      </c>
      <c r="G189" s="13">
        <v>120</v>
      </c>
      <c r="H189" s="13">
        <v>1</v>
      </c>
      <c r="I189" s="13">
        <v>10</v>
      </c>
      <c r="J189" s="14">
        <v>2</v>
      </c>
      <c r="K189" s="23"/>
      <c r="L189" s="23"/>
      <c r="M189" s="23"/>
    </row>
    <row r="190" spans="1:13" ht="16.5" x14ac:dyDescent="0.25">
      <c r="A190" s="15">
        <f t="shared" si="2"/>
        <v>189</v>
      </c>
      <c r="B190" s="37">
        <v>43153</v>
      </c>
      <c r="C190" s="12">
        <v>1</v>
      </c>
      <c r="D190" s="12">
        <v>1</v>
      </c>
      <c r="E190" s="12">
        <v>2</v>
      </c>
      <c r="F190" s="12">
        <v>1</v>
      </c>
      <c r="G190" s="13">
        <v>95</v>
      </c>
      <c r="H190" s="13">
        <v>1</v>
      </c>
      <c r="I190" s="13">
        <v>10</v>
      </c>
      <c r="J190" s="14">
        <v>5</v>
      </c>
      <c r="K190" s="23"/>
      <c r="L190" s="23"/>
      <c r="M190" s="23"/>
    </row>
    <row r="191" spans="1:13" ht="16.5" x14ac:dyDescent="0.25">
      <c r="A191" s="15">
        <f t="shared" si="2"/>
        <v>190</v>
      </c>
      <c r="B191" s="37">
        <v>43154</v>
      </c>
      <c r="C191" s="12">
        <v>1</v>
      </c>
      <c r="D191" s="12">
        <v>1</v>
      </c>
      <c r="E191" s="12">
        <v>2</v>
      </c>
      <c r="F191" s="12">
        <v>1</v>
      </c>
      <c r="G191" s="13">
        <v>155</v>
      </c>
      <c r="H191" s="13">
        <v>1</v>
      </c>
      <c r="I191" s="13">
        <v>10.5</v>
      </c>
      <c r="J191" s="14">
        <v>5</v>
      </c>
      <c r="K191" s="23"/>
      <c r="L191" s="23"/>
      <c r="M191" s="23"/>
    </row>
    <row r="192" spans="1:13" ht="16.5" x14ac:dyDescent="0.25">
      <c r="A192" s="15">
        <f t="shared" si="2"/>
        <v>191</v>
      </c>
      <c r="B192" s="37">
        <v>43157</v>
      </c>
      <c r="C192" s="12">
        <v>1</v>
      </c>
      <c r="D192" s="12">
        <v>1</v>
      </c>
      <c r="E192" s="12">
        <v>2</v>
      </c>
      <c r="F192" s="12">
        <v>1</v>
      </c>
      <c r="G192" s="13">
        <v>66</v>
      </c>
      <c r="H192" s="13">
        <v>1</v>
      </c>
      <c r="I192" s="13">
        <v>10.5</v>
      </c>
      <c r="J192" s="14">
        <v>24</v>
      </c>
      <c r="K192" s="23"/>
      <c r="L192" s="23"/>
    </row>
    <row r="193" spans="1:12" ht="16.5" x14ac:dyDescent="0.25">
      <c r="A193" s="15">
        <f t="shared" si="2"/>
        <v>192</v>
      </c>
      <c r="B193" s="37">
        <v>43158</v>
      </c>
      <c r="C193" s="12">
        <v>1</v>
      </c>
      <c r="D193" s="12">
        <v>1</v>
      </c>
      <c r="E193" s="12">
        <v>2</v>
      </c>
      <c r="F193" s="12">
        <v>1</v>
      </c>
      <c r="G193" s="13">
        <v>112</v>
      </c>
      <c r="H193" s="13">
        <v>1</v>
      </c>
      <c r="I193" s="13">
        <v>10.5</v>
      </c>
      <c r="J193" s="14">
        <v>8</v>
      </c>
      <c r="K193" s="23"/>
      <c r="L193" s="23"/>
    </row>
    <row r="194" spans="1:12" ht="16.5" x14ac:dyDescent="0.25">
      <c r="A194" s="15">
        <f t="shared" ref="A194:A253" si="3">ROW() - 1</f>
        <v>193</v>
      </c>
      <c r="B194" s="37">
        <v>43159</v>
      </c>
      <c r="C194" s="12">
        <v>2</v>
      </c>
      <c r="D194" s="12">
        <v>1</v>
      </c>
      <c r="E194" s="12">
        <v>5</v>
      </c>
      <c r="F194" s="12">
        <v>1</v>
      </c>
      <c r="G194" s="13">
        <v>88</v>
      </c>
      <c r="H194" s="13">
        <v>0</v>
      </c>
      <c r="I194" s="13">
        <v>0</v>
      </c>
      <c r="J194" s="14">
        <v>0</v>
      </c>
      <c r="K194" s="23"/>
      <c r="L194" s="23"/>
    </row>
    <row r="195" spans="1:12" ht="16.5" x14ac:dyDescent="0.25">
      <c r="A195" s="15">
        <f t="shared" si="3"/>
        <v>194</v>
      </c>
      <c r="B195" s="37">
        <v>43159</v>
      </c>
      <c r="C195" s="12">
        <v>1</v>
      </c>
      <c r="D195" s="12">
        <v>1</v>
      </c>
      <c r="E195" s="12">
        <v>2</v>
      </c>
      <c r="F195" s="12">
        <v>1</v>
      </c>
      <c r="G195" s="13">
        <v>86</v>
      </c>
      <c r="H195" s="13">
        <v>1</v>
      </c>
      <c r="I195" s="13">
        <v>10.5</v>
      </c>
      <c r="J195" s="14">
        <v>4</v>
      </c>
      <c r="K195" s="23"/>
      <c r="L195" s="23"/>
    </row>
    <row r="196" spans="1:12" ht="16.5" x14ac:dyDescent="0.25">
      <c r="A196" s="15">
        <f t="shared" si="3"/>
        <v>195</v>
      </c>
      <c r="B196" s="37">
        <v>43160</v>
      </c>
      <c r="C196" s="12">
        <v>1</v>
      </c>
      <c r="D196" s="12">
        <v>1</v>
      </c>
      <c r="E196" s="12">
        <v>2</v>
      </c>
      <c r="F196" s="12">
        <v>1</v>
      </c>
      <c r="G196" s="13">
        <v>90</v>
      </c>
      <c r="H196" s="13">
        <v>0.9</v>
      </c>
      <c r="I196" s="13">
        <v>10.5</v>
      </c>
      <c r="J196" s="14">
        <v>0</v>
      </c>
      <c r="K196" s="23"/>
      <c r="L196" s="23"/>
    </row>
    <row r="197" spans="1:12" ht="16.5" x14ac:dyDescent="0.25">
      <c r="A197" s="15">
        <f t="shared" si="3"/>
        <v>196</v>
      </c>
      <c r="B197" s="37">
        <v>43160</v>
      </c>
      <c r="C197" s="12">
        <v>1</v>
      </c>
      <c r="D197" s="12">
        <v>1</v>
      </c>
      <c r="E197" s="12">
        <v>2</v>
      </c>
      <c r="F197" s="12">
        <v>1</v>
      </c>
      <c r="G197" s="13">
        <v>120</v>
      </c>
      <c r="H197" s="13">
        <v>1</v>
      </c>
      <c r="I197" s="13">
        <v>10.5</v>
      </c>
      <c r="J197" s="14">
        <v>1</v>
      </c>
      <c r="K197" s="23"/>
      <c r="L197" s="23"/>
    </row>
    <row r="198" spans="1:12" ht="16.5" x14ac:dyDescent="0.25">
      <c r="A198" s="15">
        <f t="shared" si="3"/>
        <v>197</v>
      </c>
      <c r="B198" s="37">
        <v>43161</v>
      </c>
      <c r="C198" s="12">
        <v>1</v>
      </c>
      <c r="D198" s="12">
        <v>1</v>
      </c>
      <c r="E198" s="12">
        <v>2</v>
      </c>
      <c r="F198" s="12">
        <v>1</v>
      </c>
      <c r="G198" s="13">
        <v>127</v>
      </c>
      <c r="H198" s="13">
        <v>1</v>
      </c>
      <c r="I198" s="13">
        <v>10.5</v>
      </c>
      <c r="J198" s="14">
        <v>13</v>
      </c>
      <c r="K198" s="23"/>
      <c r="L198" s="23"/>
    </row>
    <row r="199" spans="1:12" ht="16.5" x14ac:dyDescent="0.25">
      <c r="A199" s="15">
        <f t="shared" si="3"/>
        <v>198</v>
      </c>
      <c r="B199" s="37">
        <v>43164</v>
      </c>
      <c r="C199" s="12">
        <v>1</v>
      </c>
      <c r="D199" s="12">
        <v>1</v>
      </c>
      <c r="E199" s="12">
        <v>2</v>
      </c>
      <c r="F199" s="12">
        <v>1</v>
      </c>
      <c r="G199" s="13">
        <v>89</v>
      </c>
      <c r="H199" s="13">
        <v>1</v>
      </c>
      <c r="I199" s="13">
        <v>10.5</v>
      </c>
      <c r="J199" s="14">
        <v>1</v>
      </c>
      <c r="K199" s="23"/>
      <c r="L199" s="23"/>
    </row>
    <row r="200" spans="1:12" ht="16.5" x14ac:dyDescent="0.25">
      <c r="A200" s="15">
        <f t="shared" si="3"/>
        <v>199</v>
      </c>
      <c r="B200" s="37">
        <v>43165</v>
      </c>
      <c r="C200" s="12">
        <v>1</v>
      </c>
      <c r="D200" s="12">
        <v>1</v>
      </c>
      <c r="E200" s="12">
        <v>2</v>
      </c>
      <c r="F200" s="12">
        <v>1</v>
      </c>
      <c r="G200" s="13">
        <v>89</v>
      </c>
      <c r="H200" s="13">
        <v>1</v>
      </c>
      <c r="I200" s="13">
        <v>10.5</v>
      </c>
      <c r="J200" s="14">
        <v>1</v>
      </c>
      <c r="K200" s="23"/>
      <c r="L200" s="23"/>
    </row>
    <row r="201" spans="1:12" ht="16.5" x14ac:dyDescent="0.25">
      <c r="A201" s="15">
        <f t="shared" si="3"/>
        <v>200</v>
      </c>
      <c r="B201" s="37">
        <v>43166</v>
      </c>
      <c r="C201" s="12">
        <v>1</v>
      </c>
      <c r="D201" s="12">
        <v>1</v>
      </c>
      <c r="E201" s="12">
        <v>2</v>
      </c>
      <c r="F201" s="12">
        <v>1</v>
      </c>
      <c r="G201" s="13">
        <v>130</v>
      </c>
      <c r="H201" s="13">
        <v>1</v>
      </c>
      <c r="I201" s="13">
        <v>10.5</v>
      </c>
      <c r="J201" s="14">
        <v>5</v>
      </c>
      <c r="K201" s="23"/>
      <c r="L201" s="23"/>
    </row>
    <row r="202" spans="1:12" ht="16.5" x14ac:dyDescent="0.25">
      <c r="A202" s="15">
        <f t="shared" si="3"/>
        <v>201</v>
      </c>
      <c r="B202" s="37">
        <v>43167</v>
      </c>
      <c r="C202" s="12">
        <v>1</v>
      </c>
      <c r="D202" s="12">
        <v>1</v>
      </c>
      <c r="E202" s="12">
        <v>2</v>
      </c>
      <c r="F202" s="12">
        <v>1</v>
      </c>
      <c r="G202" s="13">
        <v>144</v>
      </c>
      <c r="H202" s="13">
        <v>1</v>
      </c>
      <c r="I202" s="13">
        <v>10.5</v>
      </c>
      <c r="J202" s="14">
        <v>1</v>
      </c>
      <c r="K202" s="23"/>
      <c r="L202" s="23"/>
    </row>
    <row r="203" spans="1:12" ht="16.5" x14ac:dyDescent="0.25">
      <c r="A203" s="15">
        <f t="shared" si="3"/>
        <v>202</v>
      </c>
      <c r="B203" s="37">
        <v>43167</v>
      </c>
      <c r="C203" s="12">
        <v>1</v>
      </c>
      <c r="D203" s="12">
        <v>1</v>
      </c>
      <c r="E203" s="12">
        <v>2</v>
      </c>
      <c r="F203" s="12">
        <v>1</v>
      </c>
      <c r="G203" s="13">
        <v>18.899999999999999</v>
      </c>
      <c r="H203" s="13">
        <v>0.95</v>
      </c>
      <c r="I203" s="13">
        <v>10.5</v>
      </c>
      <c r="J203" s="14">
        <v>0</v>
      </c>
      <c r="K203" s="23"/>
      <c r="L203" s="23"/>
    </row>
    <row r="204" spans="1:12" ht="16.5" x14ac:dyDescent="0.25">
      <c r="A204" s="15">
        <f t="shared" si="3"/>
        <v>203</v>
      </c>
      <c r="B204" s="37">
        <v>43167</v>
      </c>
      <c r="C204" s="12">
        <v>1</v>
      </c>
      <c r="D204" s="12">
        <v>2</v>
      </c>
      <c r="E204" s="12">
        <v>2</v>
      </c>
      <c r="F204" s="12">
        <v>1</v>
      </c>
      <c r="G204" s="13">
        <v>5</v>
      </c>
      <c r="H204" s="13">
        <v>1</v>
      </c>
      <c r="I204" s="13">
        <v>10.5</v>
      </c>
      <c r="J204" s="14">
        <v>0</v>
      </c>
      <c r="K204" s="23"/>
      <c r="L204" s="23"/>
    </row>
    <row r="205" spans="1:12" ht="16.5" x14ac:dyDescent="0.25">
      <c r="A205" s="15">
        <f t="shared" si="3"/>
        <v>204</v>
      </c>
      <c r="B205" s="37">
        <v>43168</v>
      </c>
      <c r="C205" s="12">
        <v>1</v>
      </c>
      <c r="D205" s="12">
        <v>1</v>
      </c>
      <c r="E205" s="12">
        <v>2</v>
      </c>
      <c r="F205" s="12">
        <v>1</v>
      </c>
      <c r="G205" s="13">
        <v>103</v>
      </c>
      <c r="H205" s="13">
        <v>1</v>
      </c>
      <c r="I205" s="13">
        <v>10.5</v>
      </c>
      <c r="J205" s="14">
        <v>0</v>
      </c>
      <c r="K205" s="23"/>
      <c r="L205" s="23"/>
    </row>
    <row r="206" spans="1:12" ht="16.5" x14ac:dyDescent="0.25">
      <c r="A206" s="15">
        <f t="shared" si="3"/>
        <v>205</v>
      </c>
      <c r="B206" s="37">
        <v>43171</v>
      </c>
      <c r="C206" s="12">
        <v>1</v>
      </c>
      <c r="D206" s="12">
        <v>1</v>
      </c>
      <c r="E206" s="12">
        <v>2</v>
      </c>
      <c r="F206" s="12">
        <v>1</v>
      </c>
      <c r="G206" s="13">
        <v>18.899999999999999</v>
      </c>
      <c r="H206" s="13">
        <v>0.95</v>
      </c>
      <c r="I206" s="13">
        <v>10.5</v>
      </c>
      <c r="J206" s="14">
        <v>0</v>
      </c>
      <c r="K206" s="23"/>
      <c r="L206" s="23"/>
    </row>
    <row r="207" spans="1:12" ht="16.5" x14ac:dyDescent="0.25">
      <c r="A207" s="15">
        <f t="shared" si="3"/>
        <v>206</v>
      </c>
      <c r="B207" s="37">
        <v>43171</v>
      </c>
      <c r="C207" s="12">
        <v>1</v>
      </c>
      <c r="D207" s="12">
        <v>1</v>
      </c>
      <c r="E207" s="12">
        <v>2</v>
      </c>
      <c r="F207" s="12">
        <v>1</v>
      </c>
      <c r="G207" s="13">
        <v>186</v>
      </c>
      <c r="H207" s="13">
        <v>1</v>
      </c>
      <c r="I207" s="13">
        <v>10.5</v>
      </c>
      <c r="J207" s="14">
        <v>5</v>
      </c>
      <c r="K207" s="25"/>
      <c r="L207" s="26"/>
    </row>
    <row r="208" spans="1:12" ht="16.5" x14ac:dyDescent="0.25">
      <c r="A208" s="15">
        <f t="shared" si="3"/>
        <v>207</v>
      </c>
      <c r="B208" s="37">
        <v>43172</v>
      </c>
      <c r="C208" s="12">
        <v>1</v>
      </c>
      <c r="D208" s="12">
        <v>2</v>
      </c>
      <c r="E208" s="12">
        <v>2</v>
      </c>
      <c r="F208" s="12">
        <v>1</v>
      </c>
      <c r="G208" s="13">
        <v>5</v>
      </c>
      <c r="H208" s="13">
        <v>1</v>
      </c>
      <c r="I208" s="13">
        <v>10.5</v>
      </c>
      <c r="J208" s="14">
        <v>0</v>
      </c>
      <c r="K208" s="25"/>
      <c r="L208" s="26"/>
    </row>
    <row r="209" spans="1:12" ht="16.5" x14ac:dyDescent="0.25">
      <c r="A209" s="15">
        <f t="shared" si="3"/>
        <v>208</v>
      </c>
      <c r="B209" s="37">
        <v>43172</v>
      </c>
      <c r="C209" s="12">
        <v>1</v>
      </c>
      <c r="D209" s="12">
        <v>1</v>
      </c>
      <c r="E209" s="12">
        <v>2</v>
      </c>
      <c r="F209" s="12">
        <v>1</v>
      </c>
      <c r="G209" s="13">
        <v>180</v>
      </c>
      <c r="H209" s="13">
        <v>1</v>
      </c>
      <c r="I209" s="13">
        <v>10.5</v>
      </c>
      <c r="J209" s="14">
        <v>15</v>
      </c>
      <c r="K209" s="23"/>
      <c r="L209" s="23"/>
    </row>
    <row r="210" spans="1:12" ht="16.5" x14ac:dyDescent="0.25">
      <c r="A210" s="15">
        <f t="shared" si="3"/>
        <v>209</v>
      </c>
      <c r="B210" s="37">
        <v>43173</v>
      </c>
      <c r="C210" s="12">
        <v>1</v>
      </c>
      <c r="D210" s="12">
        <v>1</v>
      </c>
      <c r="E210" s="12">
        <v>2</v>
      </c>
      <c r="F210" s="12">
        <v>1</v>
      </c>
      <c r="G210" s="13">
        <v>107</v>
      </c>
      <c r="H210" s="13">
        <v>1</v>
      </c>
      <c r="I210" s="13">
        <v>10.5</v>
      </c>
      <c r="J210" s="14">
        <v>13</v>
      </c>
      <c r="K210" s="23"/>
      <c r="L210" s="23"/>
    </row>
    <row r="211" spans="1:12" ht="16.5" x14ac:dyDescent="0.25">
      <c r="A211" s="15">
        <f t="shared" si="3"/>
        <v>210</v>
      </c>
      <c r="B211" s="37">
        <v>43174</v>
      </c>
      <c r="C211" s="12">
        <v>1</v>
      </c>
      <c r="D211" s="12">
        <v>2</v>
      </c>
      <c r="E211" s="12">
        <v>2</v>
      </c>
      <c r="F211" s="12">
        <v>1</v>
      </c>
      <c r="G211" s="13">
        <v>6</v>
      </c>
      <c r="H211" s="13">
        <v>1</v>
      </c>
      <c r="I211" s="13">
        <v>10.5</v>
      </c>
      <c r="J211" s="14">
        <v>0</v>
      </c>
      <c r="K211" s="23"/>
      <c r="L211" s="23"/>
    </row>
    <row r="212" spans="1:12" ht="16.5" x14ac:dyDescent="0.25">
      <c r="A212" s="15">
        <f t="shared" si="3"/>
        <v>211</v>
      </c>
      <c r="B212" s="37">
        <v>43174</v>
      </c>
      <c r="C212" s="12">
        <v>1</v>
      </c>
      <c r="D212" s="12">
        <v>1</v>
      </c>
      <c r="E212" s="12">
        <v>2</v>
      </c>
      <c r="F212" s="12">
        <v>1</v>
      </c>
      <c r="G212" s="13">
        <v>82</v>
      </c>
      <c r="H212" s="13">
        <v>1</v>
      </c>
      <c r="I212" s="13">
        <v>10.5</v>
      </c>
      <c r="J212" s="14">
        <v>2</v>
      </c>
      <c r="K212" s="23"/>
      <c r="L212" s="23"/>
    </row>
    <row r="213" spans="1:12" ht="16.5" x14ac:dyDescent="0.25">
      <c r="A213" s="15">
        <f t="shared" si="3"/>
        <v>212</v>
      </c>
      <c r="B213" s="37">
        <v>43175</v>
      </c>
      <c r="C213" s="12">
        <v>1</v>
      </c>
      <c r="D213" s="12">
        <v>2</v>
      </c>
      <c r="E213" s="12">
        <v>2</v>
      </c>
      <c r="F213" s="12">
        <v>1</v>
      </c>
      <c r="G213" s="13">
        <v>5</v>
      </c>
      <c r="H213" s="13">
        <v>1</v>
      </c>
      <c r="I213" s="13">
        <v>10.5</v>
      </c>
      <c r="J213" s="14">
        <v>0</v>
      </c>
      <c r="K213" s="23"/>
      <c r="L213" s="23"/>
    </row>
    <row r="214" spans="1:12" ht="16.5" x14ac:dyDescent="0.25">
      <c r="A214" s="15">
        <f t="shared" si="3"/>
        <v>213</v>
      </c>
      <c r="B214" s="37">
        <v>43175</v>
      </c>
      <c r="C214" s="12">
        <v>1</v>
      </c>
      <c r="D214" s="12">
        <v>1</v>
      </c>
      <c r="E214" s="12">
        <v>2</v>
      </c>
      <c r="F214" s="12">
        <v>1</v>
      </c>
      <c r="G214" s="13">
        <v>111</v>
      </c>
      <c r="H214" s="13">
        <v>1</v>
      </c>
      <c r="I214" s="13">
        <v>10.5</v>
      </c>
      <c r="J214" s="14">
        <v>4</v>
      </c>
      <c r="K214" s="23"/>
      <c r="L214" s="23"/>
    </row>
    <row r="215" spans="1:12" ht="16.5" x14ac:dyDescent="0.25">
      <c r="A215" s="15">
        <f t="shared" si="3"/>
        <v>214</v>
      </c>
      <c r="B215" s="37">
        <v>43178</v>
      </c>
      <c r="C215" s="12">
        <v>2</v>
      </c>
      <c r="D215" s="12">
        <v>1</v>
      </c>
      <c r="E215" s="12">
        <v>6</v>
      </c>
      <c r="F215" s="12">
        <v>1</v>
      </c>
      <c r="G215" s="13">
        <v>300</v>
      </c>
      <c r="H215" s="13">
        <v>0</v>
      </c>
      <c r="I215" s="13">
        <v>0</v>
      </c>
      <c r="J215" s="14">
        <v>0</v>
      </c>
      <c r="K215" s="23"/>
      <c r="L215" s="23"/>
    </row>
    <row r="216" spans="1:12" ht="16.5" x14ac:dyDescent="0.25">
      <c r="A216" s="15">
        <f t="shared" si="3"/>
        <v>215</v>
      </c>
      <c r="B216" s="37">
        <v>43178</v>
      </c>
      <c r="C216" s="12">
        <v>1</v>
      </c>
      <c r="D216" s="12">
        <v>1</v>
      </c>
      <c r="E216" s="12">
        <v>2</v>
      </c>
      <c r="F216" s="12">
        <v>1</v>
      </c>
      <c r="G216" s="13">
        <v>118</v>
      </c>
      <c r="H216" s="13">
        <v>1</v>
      </c>
      <c r="I216" s="13">
        <v>10.5</v>
      </c>
      <c r="J216" s="14">
        <v>2</v>
      </c>
      <c r="K216" s="23"/>
      <c r="L216" s="23"/>
    </row>
    <row r="217" spans="1:12" ht="16.5" x14ac:dyDescent="0.25">
      <c r="A217" s="15">
        <f t="shared" si="3"/>
        <v>216</v>
      </c>
      <c r="B217" s="37">
        <v>43179</v>
      </c>
      <c r="C217" s="12">
        <v>1</v>
      </c>
      <c r="D217" s="12">
        <v>1</v>
      </c>
      <c r="E217" s="12">
        <v>2</v>
      </c>
      <c r="F217" s="12">
        <v>1</v>
      </c>
      <c r="G217" s="13">
        <v>114</v>
      </c>
      <c r="H217" s="13">
        <v>1</v>
      </c>
      <c r="I217" s="13">
        <v>10.5</v>
      </c>
      <c r="J217" s="14">
        <v>6</v>
      </c>
      <c r="K217" s="23"/>
      <c r="L217" s="23"/>
    </row>
    <row r="218" spans="1:12" ht="16.5" x14ac:dyDescent="0.25">
      <c r="A218" s="15">
        <f t="shared" si="3"/>
        <v>217</v>
      </c>
      <c r="B218" s="37">
        <v>43180</v>
      </c>
      <c r="C218" s="12">
        <v>1</v>
      </c>
      <c r="D218" s="12">
        <v>2</v>
      </c>
      <c r="E218" s="12">
        <v>2</v>
      </c>
      <c r="F218" s="12">
        <v>1</v>
      </c>
      <c r="G218" s="13">
        <v>5</v>
      </c>
      <c r="H218" s="13">
        <v>1</v>
      </c>
      <c r="I218" s="13">
        <v>10.5</v>
      </c>
      <c r="J218" s="14">
        <v>0</v>
      </c>
      <c r="K218" s="23"/>
      <c r="L218" s="23"/>
    </row>
    <row r="219" spans="1:12" ht="16.5" x14ac:dyDescent="0.25">
      <c r="A219" s="15">
        <f t="shared" si="3"/>
        <v>218</v>
      </c>
      <c r="B219" s="37">
        <v>43180</v>
      </c>
      <c r="C219" s="12">
        <v>1</v>
      </c>
      <c r="D219" s="12">
        <v>1</v>
      </c>
      <c r="E219" s="12">
        <v>2</v>
      </c>
      <c r="F219" s="12">
        <v>1</v>
      </c>
      <c r="G219" s="13">
        <v>151</v>
      </c>
      <c r="H219" s="13">
        <v>1</v>
      </c>
      <c r="I219" s="13">
        <v>10.5</v>
      </c>
      <c r="J219" s="14">
        <v>4</v>
      </c>
      <c r="K219" s="23"/>
      <c r="L219" s="23"/>
    </row>
    <row r="220" spans="1:12" ht="16.5" x14ac:dyDescent="0.25">
      <c r="A220" s="15">
        <f t="shared" si="3"/>
        <v>219</v>
      </c>
      <c r="B220" s="37">
        <v>43181</v>
      </c>
      <c r="C220" s="12">
        <v>1</v>
      </c>
      <c r="D220" s="12">
        <v>1</v>
      </c>
      <c r="E220" s="12">
        <v>2</v>
      </c>
      <c r="F220" s="12">
        <v>1</v>
      </c>
      <c r="G220" s="13">
        <v>114</v>
      </c>
      <c r="H220" s="13">
        <v>1</v>
      </c>
      <c r="I220" s="13">
        <v>10.5</v>
      </c>
      <c r="J220" s="14">
        <v>4</v>
      </c>
      <c r="K220" s="23"/>
      <c r="L220" s="23"/>
    </row>
    <row r="221" spans="1:12" ht="16.5" x14ac:dyDescent="0.25">
      <c r="A221" s="15">
        <f t="shared" si="3"/>
        <v>220</v>
      </c>
      <c r="B221" s="37">
        <v>43181</v>
      </c>
      <c r="C221" s="12">
        <v>1</v>
      </c>
      <c r="D221" s="12">
        <v>2</v>
      </c>
      <c r="E221" s="12">
        <v>2</v>
      </c>
      <c r="F221" s="12">
        <v>1</v>
      </c>
      <c r="G221" s="13">
        <v>7</v>
      </c>
      <c r="H221" s="13">
        <v>1</v>
      </c>
      <c r="I221" s="13">
        <v>10.5</v>
      </c>
      <c r="J221" s="14">
        <v>0</v>
      </c>
      <c r="K221" s="23"/>
      <c r="L221" s="23"/>
    </row>
    <row r="222" spans="1:12" ht="16.5" x14ac:dyDescent="0.25">
      <c r="A222" s="15">
        <f t="shared" si="3"/>
        <v>221</v>
      </c>
      <c r="B222" s="37">
        <v>43181</v>
      </c>
      <c r="C222" s="12">
        <v>1</v>
      </c>
      <c r="D222" s="12">
        <v>3</v>
      </c>
      <c r="E222" s="12">
        <v>2</v>
      </c>
      <c r="F222" s="12">
        <v>1</v>
      </c>
      <c r="G222" s="13">
        <v>10</v>
      </c>
      <c r="H222" s="13">
        <v>1</v>
      </c>
      <c r="I222" s="13">
        <v>10.5</v>
      </c>
      <c r="J222" s="14">
        <v>0</v>
      </c>
      <c r="K222" s="23"/>
      <c r="L222" s="23"/>
    </row>
    <row r="223" spans="1:12" ht="16.5" x14ac:dyDescent="0.25">
      <c r="A223" s="15">
        <f t="shared" si="3"/>
        <v>222</v>
      </c>
      <c r="B223" s="37">
        <v>43182</v>
      </c>
      <c r="C223" s="12">
        <v>1</v>
      </c>
      <c r="D223" s="12">
        <v>1</v>
      </c>
      <c r="E223" s="12">
        <v>2</v>
      </c>
      <c r="F223" s="12">
        <v>1</v>
      </c>
      <c r="G223" s="13">
        <v>88</v>
      </c>
      <c r="H223" s="13">
        <v>1</v>
      </c>
      <c r="I223" s="13">
        <v>10.5</v>
      </c>
      <c r="J223" s="14">
        <v>2</v>
      </c>
      <c r="K223" s="23"/>
      <c r="L223" s="23"/>
    </row>
    <row r="224" spans="1:12" ht="16.5" x14ac:dyDescent="0.25">
      <c r="A224" s="15">
        <f t="shared" si="3"/>
        <v>223</v>
      </c>
      <c r="B224" s="37">
        <v>43182</v>
      </c>
      <c r="C224" s="12">
        <v>2</v>
      </c>
      <c r="D224" s="12">
        <v>1</v>
      </c>
      <c r="E224" s="12">
        <v>7</v>
      </c>
      <c r="F224" s="12">
        <v>1</v>
      </c>
      <c r="G224" s="13">
        <v>9</v>
      </c>
      <c r="H224" s="13">
        <v>0</v>
      </c>
      <c r="I224" s="13">
        <v>0</v>
      </c>
      <c r="J224" s="14">
        <v>0</v>
      </c>
    </row>
    <row r="225" spans="1:10" ht="16.5" x14ac:dyDescent="0.25">
      <c r="A225" s="15">
        <f t="shared" si="3"/>
        <v>224</v>
      </c>
      <c r="B225" s="37">
        <v>43185</v>
      </c>
      <c r="C225" s="12">
        <v>1</v>
      </c>
      <c r="D225" s="12">
        <v>1</v>
      </c>
      <c r="E225" s="12">
        <v>2</v>
      </c>
      <c r="F225" s="12">
        <v>1</v>
      </c>
      <c r="G225" s="13">
        <v>156</v>
      </c>
      <c r="H225" s="13">
        <v>1</v>
      </c>
      <c r="I225" s="13">
        <v>10.5</v>
      </c>
      <c r="J225" s="14">
        <v>4</v>
      </c>
    </row>
    <row r="226" spans="1:10" ht="16.5" x14ac:dyDescent="0.25">
      <c r="A226" s="15">
        <f t="shared" si="3"/>
        <v>225</v>
      </c>
      <c r="B226" s="37">
        <v>43186</v>
      </c>
      <c r="C226" s="12">
        <v>1</v>
      </c>
      <c r="D226" s="12">
        <v>1</v>
      </c>
      <c r="E226" s="12">
        <v>2</v>
      </c>
      <c r="F226" s="12">
        <v>1</v>
      </c>
      <c r="G226" s="13">
        <v>179</v>
      </c>
      <c r="H226" s="13">
        <v>1</v>
      </c>
      <c r="I226" s="13">
        <v>10.5</v>
      </c>
      <c r="J226" s="14">
        <v>1</v>
      </c>
    </row>
    <row r="227" spans="1:10" ht="16.5" x14ac:dyDescent="0.25">
      <c r="A227" s="15">
        <f t="shared" si="3"/>
        <v>226</v>
      </c>
      <c r="B227" s="37">
        <v>43187</v>
      </c>
      <c r="C227" s="12">
        <v>1</v>
      </c>
      <c r="D227" s="12">
        <v>1</v>
      </c>
      <c r="E227" s="12">
        <v>2</v>
      </c>
      <c r="F227" s="12">
        <v>1</v>
      </c>
      <c r="G227" s="13">
        <v>43</v>
      </c>
      <c r="H227" s="13">
        <v>1</v>
      </c>
      <c r="I227" s="13">
        <v>10.5</v>
      </c>
      <c r="J227" s="14">
        <v>2</v>
      </c>
    </row>
    <row r="228" spans="1:10" ht="16.5" x14ac:dyDescent="0.25">
      <c r="A228" s="15">
        <f t="shared" si="3"/>
        <v>227</v>
      </c>
      <c r="B228" s="37">
        <v>43187</v>
      </c>
      <c r="C228" s="12">
        <v>2</v>
      </c>
      <c r="D228" s="12">
        <v>1</v>
      </c>
      <c r="E228" s="12">
        <v>5</v>
      </c>
      <c r="F228" s="12">
        <v>1</v>
      </c>
      <c r="G228" s="13">
        <v>91.5</v>
      </c>
      <c r="H228" s="13">
        <v>0</v>
      </c>
      <c r="I228" s="13">
        <v>0</v>
      </c>
      <c r="J228" s="14">
        <v>0</v>
      </c>
    </row>
    <row r="229" spans="1:10" ht="16.5" x14ac:dyDescent="0.25">
      <c r="A229" s="15">
        <f t="shared" si="3"/>
        <v>228</v>
      </c>
      <c r="B229" s="37">
        <v>43188</v>
      </c>
      <c r="C229" s="12">
        <v>1</v>
      </c>
      <c r="D229" s="12">
        <v>1</v>
      </c>
      <c r="E229" s="12">
        <v>2</v>
      </c>
      <c r="F229" s="12">
        <v>1</v>
      </c>
      <c r="G229" s="13">
        <v>195</v>
      </c>
      <c r="H229" s="13">
        <v>1</v>
      </c>
      <c r="I229" s="13">
        <v>10.5</v>
      </c>
      <c r="J229" s="14">
        <v>5</v>
      </c>
    </row>
    <row r="230" spans="1:10" ht="16.5" x14ac:dyDescent="0.25">
      <c r="A230" s="15">
        <f t="shared" si="3"/>
        <v>229</v>
      </c>
      <c r="B230" s="37">
        <v>43192</v>
      </c>
      <c r="C230" s="12">
        <v>1</v>
      </c>
      <c r="D230" s="12">
        <v>2</v>
      </c>
      <c r="E230" s="12">
        <v>2</v>
      </c>
      <c r="F230" s="12">
        <v>1</v>
      </c>
      <c r="G230" s="13">
        <v>10</v>
      </c>
      <c r="H230" s="13">
        <v>1</v>
      </c>
      <c r="I230" s="13">
        <v>10.5</v>
      </c>
      <c r="J230" s="14">
        <v>0</v>
      </c>
    </row>
    <row r="231" spans="1:10" ht="16.5" x14ac:dyDescent="0.25">
      <c r="A231" s="15">
        <f t="shared" si="3"/>
        <v>230</v>
      </c>
      <c r="B231" s="37">
        <v>43192</v>
      </c>
      <c r="C231" s="12">
        <v>1</v>
      </c>
      <c r="D231" s="12">
        <v>1</v>
      </c>
      <c r="E231" s="12">
        <v>2</v>
      </c>
      <c r="F231" s="12">
        <v>1</v>
      </c>
      <c r="G231" s="13">
        <v>75</v>
      </c>
      <c r="H231" s="13">
        <v>1</v>
      </c>
      <c r="I231" s="13">
        <v>10.5</v>
      </c>
      <c r="J231" s="14">
        <v>5</v>
      </c>
    </row>
    <row r="232" spans="1:10" ht="16.5" x14ac:dyDescent="0.25">
      <c r="A232" s="15">
        <f t="shared" si="3"/>
        <v>231</v>
      </c>
      <c r="B232" s="37">
        <v>43192</v>
      </c>
      <c r="C232" s="12">
        <v>1</v>
      </c>
      <c r="D232" s="12">
        <v>2</v>
      </c>
      <c r="E232" s="12">
        <v>2</v>
      </c>
      <c r="F232" s="12">
        <v>1</v>
      </c>
      <c r="G232" s="13">
        <v>18.899999999999999</v>
      </c>
      <c r="H232" s="13">
        <v>0.95</v>
      </c>
      <c r="I232" s="13">
        <v>10.5</v>
      </c>
      <c r="J232" s="14">
        <v>0</v>
      </c>
    </row>
    <row r="233" spans="1:10" ht="16.5" x14ac:dyDescent="0.25">
      <c r="A233" s="15">
        <f t="shared" si="3"/>
        <v>232</v>
      </c>
      <c r="B233" s="37">
        <v>43193</v>
      </c>
      <c r="C233" s="12">
        <v>1</v>
      </c>
      <c r="D233" s="12">
        <v>2</v>
      </c>
      <c r="E233" s="12">
        <v>2</v>
      </c>
      <c r="F233" s="12">
        <v>1</v>
      </c>
      <c r="G233" s="13">
        <v>5</v>
      </c>
      <c r="H233" s="13">
        <v>1</v>
      </c>
      <c r="I233" s="13">
        <v>10.5</v>
      </c>
      <c r="J233" s="14">
        <v>0</v>
      </c>
    </row>
    <row r="234" spans="1:10" ht="16.5" x14ac:dyDescent="0.25">
      <c r="A234" s="15">
        <f t="shared" si="3"/>
        <v>233</v>
      </c>
      <c r="B234" s="37">
        <v>43193</v>
      </c>
      <c r="C234" s="12">
        <v>1</v>
      </c>
      <c r="D234" s="12">
        <v>1</v>
      </c>
      <c r="E234" s="12">
        <v>2</v>
      </c>
      <c r="F234" s="12">
        <v>1</v>
      </c>
      <c r="G234" s="13">
        <v>150</v>
      </c>
      <c r="H234" s="13">
        <v>1</v>
      </c>
      <c r="I234" s="13">
        <v>10.5</v>
      </c>
      <c r="J234" s="14">
        <v>5</v>
      </c>
    </row>
    <row r="235" spans="1:10" ht="16.5" x14ac:dyDescent="0.25">
      <c r="A235" s="15">
        <f t="shared" si="3"/>
        <v>234</v>
      </c>
      <c r="B235" s="37">
        <v>43194</v>
      </c>
      <c r="C235" s="12">
        <v>1</v>
      </c>
      <c r="D235" s="12">
        <v>1</v>
      </c>
      <c r="E235" s="12">
        <v>2</v>
      </c>
      <c r="F235" s="12">
        <v>1</v>
      </c>
      <c r="G235" s="13">
        <v>113</v>
      </c>
      <c r="H235" s="13">
        <v>1</v>
      </c>
      <c r="I235" s="13">
        <v>10.5</v>
      </c>
      <c r="J235" s="14">
        <v>7</v>
      </c>
    </row>
    <row r="236" spans="1:10" ht="16.5" x14ac:dyDescent="0.25">
      <c r="A236" s="15">
        <f t="shared" si="3"/>
        <v>235</v>
      </c>
      <c r="B236" s="37">
        <v>43194</v>
      </c>
      <c r="C236" s="12">
        <v>1</v>
      </c>
      <c r="D236" s="12">
        <v>1</v>
      </c>
      <c r="E236" s="12">
        <v>2</v>
      </c>
      <c r="F236" s="12">
        <v>1</v>
      </c>
      <c r="G236" s="13">
        <v>90</v>
      </c>
      <c r="H236" s="13">
        <v>0.9</v>
      </c>
      <c r="I236" s="13">
        <v>10.5</v>
      </c>
      <c r="J236" s="14">
        <v>0</v>
      </c>
    </row>
    <row r="237" spans="1:10" ht="16.5" x14ac:dyDescent="0.25">
      <c r="A237" s="15">
        <f t="shared" si="3"/>
        <v>236</v>
      </c>
      <c r="B237" s="37">
        <v>43195</v>
      </c>
      <c r="C237" s="12">
        <v>1</v>
      </c>
      <c r="D237" s="12">
        <v>1</v>
      </c>
      <c r="E237" s="12">
        <v>2</v>
      </c>
      <c r="F237" s="12">
        <v>1</v>
      </c>
      <c r="G237" s="13">
        <v>82</v>
      </c>
      <c r="H237" s="13">
        <v>1</v>
      </c>
      <c r="I237" s="13">
        <v>10.5</v>
      </c>
      <c r="J237" s="14">
        <v>6</v>
      </c>
    </row>
    <row r="238" spans="1:10" ht="16.5" x14ac:dyDescent="0.25">
      <c r="A238" s="15">
        <f t="shared" si="3"/>
        <v>237</v>
      </c>
      <c r="B238" s="37">
        <v>43195</v>
      </c>
      <c r="C238" s="12">
        <v>1</v>
      </c>
      <c r="D238" s="12">
        <v>1</v>
      </c>
      <c r="E238" s="12">
        <v>2</v>
      </c>
      <c r="F238" s="12">
        <v>1</v>
      </c>
      <c r="G238" s="13">
        <v>19.5</v>
      </c>
      <c r="H238" s="13">
        <v>0.98</v>
      </c>
      <c r="I238" s="13">
        <v>10.5</v>
      </c>
      <c r="J238" s="14">
        <v>0</v>
      </c>
    </row>
    <row r="239" spans="1:10" ht="16.5" x14ac:dyDescent="0.25">
      <c r="A239" s="15">
        <f t="shared" si="3"/>
        <v>238</v>
      </c>
      <c r="B239" s="37">
        <v>43196</v>
      </c>
      <c r="C239" s="12">
        <v>1</v>
      </c>
      <c r="D239" s="12">
        <v>2</v>
      </c>
      <c r="E239" s="12">
        <v>2</v>
      </c>
      <c r="F239" s="12">
        <v>1</v>
      </c>
      <c r="G239" s="13">
        <v>15</v>
      </c>
      <c r="H239" s="13">
        <v>1</v>
      </c>
      <c r="I239" s="13">
        <v>10.5</v>
      </c>
      <c r="J239" s="14">
        <v>0</v>
      </c>
    </row>
    <row r="240" spans="1:10" ht="16.5" x14ac:dyDescent="0.25">
      <c r="A240" s="15">
        <f t="shared" si="3"/>
        <v>239</v>
      </c>
      <c r="B240" s="37">
        <v>43196</v>
      </c>
      <c r="C240" s="12">
        <v>1</v>
      </c>
      <c r="D240" s="12">
        <v>1</v>
      </c>
      <c r="E240" s="12">
        <v>2</v>
      </c>
      <c r="F240" s="12">
        <v>1</v>
      </c>
      <c r="G240" s="13">
        <v>126</v>
      </c>
      <c r="H240" s="13">
        <v>1</v>
      </c>
      <c r="I240" s="13">
        <v>10.5</v>
      </c>
      <c r="J240" s="14">
        <v>6</v>
      </c>
    </row>
    <row r="241" spans="1:24" ht="16.5" x14ac:dyDescent="0.25">
      <c r="A241" s="15">
        <f t="shared" si="3"/>
        <v>240</v>
      </c>
      <c r="B241" s="37">
        <v>43199</v>
      </c>
      <c r="C241" s="12">
        <v>1</v>
      </c>
      <c r="D241" s="12">
        <v>2</v>
      </c>
      <c r="E241" s="12">
        <v>2</v>
      </c>
      <c r="F241" s="12">
        <v>1</v>
      </c>
      <c r="G241" s="13">
        <v>4</v>
      </c>
      <c r="H241" s="13">
        <v>1</v>
      </c>
      <c r="I241" s="13">
        <v>10.5</v>
      </c>
      <c r="J241" s="14">
        <v>0</v>
      </c>
    </row>
    <row r="242" spans="1:24" ht="16.5" x14ac:dyDescent="0.25">
      <c r="A242" s="15">
        <f t="shared" si="3"/>
        <v>241</v>
      </c>
      <c r="B242" s="37">
        <v>43199</v>
      </c>
      <c r="C242" s="12">
        <v>1</v>
      </c>
      <c r="D242" s="12">
        <v>1</v>
      </c>
      <c r="E242" s="12">
        <v>2</v>
      </c>
      <c r="F242" s="12">
        <v>1</v>
      </c>
      <c r="G242" s="13">
        <v>231</v>
      </c>
      <c r="H242" s="13">
        <v>1</v>
      </c>
      <c r="I242" s="13">
        <v>10.5</v>
      </c>
      <c r="J242" s="14">
        <v>15</v>
      </c>
    </row>
    <row r="243" spans="1:24" ht="16.5" x14ac:dyDescent="0.25">
      <c r="A243" s="15">
        <f t="shared" si="3"/>
        <v>242</v>
      </c>
      <c r="B243" s="37">
        <v>43200</v>
      </c>
      <c r="C243" s="12">
        <v>1</v>
      </c>
      <c r="D243" s="12">
        <v>1</v>
      </c>
      <c r="E243" s="12">
        <v>2</v>
      </c>
      <c r="F243" s="12">
        <v>1</v>
      </c>
      <c r="G243" s="13">
        <v>162</v>
      </c>
      <c r="H243" s="13">
        <v>1</v>
      </c>
      <c r="I243" s="13">
        <v>10.5</v>
      </c>
      <c r="J243" s="14">
        <v>8</v>
      </c>
    </row>
    <row r="244" spans="1:24" ht="16.5" x14ac:dyDescent="0.25">
      <c r="A244" s="15">
        <f t="shared" si="3"/>
        <v>243</v>
      </c>
      <c r="B244" s="37">
        <v>43201</v>
      </c>
      <c r="C244" s="12">
        <v>1</v>
      </c>
      <c r="D244" s="12">
        <v>1</v>
      </c>
      <c r="E244" s="12">
        <v>2</v>
      </c>
      <c r="F244" s="12">
        <v>1</v>
      </c>
      <c r="G244" s="13">
        <v>215</v>
      </c>
      <c r="H244" s="13">
        <v>1</v>
      </c>
      <c r="I244" s="13">
        <v>10.5</v>
      </c>
      <c r="J244" s="14">
        <v>3</v>
      </c>
    </row>
    <row r="245" spans="1:24" ht="16.5" x14ac:dyDescent="0.25">
      <c r="A245" s="15">
        <f t="shared" si="3"/>
        <v>244</v>
      </c>
      <c r="B245" s="37">
        <v>43202</v>
      </c>
      <c r="C245" s="12">
        <v>1</v>
      </c>
      <c r="D245" s="12">
        <v>1</v>
      </c>
      <c r="E245" s="12">
        <v>2</v>
      </c>
      <c r="F245" s="12">
        <v>1</v>
      </c>
      <c r="G245" s="13">
        <v>116</v>
      </c>
      <c r="H245" s="13">
        <v>1</v>
      </c>
      <c r="I245" s="13">
        <v>10.5</v>
      </c>
      <c r="J245" s="14">
        <v>7</v>
      </c>
    </row>
    <row r="246" spans="1:24" ht="16.5" x14ac:dyDescent="0.25">
      <c r="A246" s="15">
        <f t="shared" si="3"/>
        <v>245</v>
      </c>
      <c r="B246" s="37">
        <v>43203</v>
      </c>
      <c r="C246" s="12">
        <v>1</v>
      </c>
      <c r="D246" s="12">
        <v>1</v>
      </c>
      <c r="E246" s="12">
        <v>2</v>
      </c>
      <c r="F246" s="12">
        <v>1</v>
      </c>
      <c r="G246" s="13">
        <v>162</v>
      </c>
      <c r="H246" s="13">
        <v>1</v>
      </c>
      <c r="I246" s="13">
        <v>10.5</v>
      </c>
      <c r="J246" s="14">
        <v>3</v>
      </c>
    </row>
    <row r="247" spans="1:24" ht="16.5" x14ac:dyDescent="0.25">
      <c r="A247" s="15">
        <f t="shared" si="3"/>
        <v>246</v>
      </c>
      <c r="B247" s="37">
        <v>43205</v>
      </c>
      <c r="C247" s="12">
        <v>2</v>
      </c>
      <c r="D247" s="12">
        <v>1</v>
      </c>
      <c r="E247" s="12">
        <v>6</v>
      </c>
      <c r="F247" s="12">
        <v>1</v>
      </c>
      <c r="G247" s="13">
        <v>275</v>
      </c>
      <c r="H247" s="13">
        <v>0</v>
      </c>
      <c r="I247" s="13">
        <v>0</v>
      </c>
      <c r="J247" s="14">
        <v>0</v>
      </c>
    </row>
    <row r="248" spans="1:24" ht="16.5" x14ac:dyDescent="0.25">
      <c r="A248" s="15">
        <f t="shared" si="3"/>
        <v>247</v>
      </c>
      <c r="B248" s="37">
        <v>43206</v>
      </c>
      <c r="C248" s="12">
        <v>1</v>
      </c>
      <c r="D248" s="12">
        <v>1</v>
      </c>
      <c r="E248" s="12">
        <v>2</v>
      </c>
      <c r="F248" s="12">
        <v>1</v>
      </c>
      <c r="G248" s="13">
        <v>157</v>
      </c>
      <c r="H248" s="13">
        <v>1</v>
      </c>
      <c r="I248" s="13">
        <v>10.5</v>
      </c>
      <c r="J248" s="14">
        <v>10</v>
      </c>
    </row>
    <row r="249" spans="1:24" ht="16.5" x14ac:dyDescent="0.25">
      <c r="A249" s="15">
        <f t="shared" si="3"/>
        <v>248</v>
      </c>
      <c r="B249" s="37">
        <v>43206</v>
      </c>
      <c r="C249" s="12">
        <v>1</v>
      </c>
      <c r="D249" s="12">
        <v>1</v>
      </c>
      <c r="E249" s="12">
        <v>2</v>
      </c>
      <c r="F249" s="12">
        <v>1</v>
      </c>
      <c r="G249" s="13">
        <v>19.5</v>
      </c>
      <c r="H249" s="13">
        <v>0.98</v>
      </c>
      <c r="I249" s="13">
        <v>10.5</v>
      </c>
      <c r="J249" s="14">
        <v>0</v>
      </c>
    </row>
    <row r="250" spans="1:24" ht="16.5" x14ac:dyDescent="0.25">
      <c r="A250" s="15">
        <f t="shared" si="3"/>
        <v>249</v>
      </c>
      <c r="B250" s="37">
        <v>43207</v>
      </c>
      <c r="C250" s="12">
        <v>1</v>
      </c>
      <c r="D250" s="12">
        <v>1</v>
      </c>
      <c r="E250" s="12">
        <v>2</v>
      </c>
      <c r="F250" s="12">
        <v>1</v>
      </c>
      <c r="G250" s="13">
        <v>202</v>
      </c>
      <c r="H250" s="13">
        <v>1</v>
      </c>
      <c r="I250" s="13">
        <v>11.5</v>
      </c>
      <c r="J250" s="14">
        <v>5</v>
      </c>
    </row>
    <row r="251" spans="1:24" ht="16.5" x14ac:dyDescent="0.25">
      <c r="A251" s="15">
        <f t="shared" si="3"/>
        <v>250</v>
      </c>
      <c r="B251" s="37">
        <v>43208</v>
      </c>
      <c r="C251" s="12">
        <v>1</v>
      </c>
      <c r="D251" s="12">
        <v>1</v>
      </c>
      <c r="E251" s="12">
        <v>2</v>
      </c>
      <c r="F251" s="12">
        <v>1</v>
      </c>
      <c r="G251" s="13">
        <v>123</v>
      </c>
      <c r="H251" s="13">
        <v>1</v>
      </c>
      <c r="I251" s="13">
        <v>11.5</v>
      </c>
      <c r="J251" s="14">
        <v>3</v>
      </c>
    </row>
    <row r="252" spans="1:24" ht="16.5" x14ac:dyDescent="0.25">
      <c r="A252" s="15">
        <f t="shared" si="3"/>
        <v>251</v>
      </c>
      <c r="B252" s="37">
        <v>43208</v>
      </c>
      <c r="C252" s="12">
        <v>1</v>
      </c>
      <c r="D252" s="12">
        <v>2</v>
      </c>
      <c r="E252" s="12">
        <v>2</v>
      </c>
      <c r="F252" s="12">
        <v>1</v>
      </c>
      <c r="G252" s="13">
        <v>2</v>
      </c>
      <c r="H252" s="13">
        <v>1</v>
      </c>
      <c r="I252" s="13">
        <v>11.5</v>
      </c>
      <c r="J252" s="14">
        <v>0</v>
      </c>
    </row>
    <row r="253" spans="1:24" ht="16.5" x14ac:dyDescent="0.25">
      <c r="A253" s="15">
        <f t="shared" si="3"/>
        <v>252</v>
      </c>
      <c r="B253" s="37">
        <v>43208</v>
      </c>
      <c r="C253" s="12">
        <v>1</v>
      </c>
      <c r="D253" s="12">
        <v>2</v>
      </c>
      <c r="E253" s="12">
        <v>2</v>
      </c>
      <c r="F253" s="12">
        <v>1</v>
      </c>
      <c r="G253" s="13">
        <v>19.5</v>
      </c>
      <c r="H253" s="13">
        <v>0.98</v>
      </c>
      <c r="I253" s="13">
        <v>11.5</v>
      </c>
      <c r="J253" s="14">
        <v>0</v>
      </c>
    </row>
    <row r="254" spans="1:24" x14ac:dyDescent="0.25">
      <c r="A254" s="23"/>
      <c r="B254" s="23"/>
      <c r="C254" s="23"/>
      <c r="D254" s="23"/>
      <c r="E254" s="23"/>
      <c r="F254" s="23"/>
      <c r="G254" s="23"/>
      <c r="H254" s="23"/>
      <c r="I254" s="23"/>
      <c r="J254" s="23"/>
    </row>
    <row r="255" spans="1:24" x14ac:dyDescent="0.25">
      <c r="A255" s="3"/>
      <c r="B255" s="23"/>
      <c r="C255" s="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5"/>
      <c r="V255" s="24"/>
      <c r="W255" s="23"/>
      <c r="X255" s="23"/>
    </row>
    <row r="256" spans="1:24" x14ac:dyDescent="0.25">
      <c r="A256" s="23"/>
      <c r="B256" s="23"/>
      <c r="C256" s="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5"/>
      <c r="V256" s="27"/>
      <c r="W256" s="23"/>
      <c r="X256" s="23"/>
    </row>
    <row r="257" spans="9:24" x14ac:dyDescent="0.25">
      <c r="K257" s="23"/>
      <c r="L257" s="23"/>
      <c r="M257" s="23"/>
      <c r="N257" s="23"/>
      <c r="O257" s="23"/>
      <c r="P257" s="23"/>
      <c r="Q257" s="23"/>
      <c r="R257" s="23"/>
      <c r="S257" s="23"/>
      <c r="T257" s="25"/>
      <c r="U257" s="25"/>
      <c r="V257" s="25"/>
      <c r="W257" s="23"/>
      <c r="X257" s="23"/>
    </row>
    <row r="258" spans="9:24" x14ac:dyDescent="0.25">
      <c r="I258" s="36"/>
      <c r="T258" s="25"/>
      <c r="U258" s="25"/>
      <c r="V258" s="25"/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D10FA-7369-48D9-BD16-16C52E2B5DB5}">
  <sheetPr codeName="shPedidos"/>
  <dimension ref="A1:P24"/>
  <sheetViews>
    <sheetView showGridLines="0" zoomScale="90" zoomScaleNormal="90" workbookViewId="0"/>
  </sheetViews>
  <sheetFormatPr defaultColWidth="9.140625" defaultRowHeight="15" x14ac:dyDescent="0.25"/>
  <cols>
    <col min="1" max="1" width="17.28515625" style="2" bestFit="1" customWidth="1"/>
    <col min="2" max="2" width="12.85546875" style="2" bestFit="1" customWidth="1"/>
    <col min="3" max="3" width="14.42578125" style="2" bestFit="1" customWidth="1"/>
    <col min="4" max="5" width="16" style="2" bestFit="1" customWidth="1"/>
    <col min="6" max="6" width="16.140625" style="2" bestFit="1" customWidth="1"/>
    <col min="7" max="7" width="11.5703125" style="2" bestFit="1" customWidth="1"/>
    <col min="8" max="8" width="10.5703125" style="2" bestFit="1" customWidth="1"/>
    <col min="9" max="9" width="18.140625" style="2" bestFit="1" customWidth="1"/>
    <col min="10" max="10" width="23" style="2" bestFit="1" customWidth="1"/>
    <col min="11" max="11" width="19.140625" style="2" bestFit="1" customWidth="1"/>
    <col min="12" max="12" width="17.140625" style="2" bestFit="1" customWidth="1"/>
    <col min="13" max="13" width="22.5703125" style="2" bestFit="1" customWidth="1"/>
    <col min="14" max="14" width="13.140625" style="2" bestFit="1" customWidth="1"/>
    <col min="15" max="15" width="11.140625" style="2" bestFit="1" customWidth="1"/>
    <col min="16" max="16" width="11.7109375" style="2" bestFit="1" customWidth="1"/>
    <col min="17" max="17" width="13.28515625" style="2" bestFit="1" customWidth="1"/>
    <col min="18" max="18" width="11.28515625" style="2" bestFit="1" customWidth="1"/>
    <col min="19" max="19" width="12.140625" style="2" bestFit="1" customWidth="1"/>
    <col min="20" max="21" width="13.28515625" style="2" bestFit="1" customWidth="1"/>
    <col min="22" max="16384" width="9.140625" style="2"/>
  </cols>
  <sheetData>
    <row r="1" spans="1:5" ht="16.5" thickBot="1" x14ac:dyDescent="0.3">
      <c r="A1" s="17" t="s">
        <v>8</v>
      </c>
      <c r="B1" s="17" t="s">
        <v>23</v>
      </c>
      <c r="C1" s="17" t="s">
        <v>24</v>
      </c>
      <c r="D1" s="17" t="s">
        <v>25</v>
      </c>
      <c r="E1" s="17" t="s">
        <v>26</v>
      </c>
    </row>
    <row r="2" spans="1:5" x14ac:dyDescent="0.25">
      <c r="A2" s="19">
        <f t="shared" ref="A2:A16" si="0">ROW() - 1</f>
        <v>1</v>
      </c>
      <c r="B2" s="18">
        <v>42926</v>
      </c>
      <c r="C2" s="20">
        <v>30</v>
      </c>
      <c r="D2" s="21">
        <v>10.5</v>
      </c>
      <c r="E2" s="19" t="s">
        <v>27</v>
      </c>
    </row>
    <row r="3" spans="1:5" x14ac:dyDescent="0.25">
      <c r="A3" s="19">
        <f t="shared" si="0"/>
        <v>2</v>
      </c>
      <c r="B3" s="18">
        <v>42947</v>
      </c>
      <c r="C3" s="20">
        <v>30</v>
      </c>
      <c r="D3" s="21">
        <v>10.5</v>
      </c>
      <c r="E3" s="19" t="s">
        <v>27</v>
      </c>
    </row>
    <row r="4" spans="1:5" x14ac:dyDescent="0.25">
      <c r="A4" s="19">
        <f t="shared" si="0"/>
        <v>3</v>
      </c>
      <c r="B4" s="18">
        <v>42957</v>
      </c>
      <c r="C4" s="20">
        <v>40</v>
      </c>
      <c r="D4" s="21">
        <v>10.5</v>
      </c>
      <c r="E4" s="19" t="s">
        <v>27</v>
      </c>
    </row>
    <row r="5" spans="1:5" x14ac:dyDescent="0.25">
      <c r="A5" s="19">
        <f t="shared" si="0"/>
        <v>4</v>
      </c>
      <c r="B5" s="18">
        <v>42971</v>
      </c>
      <c r="C5" s="20">
        <v>30</v>
      </c>
      <c r="D5" s="21">
        <v>10.5</v>
      </c>
      <c r="E5" s="19" t="s">
        <v>27</v>
      </c>
    </row>
    <row r="6" spans="1:5" x14ac:dyDescent="0.25">
      <c r="A6" s="19">
        <f t="shared" si="0"/>
        <v>5</v>
      </c>
      <c r="B6" s="18">
        <v>42983</v>
      </c>
      <c r="C6" s="20">
        <v>10</v>
      </c>
      <c r="D6" s="21">
        <v>8</v>
      </c>
      <c r="E6" s="19" t="s">
        <v>27</v>
      </c>
    </row>
    <row r="7" spans="1:5" x14ac:dyDescent="0.25">
      <c r="A7" s="19">
        <f t="shared" si="0"/>
        <v>6</v>
      </c>
      <c r="B7" s="18">
        <v>42990</v>
      </c>
      <c r="C7" s="20">
        <v>40</v>
      </c>
      <c r="D7" s="21">
        <v>10.5</v>
      </c>
      <c r="E7" s="19" t="s">
        <v>27</v>
      </c>
    </row>
    <row r="8" spans="1:5" x14ac:dyDescent="0.25">
      <c r="A8" s="19">
        <f t="shared" si="0"/>
        <v>7</v>
      </c>
      <c r="B8" s="18">
        <v>43012</v>
      </c>
      <c r="C8" s="20">
        <v>30</v>
      </c>
      <c r="D8" s="21">
        <v>9.5</v>
      </c>
      <c r="E8" s="19" t="s">
        <v>27</v>
      </c>
    </row>
    <row r="9" spans="1:5" x14ac:dyDescent="0.25">
      <c r="A9" s="19">
        <f t="shared" si="0"/>
        <v>8</v>
      </c>
      <c r="B9" s="18">
        <v>43031</v>
      </c>
      <c r="C9" s="20">
        <v>7.3570000000000002</v>
      </c>
      <c r="D9" s="21">
        <v>10.5</v>
      </c>
      <c r="E9" s="19" t="s">
        <v>27</v>
      </c>
    </row>
    <row r="10" spans="1:5" x14ac:dyDescent="0.25">
      <c r="A10" s="19">
        <f t="shared" si="0"/>
        <v>9</v>
      </c>
      <c r="B10" s="18">
        <v>43033</v>
      </c>
      <c r="C10" s="20">
        <v>10</v>
      </c>
      <c r="D10" s="21">
        <v>9.5</v>
      </c>
      <c r="E10" s="19" t="s">
        <v>27</v>
      </c>
    </row>
    <row r="11" spans="1:5" x14ac:dyDescent="0.25">
      <c r="A11" s="19">
        <f t="shared" si="0"/>
        <v>10</v>
      </c>
      <c r="B11" s="18">
        <v>43039</v>
      </c>
      <c r="C11" s="20">
        <v>9</v>
      </c>
      <c r="D11" s="21">
        <v>9.5</v>
      </c>
      <c r="E11" s="19" t="s">
        <v>27</v>
      </c>
    </row>
    <row r="12" spans="1:5" x14ac:dyDescent="0.25">
      <c r="A12" s="19">
        <f t="shared" si="0"/>
        <v>11</v>
      </c>
      <c r="B12" s="18">
        <v>43046</v>
      </c>
      <c r="C12" s="20">
        <v>10</v>
      </c>
      <c r="D12" s="21">
        <v>9.5</v>
      </c>
      <c r="E12" s="19" t="s">
        <v>27</v>
      </c>
    </row>
    <row r="13" spans="1:5" x14ac:dyDescent="0.25">
      <c r="A13" s="19">
        <f t="shared" si="0"/>
        <v>12</v>
      </c>
      <c r="B13" s="18">
        <v>43052</v>
      </c>
      <c r="C13" s="20">
        <v>29</v>
      </c>
      <c r="D13" s="21">
        <v>9.5</v>
      </c>
      <c r="E13" s="19" t="s">
        <v>27</v>
      </c>
    </row>
    <row r="14" spans="1:5" x14ac:dyDescent="0.25">
      <c r="A14" s="19">
        <f t="shared" si="0"/>
        <v>13</v>
      </c>
      <c r="B14" s="18">
        <v>43153</v>
      </c>
      <c r="C14" s="20">
        <v>70</v>
      </c>
      <c r="D14" s="21">
        <v>10.5</v>
      </c>
      <c r="E14" s="18" t="s">
        <v>27</v>
      </c>
    </row>
    <row r="15" spans="1:5" x14ac:dyDescent="0.25">
      <c r="A15" s="30">
        <f t="shared" si="0"/>
        <v>14</v>
      </c>
      <c r="B15" s="18">
        <v>43171</v>
      </c>
      <c r="C15" s="28">
        <v>60</v>
      </c>
      <c r="D15" s="29">
        <v>10.5</v>
      </c>
      <c r="E15" s="22" t="s">
        <v>27</v>
      </c>
    </row>
    <row r="16" spans="1:5" x14ac:dyDescent="0.25">
      <c r="A16" s="30">
        <f t="shared" si="0"/>
        <v>15</v>
      </c>
      <c r="B16" s="18">
        <v>43181</v>
      </c>
      <c r="C16" s="28">
        <v>60</v>
      </c>
      <c r="D16" s="29">
        <v>10.5</v>
      </c>
      <c r="E16" s="22" t="s">
        <v>27</v>
      </c>
    </row>
    <row r="17" spans="1:16" x14ac:dyDescent="0.25">
      <c r="A17" s="35">
        <f>ROW() - 1</f>
        <v>16</v>
      </c>
      <c r="B17" s="18">
        <v>43195</v>
      </c>
      <c r="C17" s="33">
        <v>72</v>
      </c>
      <c r="D17" s="34">
        <v>10.5</v>
      </c>
      <c r="E17" s="22" t="s">
        <v>27</v>
      </c>
    </row>
    <row r="18" spans="1:16" x14ac:dyDescent="0.25">
      <c r="A18" s="35">
        <f>ROW() - 1</f>
        <v>17</v>
      </c>
      <c r="B18" s="18">
        <v>43207</v>
      </c>
      <c r="C18" s="33">
        <v>68</v>
      </c>
      <c r="D18" s="34">
        <v>11.5</v>
      </c>
      <c r="E18" s="22" t="s">
        <v>28</v>
      </c>
    </row>
    <row r="19" spans="1:16" x14ac:dyDescent="0.25">
      <c r="A19" s="23"/>
      <c r="B19" s="23"/>
      <c r="C19" s="23"/>
      <c r="D19" s="23"/>
      <c r="E19" s="23"/>
      <c r="F19" s="23"/>
      <c r="G19" s="31"/>
    </row>
    <row r="20" spans="1:16" x14ac:dyDescent="0.25">
      <c r="H20" s="23"/>
      <c r="I20" s="23"/>
      <c r="J20" s="23"/>
      <c r="K20" s="23"/>
      <c r="L20" s="23"/>
      <c r="M20" s="23"/>
      <c r="N20" s="23"/>
      <c r="O20" s="32"/>
      <c r="P20" s="25"/>
    </row>
    <row r="23" spans="1:16" x14ac:dyDescent="0.25">
      <c r="A23" s="23"/>
      <c r="B23" s="23"/>
      <c r="C23" s="23"/>
      <c r="D23" s="23"/>
      <c r="E23" s="23"/>
      <c r="F23" s="23"/>
      <c r="G23" s="23"/>
    </row>
    <row r="24" spans="1:16" x14ac:dyDescent="0.25">
      <c r="H24" s="23"/>
      <c r="I24" s="23"/>
      <c r="J24" s="23"/>
      <c r="K24" s="23"/>
      <c r="L24" s="23"/>
      <c r="M24" s="23"/>
      <c r="N24" s="23"/>
      <c r="O24" s="32"/>
      <c r="P24" s="23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503AB-3897-4AF1-9466-B241402E8731}">
  <sheetPr codeName="sCartoes">
    <tabColor theme="3" tint="-0.499984740745262"/>
  </sheetPr>
  <dimension ref="A1:E59"/>
  <sheetViews>
    <sheetView showGridLines="0" workbookViewId="0">
      <selection activeCell="D9" sqref="D9"/>
    </sheetView>
  </sheetViews>
  <sheetFormatPr defaultRowHeight="15" x14ac:dyDescent="0.25"/>
  <cols>
    <col min="1" max="1" width="10.7109375" bestFit="1" customWidth="1"/>
    <col min="2" max="2" width="14.28515625" bestFit="1" customWidth="1"/>
    <col min="3" max="3" width="20" bestFit="1" customWidth="1"/>
    <col min="4" max="4" width="10.140625" bestFit="1" customWidth="1"/>
    <col min="5" max="5" width="10.7109375" bestFit="1" customWidth="1"/>
  </cols>
  <sheetData>
    <row r="1" spans="1:5" ht="15.75" thickBot="1" x14ac:dyDescent="0.3">
      <c r="A1" s="16" t="s">
        <v>29</v>
      </c>
      <c r="B1" s="16" t="s">
        <v>30</v>
      </c>
      <c r="C1" s="16" t="s">
        <v>31</v>
      </c>
      <c r="D1" s="16" t="s">
        <v>32</v>
      </c>
      <c r="E1" s="16" t="s">
        <v>33</v>
      </c>
    </row>
    <row r="2" spans="1:5" x14ac:dyDescent="0.25">
      <c r="A2" s="4">
        <v>42856</v>
      </c>
      <c r="B2" s="5" t="s">
        <v>34</v>
      </c>
      <c r="C2" s="5" t="s">
        <v>35</v>
      </c>
      <c r="D2" s="6">
        <v>307.45999999999998</v>
      </c>
      <c r="E2" s="7" t="s">
        <v>27</v>
      </c>
    </row>
    <row r="3" spans="1:5" x14ac:dyDescent="0.25">
      <c r="A3" s="8">
        <v>42856</v>
      </c>
      <c r="B3" s="9" t="s">
        <v>36</v>
      </c>
      <c r="C3" s="9" t="s">
        <v>35</v>
      </c>
      <c r="D3" s="10">
        <v>150.53</v>
      </c>
      <c r="E3" s="11" t="s">
        <v>27</v>
      </c>
    </row>
    <row r="4" spans="1:5" x14ac:dyDescent="0.25">
      <c r="A4" s="4">
        <v>42856</v>
      </c>
      <c r="B4" s="5" t="s">
        <v>37</v>
      </c>
      <c r="C4" s="5" t="s">
        <v>35</v>
      </c>
      <c r="D4" s="6">
        <v>113.07</v>
      </c>
      <c r="E4" s="7" t="s">
        <v>27</v>
      </c>
    </row>
    <row r="5" spans="1:5" x14ac:dyDescent="0.25">
      <c r="A5" s="8">
        <v>42860</v>
      </c>
      <c r="B5" s="9" t="s">
        <v>38</v>
      </c>
      <c r="C5" s="9" t="s">
        <v>35</v>
      </c>
      <c r="D5" s="10">
        <v>67.83</v>
      </c>
      <c r="E5" s="11" t="s">
        <v>27</v>
      </c>
    </row>
    <row r="6" spans="1:5" x14ac:dyDescent="0.25">
      <c r="A6" s="4">
        <v>42887</v>
      </c>
      <c r="B6" s="5" t="s">
        <v>34</v>
      </c>
      <c r="C6" s="5" t="s">
        <v>35</v>
      </c>
      <c r="D6" s="6">
        <v>344.42</v>
      </c>
      <c r="E6" s="7" t="s">
        <v>27</v>
      </c>
    </row>
    <row r="7" spans="1:5" x14ac:dyDescent="0.25">
      <c r="A7" s="8">
        <v>42887</v>
      </c>
      <c r="B7" s="9" t="s">
        <v>36</v>
      </c>
      <c r="C7" s="9" t="s">
        <v>35</v>
      </c>
      <c r="D7" s="10">
        <v>172.47</v>
      </c>
      <c r="E7" s="11" t="s">
        <v>27</v>
      </c>
    </row>
    <row r="8" spans="1:5" x14ac:dyDescent="0.25">
      <c r="A8" s="4">
        <v>42887</v>
      </c>
      <c r="B8" s="5" t="s">
        <v>37</v>
      </c>
      <c r="C8" s="5" t="s">
        <v>35</v>
      </c>
      <c r="D8" s="6">
        <v>108.18</v>
      </c>
      <c r="E8" s="7" t="s">
        <v>27</v>
      </c>
    </row>
    <row r="9" spans="1:5" x14ac:dyDescent="0.25">
      <c r="A9" s="8">
        <v>42891</v>
      </c>
      <c r="B9" s="9" t="s">
        <v>38</v>
      </c>
      <c r="C9" s="9" t="s">
        <v>35</v>
      </c>
      <c r="D9" s="10">
        <v>47.86</v>
      </c>
      <c r="E9" s="11" t="s">
        <v>27</v>
      </c>
    </row>
    <row r="10" spans="1:5" x14ac:dyDescent="0.25">
      <c r="A10" s="4">
        <v>42917</v>
      </c>
      <c r="B10" s="5" t="s">
        <v>34</v>
      </c>
      <c r="C10" s="5" t="s">
        <v>35</v>
      </c>
      <c r="D10" s="6">
        <v>597.23</v>
      </c>
      <c r="E10" s="7" t="s">
        <v>27</v>
      </c>
    </row>
    <row r="11" spans="1:5" x14ac:dyDescent="0.25">
      <c r="A11" s="8">
        <v>42917</v>
      </c>
      <c r="B11" s="9" t="s">
        <v>37</v>
      </c>
      <c r="C11" s="9" t="s">
        <v>35</v>
      </c>
      <c r="D11" s="10">
        <v>126.81</v>
      </c>
      <c r="E11" s="11" t="s">
        <v>27</v>
      </c>
    </row>
    <row r="12" spans="1:5" x14ac:dyDescent="0.25">
      <c r="A12" s="4">
        <v>42917</v>
      </c>
      <c r="B12" s="5" t="s">
        <v>36</v>
      </c>
      <c r="C12" s="5" t="s">
        <v>35</v>
      </c>
      <c r="D12" s="6">
        <v>111.4</v>
      </c>
      <c r="E12" s="7" t="s">
        <v>27</v>
      </c>
    </row>
    <row r="13" spans="1:5" x14ac:dyDescent="0.25">
      <c r="A13" s="8">
        <v>42921</v>
      </c>
      <c r="B13" s="9" t="s">
        <v>38</v>
      </c>
      <c r="C13" s="9" t="s">
        <v>35</v>
      </c>
      <c r="D13" s="10">
        <v>49.18</v>
      </c>
      <c r="E13" s="11" t="s">
        <v>27</v>
      </c>
    </row>
    <row r="14" spans="1:5" x14ac:dyDescent="0.25">
      <c r="A14" s="4">
        <v>42927</v>
      </c>
      <c r="B14" s="5" t="s">
        <v>39</v>
      </c>
      <c r="C14" s="5" t="s">
        <v>35</v>
      </c>
      <c r="D14" s="6">
        <v>89.43</v>
      </c>
      <c r="E14" s="7" t="s">
        <v>27</v>
      </c>
    </row>
    <row r="15" spans="1:5" x14ac:dyDescent="0.25">
      <c r="A15" s="8">
        <v>42948</v>
      </c>
      <c r="B15" s="9" t="s">
        <v>34</v>
      </c>
      <c r="C15" s="9" t="s">
        <v>35</v>
      </c>
      <c r="D15" s="10">
        <v>566.47</v>
      </c>
      <c r="E15" s="11" t="s">
        <v>27</v>
      </c>
    </row>
    <row r="16" spans="1:5" x14ac:dyDescent="0.25">
      <c r="A16" s="4">
        <v>42948</v>
      </c>
      <c r="B16" s="5" t="s">
        <v>37</v>
      </c>
      <c r="C16" s="5" t="s">
        <v>35</v>
      </c>
      <c r="D16" s="6">
        <v>157.93</v>
      </c>
      <c r="E16" s="7" t="s">
        <v>27</v>
      </c>
    </row>
    <row r="17" spans="1:5" x14ac:dyDescent="0.25">
      <c r="A17" s="8">
        <v>42948</v>
      </c>
      <c r="B17" s="9" t="s">
        <v>36</v>
      </c>
      <c r="C17" s="9" t="s">
        <v>35</v>
      </c>
      <c r="D17" s="10">
        <v>128.77000000000001</v>
      </c>
      <c r="E17" s="11" t="s">
        <v>27</v>
      </c>
    </row>
    <row r="18" spans="1:5" x14ac:dyDescent="0.25">
      <c r="A18" s="4">
        <v>42952</v>
      </c>
      <c r="B18" s="5" t="s">
        <v>38</v>
      </c>
      <c r="C18" s="5" t="s">
        <v>35</v>
      </c>
      <c r="D18" s="6">
        <v>47.86</v>
      </c>
      <c r="E18" s="7" t="s">
        <v>27</v>
      </c>
    </row>
    <row r="19" spans="1:5" x14ac:dyDescent="0.25">
      <c r="A19" s="8">
        <v>42958</v>
      </c>
      <c r="B19" s="9" t="s">
        <v>39</v>
      </c>
      <c r="C19" s="9" t="s">
        <v>35</v>
      </c>
      <c r="D19" s="10">
        <v>149.71</v>
      </c>
      <c r="E19" s="11" t="s">
        <v>27</v>
      </c>
    </row>
    <row r="20" spans="1:5" x14ac:dyDescent="0.25">
      <c r="A20" s="4">
        <v>42979</v>
      </c>
      <c r="B20" s="5" t="s">
        <v>34</v>
      </c>
      <c r="C20" s="5" t="s">
        <v>35</v>
      </c>
      <c r="D20" s="6">
        <v>678.1</v>
      </c>
      <c r="E20" s="7" t="s">
        <v>27</v>
      </c>
    </row>
    <row r="21" spans="1:5" x14ac:dyDescent="0.25">
      <c r="A21" s="8">
        <v>42979</v>
      </c>
      <c r="B21" s="9" t="s">
        <v>36</v>
      </c>
      <c r="C21" s="9" t="s">
        <v>35</v>
      </c>
      <c r="D21" s="10">
        <v>190.8</v>
      </c>
      <c r="E21" s="11" t="s">
        <v>27</v>
      </c>
    </row>
    <row r="22" spans="1:5" x14ac:dyDescent="0.25">
      <c r="A22" s="4">
        <v>42979</v>
      </c>
      <c r="B22" s="5" t="s">
        <v>37</v>
      </c>
      <c r="C22" s="5" t="s">
        <v>35</v>
      </c>
      <c r="D22" s="6">
        <v>188</v>
      </c>
      <c r="E22" s="7" t="s">
        <v>27</v>
      </c>
    </row>
    <row r="23" spans="1:5" x14ac:dyDescent="0.25">
      <c r="A23" s="8">
        <v>42983</v>
      </c>
      <c r="B23" s="9" t="s">
        <v>38</v>
      </c>
      <c r="C23" s="9" t="s">
        <v>35</v>
      </c>
      <c r="D23" s="10">
        <v>47.86</v>
      </c>
      <c r="E23" s="11" t="s">
        <v>27</v>
      </c>
    </row>
    <row r="24" spans="1:5" x14ac:dyDescent="0.25">
      <c r="A24" s="4">
        <v>42989</v>
      </c>
      <c r="B24" s="5" t="s">
        <v>39</v>
      </c>
      <c r="C24" s="5" t="s">
        <v>35</v>
      </c>
      <c r="D24" s="6">
        <v>203.56</v>
      </c>
      <c r="E24" s="7" t="s">
        <v>27</v>
      </c>
    </row>
    <row r="25" spans="1:5" x14ac:dyDescent="0.25">
      <c r="A25" s="8">
        <v>43009</v>
      </c>
      <c r="B25" s="9" t="s">
        <v>34</v>
      </c>
      <c r="C25" s="9" t="s">
        <v>35</v>
      </c>
      <c r="D25" s="10">
        <v>540.13</v>
      </c>
      <c r="E25" s="11" t="s">
        <v>28</v>
      </c>
    </row>
    <row r="26" spans="1:5" x14ac:dyDescent="0.25">
      <c r="A26" s="4">
        <v>43009</v>
      </c>
      <c r="B26" s="5" t="s">
        <v>36</v>
      </c>
      <c r="C26" s="5" t="s">
        <v>35</v>
      </c>
      <c r="D26" s="6">
        <v>203.81</v>
      </c>
      <c r="E26" s="7" t="s">
        <v>27</v>
      </c>
    </row>
    <row r="27" spans="1:5" x14ac:dyDescent="0.25">
      <c r="A27" s="8">
        <v>43009</v>
      </c>
      <c r="B27" s="9" t="s">
        <v>37</v>
      </c>
      <c r="C27" s="9" t="s">
        <v>35</v>
      </c>
      <c r="D27" s="10">
        <v>79.650000000000006</v>
      </c>
      <c r="E27" s="11" t="s">
        <v>27</v>
      </c>
    </row>
    <row r="28" spans="1:5" x14ac:dyDescent="0.25">
      <c r="A28" s="4">
        <v>43013</v>
      </c>
      <c r="B28" s="5" t="s">
        <v>38</v>
      </c>
      <c r="C28" s="5" t="s">
        <v>35</v>
      </c>
      <c r="D28" s="6">
        <v>47.86</v>
      </c>
      <c r="E28" s="7" t="s">
        <v>27</v>
      </c>
    </row>
    <row r="29" spans="1:5" x14ac:dyDescent="0.25">
      <c r="A29" s="8">
        <v>43019</v>
      </c>
      <c r="B29" s="9" t="s">
        <v>39</v>
      </c>
      <c r="C29" s="9" t="s">
        <v>35</v>
      </c>
      <c r="D29" s="10">
        <v>236.76</v>
      </c>
      <c r="E29" s="11" t="s">
        <v>28</v>
      </c>
    </row>
    <row r="30" spans="1:5" x14ac:dyDescent="0.25">
      <c r="A30" s="4">
        <v>43040</v>
      </c>
      <c r="B30" s="5" t="s">
        <v>34</v>
      </c>
      <c r="C30" s="5" t="s">
        <v>35</v>
      </c>
      <c r="D30" s="6">
        <v>339.93</v>
      </c>
      <c r="E30" s="7" t="s">
        <v>28</v>
      </c>
    </row>
    <row r="31" spans="1:5" x14ac:dyDescent="0.25">
      <c r="A31" s="8">
        <v>43040</v>
      </c>
      <c r="B31" s="9" t="s">
        <v>36</v>
      </c>
      <c r="C31" s="9" t="s">
        <v>35</v>
      </c>
      <c r="D31" s="10">
        <v>154</v>
      </c>
      <c r="E31" s="11" t="s">
        <v>28</v>
      </c>
    </row>
    <row r="32" spans="1:5" x14ac:dyDescent="0.25">
      <c r="A32" s="4">
        <v>43040</v>
      </c>
      <c r="B32" s="5" t="s">
        <v>37</v>
      </c>
      <c r="C32" s="5" t="s">
        <v>35</v>
      </c>
      <c r="D32" s="6">
        <v>278.39999999999998</v>
      </c>
      <c r="E32" s="7" t="s">
        <v>28</v>
      </c>
    </row>
    <row r="33" spans="1:5" x14ac:dyDescent="0.25">
      <c r="A33" s="8">
        <v>43044</v>
      </c>
      <c r="B33" s="9" t="s">
        <v>38</v>
      </c>
      <c r="C33" s="9" t="s">
        <v>35</v>
      </c>
      <c r="D33" s="10">
        <v>47.86</v>
      </c>
      <c r="E33" s="11" t="s">
        <v>28</v>
      </c>
    </row>
    <row r="34" spans="1:5" x14ac:dyDescent="0.25">
      <c r="A34" s="4">
        <v>43050</v>
      </c>
      <c r="B34" s="5" t="s">
        <v>39</v>
      </c>
      <c r="C34" s="5" t="s">
        <v>35</v>
      </c>
      <c r="D34" s="6">
        <v>79.09</v>
      </c>
      <c r="E34" s="7" t="s">
        <v>28</v>
      </c>
    </row>
    <row r="35" spans="1:5" x14ac:dyDescent="0.25">
      <c r="A35" s="8">
        <v>43070</v>
      </c>
      <c r="B35" s="9" t="s">
        <v>34</v>
      </c>
      <c r="C35" s="9" t="s">
        <v>35</v>
      </c>
      <c r="D35" s="10">
        <v>302.99</v>
      </c>
      <c r="E35" s="11" t="s">
        <v>28</v>
      </c>
    </row>
    <row r="36" spans="1:5" x14ac:dyDescent="0.25">
      <c r="A36" s="4">
        <v>43070</v>
      </c>
      <c r="B36" s="5" t="s">
        <v>36</v>
      </c>
      <c r="C36" s="5" t="s">
        <v>35</v>
      </c>
      <c r="D36" s="6">
        <v>123.75</v>
      </c>
      <c r="E36" s="7" t="s">
        <v>28</v>
      </c>
    </row>
    <row r="37" spans="1:5" x14ac:dyDescent="0.25">
      <c r="A37" s="8">
        <v>43080</v>
      </c>
      <c r="B37" s="9" t="s">
        <v>39</v>
      </c>
      <c r="C37" s="9" t="s">
        <v>35</v>
      </c>
      <c r="D37" s="10">
        <v>36.04</v>
      </c>
      <c r="E37" s="11" t="s">
        <v>28</v>
      </c>
    </row>
    <row r="38" spans="1:5" x14ac:dyDescent="0.25">
      <c r="A38" s="4">
        <v>43101</v>
      </c>
      <c r="B38" s="5" t="s">
        <v>34</v>
      </c>
      <c r="C38" s="5" t="s">
        <v>35</v>
      </c>
      <c r="D38" s="6">
        <v>302.99</v>
      </c>
      <c r="E38" s="7" t="s">
        <v>28</v>
      </c>
    </row>
    <row r="39" spans="1:5" x14ac:dyDescent="0.25">
      <c r="A39" s="8">
        <v>43101</v>
      </c>
      <c r="B39" s="9" t="s">
        <v>36</v>
      </c>
      <c r="C39" s="9" t="s">
        <v>35</v>
      </c>
      <c r="D39" s="10">
        <v>123.75</v>
      </c>
      <c r="E39" s="11" t="s">
        <v>28</v>
      </c>
    </row>
    <row r="40" spans="1:5" x14ac:dyDescent="0.25">
      <c r="A40" s="4">
        <v>43132</v>
      </c>
      <c r="B40" s="5" t="s">
        <v>34</v>
      </c>
      <c r="C40" s="5" t="s">
        <v>35</v>
      </c>
      <c r="D40" s="6">
        <v>57.319999999999993</v>
      </c>
      <c r="E40" s="7" t="s">
        <v>28</v>
      </c>
    </row>
    <row r="41" spans="1:5" x14ac:dyDescent="0.25">
      <c r="A41" s="8">
        <v>43132</v>
      </c>
      <c r="B41" s="9" t="s">
        <v>36</v>
      </c>
      <c r="C41" s="9" t="s">
        <v>35</v>
      </c>
      <c r="D41" s="10">
        <v>123.75</v>
      </c>
      <c r="E41" s="11" t="s">
        <v>28</v>
      </c>
    </row>
    <row r="42" spans="1:5" x14ac:dyDescent="0.25">
      <c r="A42" s="4">
        <v>43160</v>
      </c>
      <c r="B42" s="5" t="s">
        <v>34</v>
      </c>
      <c r="C42" s="5" t="s">
        <v>35</v>
      </c>
      <c r="D42" s="6">
        <v>57.319999999999993</v>
      </c>
      <c r="E42" s="7" t="s">
        <v>28</v>
      </c>
    </row>
    <row r="43" spans="1:5" x14ac:dyDescent="0.25">
      <c r="A43" s="8">
        <v>43160</v>
      </c>
      <c r="B43" s="9" t="s">
        <v>36</v>
      </c>
      <c r="C43" s="9" t="s">
        <v>35</v>
      </c>
      <c r="D43" s="10">
        <v>123.75</v>
      </c>
      <c r="E43" s="11" t="s">
        <v>28</v>
      </c>
    </row>
    <row r="44" spans="1:5" x14ac:dyDescent="0.25">
      <c r="A44" s="4">
        <v>43191</v>
      </c>
      <c r="B44" s="5" t="s">
        <v>34</v>
      </c>
      <c r="C44" s="5" t="s">
        <v>35</v>
      </c>
      <c r="D44" s="6">
        <v>57.319999999999993</v>
      </c>
      <c r="E44" s="7" t="s">
        <v>28</v>
      </c>
    </row>
    <row r="45" spans="1:5" x14ac:dyDescent="0.25">
      <c r="A45" s="8">
        <v>43191</v>
      </c>
      <c r="B45" s="9" t="s">
        <v>36</v>
      </c>
      <c r="C45" s="9" t="s">
        <v>35</v>
      </c>
      <c r="D45" s="10">
        <v>62.09</v>
      </c>
      <c r="E45" s="11" t="s">
        <v>28</v>
      </c>
    </row>
    <row r="46" spans="1:5" x14ac:dyDescent="0.25">
      <c r="A46" s="4">
        <v>43221</v>
      </c>
      <c r="B46" s="5" t="s">
        <v>36</v>
      </c>
      <c r="C46" s="5" t="s">
        <v>35</v>
      </c>
      <c r="D46" s="6">
        <v>62.09</v>
      </c>
      <c r="E46" s="7" t="s">
        <v>28</v>
      </c>
    </row>
    <row r="47" spans="1:5" x14ac:dyDescent="0.25">
      <c r="A47" s="8">
        <v>43059</v>
      </c>
      <c r="B47" s="9" t="s">
        <v>40</v>
      </c>
      <c r="C47" s="9" t="s">
        <v>35</v>
      </c>
      <c r="D47" s="10">
        <v>43.98</v>
      </c>
      <c r="E47" s="11" t="s">
        <v>28</v>
      </c>
    </row>
    <row r="48" spans="1:5" x14ac:dyDescent="0.25">
      <c r="A48" s="4">
        <v>43089</v>
      </c>
      <c r="B48" s="5" t="s">
        <v>40</v>
      </c>
      <c r="C48" s="5" t="s">
        <v>35</v>
      </c>
      <c r="D48" s="6">
        <v>43.98</v>
      </c>
      <c r="E48" s="7" t="s">
        <v>28</v>
      </c>
    </row>
    <row r="49" spans="1:5" x14ac:dyDescent="0.25">
      <c r="A49" s="8">
        <v>43120</v>
      </c>
      <c r="B49" s="9" t="s">
        <v>40</v>
      </c>
      <c r="C49" s="9" t="s">
        <v>35</v>
      </c>
      <c r="D49" s="10">
        <v>43.98</v>
      </c>
      <c r="E49" s="11" t="s">
        <v>28</v>
      </c>
    </row>
    <row r="50" spans="1:5" x14ac:dyDescent="0.25">
      <c r="A50" s="4">
        <v>43151</v>
      </c>
      <c r="B50" s="5" t="s">
        <v>40</v>
      </c>
      <c r="C50" s="5" t="s">
        <v>35</v>
      </c>
      <c r="D50" s="6">
        <v>43.98</v>
      </c>
      <c r="E50" s="7" t="s">
        <v>28</v>
      </c>
    </row>
    <row r="51" spans="1:5" x14ac:dyDescent="0.25">
      <c r="A51" s="8">
        <v>43179</v>
      </c>
      <c r="B51" s="9" t="s">
        <v>40</v>
      </c>
      <c r="C51" s="9" t="s">
        <v>35</v>
      </c>
      <c r="D51" s="10">
        <v>43.98</v>
      </c>
      <c r="E51" s="11" t="s">
        <v>28</v>
      </c>
    </row>
    <row r="52" spans="1:5" x14ac:dyDescent="0.25">
      <c r="A52" s="4">
        <v>43060</v>
      </c>
      <c r="B52" s="5" t="s">
        <v>41</v>
      </c>
      <c r="C52" s="5" t="s">
        <v>35</v>
      </c>
      <c r="D52" s="6">
        <v>56.65</v>
      </c>
      <c r="E52" s="7" t="s">
        <v>28</v>
      </c>
    </row>
    <row r="53" spans="1:5" x14ac:dyDescent="0.25">
      <c r="A53" s="8">
        <v>43090</v>
      </c>
      <c r="B53" s="9" t="s">
        <v>41</v>
      </c>
      <c r="C53" s="9" t="s">
        <v>35</v>
      </c>
      <c r="D53" s="10">
        <v>56.65</v>
      </c>
      <c r="E53" s="11" t="s">
        <v>28</v>
      </c>
    </row>
    <row r="54" spans="1:5" x14ac:dyDescent="0.25">
      <c r="A54" s="4">
        <v>43121</v>
      </c>
      <c r="B54" s="5" t="s">
        <v>41</v>
      </c>
      <c r="C54" s="5" t="s">
        <v>35</v>
      </c>
      <c r="D54" s="6">
        <v>56.65</v>
      </c>
      <c r="E54" s="7" t="s">
        <v>28</v>
      </c>
    </row>
    <row r="55" spans="1:5" x14ac:dyDescent="0.25">
      <c r="A55" s="8">
        <v>43152</v>
      </c>
      <c r="B55" s="9" t="s">
        <v>41</v>
      </c>
      <c r="C55" s="9" t="s">
        <v>35</v>
      </c>
      <c r="D55" s="10">
        <v>56.65</v>
      </c>
      <c r="E55" s="11" t="s">
        <v>28</v>
      </c>
    </row>
    <row r="56" spans="1:5" x14ac:dyDescent="0.25">
      <c r="A56" s="4">
        <v>43180</v>
      </c>
      <c r="B56" s="5" t="s">
        <v>41</v>
      </c>
      <c r="C56" s="5" t="s">
        <v>35</v>
      </c>
      <c r="D56" s="6">
        <v>56.65</v>
      </c>
      <c r="E56" s="7" t="s">
        <v>28</v>
      </c>
    </row>
    <row r="57" spans="1:5" x14ac:dyDescent="0.25">
      <c r="A57" s="8">
        <v>43211</v>
      </c>
      <c r="B57" s="9" t="s">
        <v>41</v>
      </c>
      <c r="C57" s="9" t="s">
        <v>35</v>
      </c>
      <c r="D57" s="10">
        <v>56.65</v>
      </c>
      <c r="E57" s="11" t="s">
        <v>28</v>
      </c>
    </row>
    <row r="58" spans="1:5" x14ac:dyDescent="0.25">
      <c r="A58" s="4">
        <v>43070</v>
      </c>
      <c r="B58" s="5" t="s">
        <v>37</v>
      </c>
      <c r="C58" s="5" t="s">
        <v>35</v>
      </c>
      <c r="D58" s="6">
        <v>109.62</v>
      </c>
      <c r="E58" s="7" t="s">
        <v>28</v>
      </c>
    </row>
    <row r="59" spans="1:5" x14ac:dyDescent="0.25">
      <c r="A59" s="8">
        <v>43101</v>
      </c>
      <c r="B59" s="9" t="s">
        <v>37</v>
      </c>
      <c r="C59" s="9" t="s">
        <v>35</v>
      </c>
      <c r="D59" s="10">
        <v>109.62</v>
      </c>
      <c r="E59" s="11" t="s">
        <v>28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81F47-2342-4261-84FA-463520189E70}">
  <sheetPr codeName="sApoio"/>
  <dimension ref="A1:C23"/>
  <sheetViews>
    <sheetView showGridLines="0" workbookViewId="0">
      <selection activeCell="B19" sqref="B19"/>
    </sheetView>
  </sheetViews>
  <sheetFormatPr defaultRowHeight="15" x14ac:dyDescent="0.25"/>
  <cols>
    <col min="1" max="1" width="5.140625" bestFit="1" customWidth="1"/>
    <col min="2" max="2" width="16.42578125" bestFit="1" customWidth="1"/>
    <col min="3" max="3" width="11.7109375" bestFit="1" customWidth="1"/>
    <col min="4" max="4" width="16.42578125" bestFit="1" customWidth="1"/>
    <col min="5" max="5" width="15.140625" customWidth="1"/>
    <col min="6" max="6" width="13.85546875" bestFit="1" customWidth="1"/>
    <col min="7" max="7" width="16.42578125" bestFit="1" customWidth="1"/>
    <col min="8" max="8" width="12" bestFit="1" customWidth="1"/>
    <col min="9" max="9" width="14.85546875" bestFit="1" customWidth="1"/>
  </cols>
  <sheetData>
    <row r="1" spans="1:3" x14ac:dyDescent="0.25">
      <c r="A1" t="s">
        <v>0</v>
      </c>
      <c r="B1" t="s">
        <v>2</v>
      </c>
    </row>
    <row r="2" spans="1:3" x14ac:dyDescent="0.25">
      <c r="A2">
        <v>1</v>
      </c>
      <c r="B2" t="s">
        <v>9</v>
      </c>
    </row>
    <row r="3" spans="1:3" x14ac:dyDescent="0.25">
      <c r="A3">
        <v>2</v>
      </c>
      <c r="B3" t="s">
        <v>14</v>
      </c>
    </row>
    <row r="5" spans="1:3" x14ac:dyDescent="0.25">
      <c r="A5" t="s">
        <v>0</v>
      </c>
      <c r="B5" t="s">
        <v>42</v>
      </c>
      <c r="C5" t="s">
        <v>43</v>
      </c>
    </row>
    <row r="6" spans="1:3" x14ac:dyDescent="0.25">
      <c r="A6">
        <v>1</v>
      </c>
      <c r="B6" t="s">
        <v>10</v>
      </c>
      <c r="C6" s="38">
        <v>0</v>
      </c>
    </row>
    <row r="7" spans="1:3" x14ac:dyDescent="0.25">
      <c r="A7">
        <v>2</v>
      </c>
      <c r="B7" t="s">
        <v>21</v>
      </c>
      <c r="C7" s="38">
        <v>2.29E-2</v>
      </c>
    </row>
    <row r="8" spans="1:3" x14ac:dyDescent="0.25">
      <c r="A8">
        <v>3</v>
      </c>
      <c r="B8" t="s">
        <v>22</v>
      </c>
      <c r="C8" s="38">
        <v>4.7399999999999998E-2</v>
      </c>
    </row>
    <row r="10" spans="1:3" x14ac:dyDescent="0.25">
      <c r="A10" t="s">
        <v>0</v>
      </c>
      <c r="B10" t="s">
        <v>2</v>
      </c>
    </row>
    <row r="11" spans="1:3" x14ac:dyDescent="0.25">
      <c r="A11" s="39">
        <v>1</v>
      </c>
      <c r="B11" s="39" t="s">
        <v>11</v>
      </c>
    </row>
    <row r="12" spans="1:3" x14ac:dyDescent="0.25">
      <c r="A12" s="39">
        <v>2</v>
      </c>
      <c r="B12" s="39" t="s">
        <v>19</v>
      </c>
    </row>
    <row r="13" spans="1:3" x14ac:dyDescent="0.25">
      <c r="A13" s="39">
        <v>3</v>
      </c>
      <c r="B13" s="39" t="s">
        <v>15</v>
      </c>
    </row>
    <row r="14" spans="1:3" x14ac:dyDescent="0.25">
      <c r="A14" s="39">
        <v>4</v>
      </c>
      <c r="B14" s="39" t="s">
        <v>16</v>
      </c>
    </row>
    <row r="15" spans="1:3" x14ac:dyDescent="0.25">
      <c r="A15" s="39">
        <v>5</v>
      </c>
      <c r="B15" s="39" t="s">
        <v>20</v>
      </c>
    </row>
    <row r="16" spans="1:3" x14ac:dyDescent="0.25">
      <c r="A16" s="39">
        <v>6</v>
      </c>
      <c r="B16" s="39" t="s">
        <v>17</v>
      </c>
    </row>
    <row r="17" spans="1:2" x14ac:dyDescent="0.25">
      <c r="A17" s="39">
        <v>7</v>
      </c>
      <c r="B17" s="39" t="s">
        <v>18</v>
      </c>
    </row>
    <row r="18" spans="1:2" x14ac:dyDescent="0.25">
      <c r="A18" s="39">
        <v>8</v>
      </c>
      <c r="B18" s="39" t="s">
        <v>47</v>
      </c>
    </row>
    <row r="20" spans="1:2" x14ac:dyDescent="0.25">
      <c r="A20" t="s">
        <v>0</v>
      </c>
      <c r="B20" t="s">
        <v>2</v>
      </c>
    </row>
    <row r="21" spans="1:2" x14ac:dyDescent="0.25">
      <c r="A21">
        <v>1</v>
      </c>
      <c r="B21" t="s">
        <v>13</v>
      </c>
    </row>
    <row r="22" spans="1:2" x14ac:dyDescent="0.25">
      <c r="A22">
        <v>2</v>
      </c>
      <c r="B22" t="s">
        <v>12</v>
      </c>
    </row>
    <row r="23" spans="1:2" x14ac:dyDescent="0.25">
      <c r="A23">
        <v>3</v>
      </c>
      <c r="B23" t="s">
        <v>46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01D5-A77F-4336-A9AF-4D8B12264E6D}">
  <sheetPr codeName="wsReports"/>
  <dimension ref="A1"/>
  <sheetViews>
    <sheetView showGridLines="0" showRowColHeaders="0" zoomScale="80" zoomScaleNormal="80" workbookViewId="0"/>
  </sheetViews>
  <sheetFormatPr defaultRowHeight="15" x14ac:dyDescent="0.25"/>
  <sheetData/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customUI/_rels/customUI.xml.rels><?xml version="1.0" encoding="UTF-8" standalone="yes"?>
<Relationships xmlns="http://schemas.openxmlformats.org/package/2006/relationships"><Relationship Id="btnPedidos" Type="http://schemas.openxmlformats.org/officeDocument/2006/relationships/image" Target="images/btnPedidos.png"/><Relationship Id="btnCLear" Type="http://schemas.openxmlformats.org/officeDocument/2006/relationships/image" Target="images/btnCLear.png"/><Relationship Id="btnLancamentos" Type="http://schemas.openxmlformats.org/officeDocument/2006/relationships/image" Target="images/btnLancamentos.png"/><Relationship Id="btnContagem" Type="http://schemas.openxmlformats.org/officeDocument/2006/relationships/image" Target="images/btnContagem.png"/><Relationship Id="btnReport" Type="http://schemas.openxmlformats.org/officeDocument/2006/relationships/image" Target="images/btnReport.png"/><Relationship Id="btListas" Type="http://schemas.openxmlformats.org/officeDocument/2006/relationships/image" Target="images/btListas.png"/><Relationship Id="btnTables" Type="http://schemas.openxmlformats.org/officeDocument/2006/relationships/image" Target="images/btnTables.png"/></Relationships>
</file>

<file path=customUI/customUI.xml><?xml version="1.0" encoding="utf-8"?>
<customUI xmlns="http://schemas.microsoft.com/office/2006/01/customui">
  <ribbon>
    <tabs>
      <tab id="MyTab" label="Gerencial PDV Fabrilícia" insertBeforeMso="TabHome">
        <group id="LancamentosGroup" label="Lançamentos/Pedidos">
          <button id="btnLancamentos" label="Gerenciar Lançamentos" size="large" onAction="btn_formLancamentos" image="btnLancamentos"/>
          <button id="btnPedidos" label="Gerenciar Pedidos" size="large" onAction="btn_ViewPedidos" image="btnPedidos"/>
        </group>
        <group id="CountCedulasGroup" label="Gerencial de Cédulas">
          <button id="btnContagem" label="Contagem de Cédulas" size="large" onAction="btn_Contagem" image="btnContagem"/>
          <button id="btnClearData" label="Limpar Dados" size="large" onAction="btn_ClearData" image="btnCLear"/>
        </group>
        <group id="CadastrosGroup" label="Gerenciar Cadastros">
          <button id="btListas" label="Listas de Apoio" size="large" onAction="btn_Listas" image="btListas"/>
        </group>
        <group id="ReportsGroup" label="Relatórios/Tabelas">
          <button id="btTables" label="Tabelas de Relatório" size="large" onAction="btnTables" image="btnTables"/>
          <button id="btReport" label="Relatórios" size="large" onAction="btnReport" image="btnRepor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B78B7AED-D11B-47F1-B660-E5D113C8198A}">
  <ds:schemaRefs/>
</ds:datastoreItem>
</file>

<file path=customXml/itemProps2.xml><?xml version="1.0" encoding="utf-8"?>
<ds:datastoreItem xmlns:ds="http://schemas.openxmlformats.org/officeDocument/2006/customXml" ds:itemID="{3DCB6AAD-575D-45DE-8E27-415CD2CDCFB3}">
  <ds:schemaRefs/>
</ds:datastoreItem>
</file>

<file path=customXml/itemProps3.xml><?xml version="1.0" encoding="utf-8"?>
<ds:datastoreItem xmlns:ds="http://schemas.openxmlformats.org/officeDocument/2006/customXml" ds:itemID="{5950237A-0442-4C7C-BA71-CFB13C5BFDAA}">
  <ds:schemaRefs/>
</ds:datastoreItem>
</file>

<file path=customXml/itemProps4.xml><?xml version="1.0" encoding="utf-8"?>
<ds:datastoreItem xmlns:ds="http://schemas.openxmlformats.org/officeDocument/2006/customXml" ds:itemID="{0FC181ED-0FC7-4C07-8E98-3C0E39852364}">
  <ds:schemaRefs/>
</ds:datastoreItem>
</file>

<file path=customXml/itemProps5.xml><?xml version="1.0" encoding="utf-8"?>
<ds:datastoreItem xmlns:ds="http://schemas.openxmlformats.org/officeDocument/2006/customXml" ds:itemID="{D1C33C64-0231-4B1C-8910-F2B87631980C}">
  <ds:schemaRefs/>
</ds:datastoreItem>
</file>

<file path=customXml/itemProps6.xml><?xml version="1.0" encoding="utf-8"?>
<ds:datastoreItem xmlns:ds="http://schemas.openxmlformats.org/officeDocument/2006/customXml" ds:itemID="{EFFDB1BD-105D-4929-A3A7-B8993B2F8796}">
  <ds:schemaRefs/>
</ds:datastoreItem>
</file>

<file path=customXml/itemProps7.xml><?xml version="1.0" encoding="utf-8"?>
<ds:datastoreItem xmlns:ds="http://schemas.openxmlformats.org/officeDocument/2006/customXml" ds:itemID="{B810EEB3-FEB1-4271-9B9D-7B89F873B471}">
  <ds:schemaRefs/>
</ds:datastoreItem>
</file>

<file path=customXml/itemProps8.xml><?xml version="1.0" encoding="utf-8"?>
<ds:datastoreItem xmlns:ds="http://schemas.openxmlformats.org/officeDocument/2006/customXml" ds:itemID="{2E2D5033-9F29-46BD-91F7-7CF7FBC6A4C9}">
  <ds:schemaRefs/>
</ds:datastoreItem>
</file>

<file path=customXml/itemProps9.xml><?xml version="1.0" encoding="utf-8"?>
<ds:datastoreItem xmlns:ds="http://schemas.openxmlformats.org/officeDocument/2006/customXml" ds:itemID="{21F77403-74A0-4FE4-8CA0-5F436A02058C}">
  <ds:schemaRefs/>
</ds:datastoreItem>
</file>

<file path=customXml/itemProps10.xml><?xml version="1.0" encoding="utf-8"?>
<ds:datastoreItem xmlns:ds="http://schemas.openxmlformats.org/officeDocument/2006/customXml" ds:itemID="{D8879803-0233-45B9-A6BD-0E35FC626AC1}">
  <ds:schemaRefs/>
</ds:datastoreItem>
</file>

<file path=customXml/itemProps11.xml><?xml version="1.0" encoding="utf-8"?>
<ds:datastoreItem xmlns:ds="http://schemas.openxmlformats.org/officeDocument/2006/customXml" ds:itemID="{E5348793-B7C2-4511-B576-DC19525FB05F}">
  <ds:schemaRefs/>
</ds:datastoreItem>
</file>

<file path=customXml/itemProps12.xml><?xml version="1.0" encoding="utf-8"?>
<ds:datastoreItem xmlns:ds="http://schemas.openxmlformats.org/officeDocument/2006/customXml" ds:itemID="{17F045BA-442B-42B7-A850-C64B6D25FAB0}">
  <ds:schemaRefs/>
</ds:datastoreItem>
</file>

<file path=customXml/itemProps13.xml><?xml version="1.0" encoding="utf-8"?>
<ds:datastoreItem xmlns:ds="http://schemas.openxmlformats.org/officeDocument/2006/customXml" ds:itemID="{B39D77C3-1E11-44A2-868F-EA5F8E73DCFA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A2924C21-62AC-469D-BACE-88DD05A1F641}">
  <ds:schemaRefs/>
</ds:datastoreItem>
</file>

<file path=customXml/itemProps15.xml><?xml version="1.0" encoding="utf-8"?>
<ds:datastoreItem xmlns:ds="http://schemas.openxmlformats.org/officeDocument/2006/customXml" ds:itemID="{5FA2E352-E59B-49CE-8470-6BE5D5FC40D4}">
  <ds:schemaRefs/>
</ds:datastoreItem>
</file>

<file path=customXml/itemProps16.xml><?xml version="1.0" encoding="utf-8"?>
<ds:datastoreItem xmlns:ds="http://schemas.openxmlformats.org/officeDocument/2006/customXml" ds:itemID="{ADB64904-7371-4178-A450-6C4EB07C3EAB}">
  <ds:schemaRefs/>
</ds:datastoreItem>
</file>

<file path=customXml/itemProps17.xml><?xml version="1.0" encoding="utf-8"?>
<ds:datastoreItem xmlns:ds="http://schemas.openxmlformats.org/officeDocument/2006/customXml" ds:itemID="{8510D993-C5F6-49EF-89E8-677D65C0AEB2}">
  <ds:schemaRefs/>
</ds:datastoreItem>
</file>

<file path=customXml/itemProps18.xml><?xml version="1.0" encoding="utf-8"?>
<ds:datastoreItem xmlns:ds="http://schemas.openxmlformats.org/officeDocument/2006/customXml" ds:itemID="{3B75A608-E1E6-49A3-B4C7-A8795ED02F33}">
  <ds:schemaRefs/>
</ds:datastoreItem>
</file>

<file path=customXml/itemProps19.xml><?xml version="1.0" encoding="utf-8"?>
<ds:datastoreItem xmlns:ds="http://schemas.openxmlformats.org/officeDocument/2006/customXml" ds:itemID="{CE8419D5-DE44-413C-B624-057CAEDD2413}">
  <ds:schemaRefs/>
</ds:datastoreItem>
</file>

<file path=customXml/itemProps20.xml><?xml version="1.0" encoding="utf-8"?>
<ds:datastoreItem xmlns:ds="http://schemas.openxmlformats.org/officeDocument/2006/customXml" ds:itemID="{8270C23B-EF41-4186-A604-34B727DB5C30}">
  <ds:schemaRefs/>
</ds:datastoreItem>
</file>

<file path=customXml/itemProps21.xml><?xml version="1.0" encoding="utf-8"?>
<ds:datastoreItem xmlns:ds="http://schemas.openxmlformats.org/officeDocument/2006/customXml" ds:itemID="{A6B917D3-7C41-4BEB-A475-54EFCAE36567}">
  <ds:schemaRefs/>
</ds:datastoreItem>
</file>

<file path=customXml/itemProps22.xml><?xml version="1.0" encoding="utf-8"?>
<ds:datastoreItem xmlns:ds="http://schemas.openxmlformats.org/officeDocument/2006/customXml" ds:itemID="{824A38A0-F540-4AA4-98C9-651C017C0499}">
  <ds:schemaRefs/>
</ds:datastoreItem>
</file>

<file path=customXml/itemProps23.xml><?xml version="1.0" encoding="utf-8"?>
<ds:datastoreItem xmlns:ds="http://schemas.openxmlformats.org/officeDocument/2006/customXml" ds:itemID="{FA6B4470-0671-4BD5-87F4-1BBB93BCD1E7}">
  <ds:schemaRefs/>
</ds:datastoreItem>
</file>

<file path=customXml/itemProps24.xml><?xml version="1.0" encoding="utf-8"?>
<ds:datastoreItem xmlns:ds="http://schemas.openxmlformats.org/officeDocument/2006/customXml" ds:itemID="{E9D901B5-D422-41E6-8835-B3C3157B5748}">
  <ds:schemaRefs/>
</ds:datastoreItem>
</file>

<file path=customXml/itemProps25.xml><?xml version="1.0" encoding="utf-8"?>
<ds:datastoreItem xmlns:ds="http://schemas.openxmlformats.org/officeDocument/2006/customXml" ds:itemID="{E52D9773-32CD-49D4-AA5F-C9111EDE190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Lançamentos</vt:lpstr>
      <vt:lpstr>Pedidos</vt:lpstr>
      <vt:lpstr>Tabela_Cartões</vt:lpstr>
      <vt:lpstr>Dimensões Apoio</vt:lpstr>
      <vt:lpstr>Report</vt:lpstr>
      <vt:lpstr>dPagamentos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Ivanildo Junior</dc:creator>
  <cp:keywords/>
  <dc:description/>
  <cp:lastModifiedBy>Ivanildo Junior</cp:lastModifiedBy>
  <cp:revision/>
  <dcterms:created xsi:type="dcterms:W3CDTF">2017-08-28T22:45:39Z</dcterms:created>
  <dcterms:modified xsi:type="dcterms:W3CDTF">2018-04-21T00:52:23Z</dcterms:modified>
  <cp:category/>
  <cp:contentStatus/>
</cp:coreProperties>
</file>