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HP BRASIL\"/>
    </mc:Choice>
  </mc:AlternateContent>
  <xr:revisionPtr revIDLastSave="0" documentId="10_ncr:100000_{DB525FA4-F496-4E1C-AF7B-9F0E8EFED07A}" xr6:coauthVersionLast="31" xr6:coauthVersionMax="31" xr10:uidLastSave="{00000000-0000-0000-0000-000000000000}"/>
  <bookViews>
    <workbookView showHorizontalScroll="0" showVerticalScroll="0" showSheetTabs="0" xWindow="0" yWindow="0" windowWidth="21840" windowHeight="10080" tabRatio="790" activeTab="6" xr2:uid="{00000000-000D-0000-FFFF-FFFF00000000}"/>
  </bookViews>
  <sheets>
    <sheet name="INICIO" sheetId="12" r:id="rId1"/>
    <sheet name="VIEW" sheetId="1" r:id="rId2"/>
    <sheet name="CASOS" sheetId="2" r:id="rId3"/>
    <sheet name="BACKLOG_BASE" sheetId="3" r:id="rId4"/>
    <sheet name="CALLBACK_SLA_BASE" sheetId="4" r:id="rId5"/>
    <sheet name="MAP" sheetId="5" r:id="rId6"/>
    <sheet name="CONTROLE DE ACESSO" sheetId="11" r:id="rId7"/>
    <sheet name="AGENTES_CONS" sheetId="13" r:id="rId8"/>
  </sheets>
  <definedNames>
    <definedName name="_xlnm._FilterDatabase" localSheetId="3" hidden="1">BACKLOG_BASE!#REF!</definedName>
    <definedName name="_xlnm._FilterDatabase" localSheetId="2" hidden="1">CASOS!$B$2:$H$25</definedName>
    <definedName name="_xlnm._FilterDatabase" localSheetId="5" hidden="1">MAP!#REF!</definedName>
    <definedName name="VIEW">VIEW!$C$2:$P$22</definedName>
  </definedNames>
  <calcPr calcId="179017" calcMode="manual"/>
  <fileRecoveryPr autoRecover="0"/>
</workbook>
</file>

<file path=xl/calcChain.xml><?xml version="1.0" encoding="utf-8"?>
<calcChain xmlns="http://schemas.openxmlformats.org/spreadsheetml/2006/main">
  <c r="A47" i="3" l="1"/>
  <c r="R47" i="3" s="1"/>
  <c r="S47" i="3"/>
  <c r="T47" i="3"/>
  <c r="U47" i="3"/>
  <c r="V47" i="3"/>
  <c r="W47" i="3"/>
  <c r="X47" i="3"/>
  <c r="Y47" i="3"/>
  <c r="A44" i="3"/>
  <c r="R44" i="3" s="1"/>
  <c r="G24" i="2" s="1"/>
  <c r="A45" i="3"/>
  <c r="R45" i="3" s="1"/>
  <c r="A46" i="3"/>
  <c r="R46" i="3"/>
  <c r="G25" i="2" s="1"/>
  <c r="S44" i="3"/>
  <c r="S45" i="3"/>
  <c r="S46" i="3"/>
  <c r="T44" i="3"/>
  <c r="C24" i="2" s="1"/>
  <c r="T45" i="3"/>
  <c r="T46" i="3"/>
  <c r="C25" i="2" s="1"/>
  <c r="U44" i="3"/>
  <c r="D24" i="2" s="1"/>
  <c r="U45" i="3"/>
  <c r="U46" i="3"/>
  <c r="D25" i="2" s="1"/>
  <c r="V44" i="3"/>
  <c r="E24" i="2" s="1"/>
  <c r="V45" i="3"/>
  <c r="V46" i="3"/>
  <c r="E25" i="2" s="1"/>
  <c r="W44" i="3"/>
  <c r="F24" i="2" s="1"/>
  <c r="W45" i="3"/>
  <c r="W46" i="3"/>
  <c r="F25" i="2" s="1"/>
  <c r="X44" i="3"/>
  <c r="B24" i="2" s="1"/>
  <c r="X45" i="3"/>
  <c r="X46" i="3"/>
  <c r="B25" i="2" s="1"/>
  <c r="Y44" i="3"/>
  <c r="Y45" i="3"/>
  <c r="Y46" i="3"/>
  <c r="I6" i="1" l="1"/>
  <c r="H6" i="1"/>
  <c r="A43" i="3" l="1"/>
  <c r="R43" i="3" s="1"/>
  <c r="G23" i="2" s="1"/>
  <c r="S43" i="3"/>
  <c r="T43" i="3"/>
  <c r="C23" i="2" s="1"/>
  <c r="U43" i="3"/>
  <c r="D23" i="2" s="1"/>
  <c r="V43" i="3"/>
  <c r="E23" i="2" s="1"/>
  <c r="W43" i="3"/>
  <c r="F23" i="2" s="1"/>
  <c r="X43" i="3"/>
  <c r="B23" i="2" s="1"/>
  <c r="Y43" i="3"/>
  <c r="A7" i="3"/>
  <c r="A8" i="3"/>
  <c r="A9" i="3"/>
  <c r="A10" i="3"/>
  <c r="A11" i="3"/>
  <c r="A12" i="3"/>
  <c r="A13" i="3"/>
  <c r="A14" i="3"/>
  <c r="A15" i="3"/>
  <c r="A16" i="3"/>
  <c r="A17" i="3"/>
  <c r="R17" i="3" s="1"/>
  <c r="A18" i="3"/>
  <c r="A19" i="3"/>
  <c r="R19" i="3" s="1"/>
  <c r="A20" i="3"/>
  <c r="A21" i="3"/>
  <c r="R21" i="3" s="1"/>
  <c r="A22" i="3"/>
  <c r="A23" i="3"/>
  <c r="R23" i="3" s="1"/>
  <c r="A24" i="3"/>
  <c r="A25" i="3"/>
  <c r="R25" i="3" s="1"/>
  <c r="A26" i="3"/>
  <c r="A27" i="3"/>
  <c r="R27" i="3" s="1"/>
  <c r="A28" i="3"/>
  <c r="A29" i="3"/>
  <c r="R29" i="3" s="1"/>
  <c r="G17" i="2" s="1"/>
  <c r="A30" i="3"/>
  <c r="A31" i="3"/>
  <c r="R31" i="3" s="1"/>
  <c r="A32" i="3"/>
  <c r="A33" i="3"/>
  <c r="R33" i="3" s="1"/>
  <c r="A34" i="3"/>
  <c r="A35" i="3"/>
  <c r="R35" i="3" s="1"/>
  <c r="A2" i="3"/>
  <c r="A36" i="3"/>
  <c r="R36" i="3" s="1"/>
  <c r="A4" i="3"/>
  <c r="A3" i="3"/>
  <c r="R3" i="3" s="1"/>
  <c r="A37" i="3"/>
  <c r="A38" i="3"/>
  <c r="R38" i="3" s="1"/>
  <c r="G20" i="2" s="1"/>
  <c r="A39" i="3"/>
  <c r="A40" i="3"/>
  <c r="R40" i="3" s="1"/>
  <c r="A41" i="3"/>
  <c r="A42" i="3"/>
  <c r="R42" i="3" s="1"/>
  <c r="G22" i="2" s="1"/>
  <c r="A5" i="3"/>
  <c r="R7" i="3"/>
  <c r="R8" i="3"/>
  <c r="R9" i="3"/>
  <c r="R10" i="3"/>
  <c r="R11" i="3"/>
  <c r="G12" i="2" s="1"/>
  <c r="R12" i="3"/>
  <c r="G13" i="2" s="1"/>
  <c r="R13" i="3"/>
  <c r="G14" i="2" s="1"/>
  <c r="R14" i="3"/>
  <c r="R15" i="3"/>
  <c r="R16" i="3"/>
  <c r="R18" i="3"/>
  <c r="R20" i="3"/>
  <c r="R22" i="3"/>
  <c r="R24" i="3"/>
  <c r="R26" i="3"/>
  <c r="R28" i="3"/>
  <c r="R30" i="3"/>
  <c r="R32" i="3"/>
  <c r="R34" i="3"/>
  <c r="R2" i="3"/>
  <c r="R4" i="3"/>
  <c r="G5" i="2" s="1"/>
  <c r="R37" i="3"/>
  <c r="R39" i="3"/>
  <c r="G21" i="2" s="1"/>
  <c r="R41" i="3"/>
  <c r="R5" i="3"/>
  <c r="G6" i="2" s="1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2" i="3"/>
  <c r="S36" i="3"/>
  <c r="S4" i="3"/>
  <c r="S3" i="3"/>
  <c r="S37" i="3"/>
  <c r="S38" i="3"/>
  <c r="S39" i="3"/>
  <c r="S40" i="3"/>
  <c r="S41" i="3"/>
  <c r="S42" i="3"/>
  <c r="S5" i="3"/>
  <c r="T7" i="3"/>
  <c r="T8" i="3"/>
  <c r="T9" i="3"/>
  <c r="T10" i="3"/>
  <c r="T11" i="3"/>
  <c r="C12" i="2" s="1"/>
  <c r="T12" i="3"/>
  <c r="C13" i="2" s="1"/>
  <c r="T13" i="3"/>
  <c r="C14" i="2" s="1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C17" i="2" s="1"/>
  <c r="T30" i="3"/>
  <c r="T31" i="3"/>
  <c r="T32" i="3"/>
  <c r="T33" i="3"/>
  <c r="T34" i="3"/>
  <c r="T35" i="3"/>
  <c r="T2" i="3"/>
  <c r="T36" i="3"/>
  <c r="T4" i="3"/>
  <c r="C5" i="2" s="1"/>
  <c r="T3" i="3"/>
  <c r="T37" i="3"/>
  <c r="T38" i="3"/>
  <c r="C20" i="2" s="1"/>
  <c r="T39" i="3"/>
  <c r="C21" i="2" s="1"/>
  <c r="T40" i="3"/>
  <c r="T41" i="3"/>
  <c r="T42" i="3"/>
  <c r="C22" i="2" s="1"/>
  <c r="T5" i="3"/>
  <c r="C6" i="2" s="1"/>
  <c r="U7" i="3"/>
  <c r="U8" i="3"/>
  <c r="U9" i="3"/>
  <c r="U10" i="3"/>
  <c r="U11" i="3"/>
  <c r="D12" i="2" s="1"/>
  <c r="U12" i="3"/>
  <c r="D13" i="2" s="1"/>
  <c r="U13" i="3"/>
  <c r="D14" i="2" s="1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D17" i="2" s="1"/>
  <c r="U30" i="3"/>
  <c r="U31" i="3"/>
  <c r="U32" i="3"/>
  <c r="U33" i="3"/>
  <c r="U34" i="3"/>
  <c r="U35" i="3"/>
  <c r="U2" i="3"/>
  <c r="U36" i="3"/>
  <c r="U4" i="3"/>
  <c r="U3" i="3"/>
  <c r="D4" i="2" s="1"/>
  <c r="U37" i="3"/>
  <c r="U38" i="3"/>
  <c r="D20" i="2" s="1"/>
  <c r="U39" i="3"/>
  <c r="D21" i="2" s="1"/>
  <c r="U40" i="3"/>
  <c r="U41" i="3"/>
  <c r="U42" i="3"/>
  <c r="D22" i="2" s="1"/>
  <c r="U5" i="3"/>
  <c r="D6" i="2" s="1"/>
  <c r="V7" i="3"/>
  <c r="V8" i="3"/>
  <c r="V9" i="3"/>
  <c r="V10" i="3"/>
  <c r="V11" i="3"/>
  <c r="E12" i="2" s="1"/>
  <c r="V12" i="3"/>
  <c r="E13" i="2" s="1"/>
  <c r="V13" i="3"/>
  <c r="E14" i="2" s="1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E17" i="2" s="1"/>
  <c r="V30" i="3"/>
  <c r="V31" i="3"/>
  <c r="V32" i="3"/>
  <c r="V33" i="3"/>
  <c r="V34" i="3"/>
  <c r="V35" i="3"/>
  <c r="V2" i="3"/>
  <c r="V36" i="3"/>
  <c r="V4" i="3"/>
  <c r="E5" i="2" s="1"/>
  <c r="V3" i="3"/>
  <c r="V37" i="3"/>
  <c r="V38" i="3"/>
  <c r="E20" i="2" s="1"/>
  <c r="V39" i="3"/>
  <c r="E21" i="2" s="1"/>
  <c r="V40" i="3"/>
  <c r="V41" i="3"/>
  <c r="V42" i="3"/>
  <c r="E22" i="2" s="1"/>
  <c r="V5" i="3"/>
  <c r="E6" i="2" s="1"/>
  <c r="W7" i="3"/>
  <c r="W8" i="3"/>
  <c r="W9" i="3"/>
  <c r="W10" i="3"/>
  <c r="W11" i="3"/>
  <c r="F12" i="2" s="1"/>
  <c r="W12" i="3"/>
  <c r="F13" i="2" s="1"/>
  <c r="W13" i="3"/>
  <c r="F14" i="2" s="1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F17" i="2" s="1"/>
  <c r="W30" i="3"/>
  <c r="W31" i="3"/>
  <c r="W32" i="3"/>
  <c r="W33" i="3"/>
  <c r="W34" i="3"/>
  <c r="W35" i="3"/>
  <c r="W2" i="3"/>
  <c r="W36" i="3"/>
  <c r="W4" i="3"/>
  <c r="W3" i="3"/>
  <c r="F4" i="2" s="1"/>
  <c r="W37" i="3"/>
  <c r="W38" i="3"/>
  <c r="F20" i="2" s="1"/>
  <c r="W39" i="3"/>
  <c r="F21" i="2" s="1"/>
  <c r="W40" i="3"/>
  <c r="W41" i="3"/>
  <c r="W42" i="3"/>
  <c r="F22" i="2" s="1"/>
  <c r="W5" i="3"/>
  <c r="F6" i="2" s="1"/>
  <c r="X7" i="3"/>
  <c r="X8" i="3"/>
  <c r="X9" i="3"/>
  <c r="X10" i="3"/>
  <c r="X11" i="3"/>
  <c r="B12" i="2" s="1"/>
  <c r="X12" i="3"/>
  <c r="B13" i="2" s="1"/>
  <c r="X13" i="3"/>
  <c r="B14" i="2" s="1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B17" i="2" s="1"/>
  <c r="X30" i="3"/>
  <c r="X31" i="3"/>
  <c r="X32" i="3"/>
  <c r="X33" i="3"/>
  <c r="X34" i="3"/>
  <c r="X35" i="3"/>
  <c r="X2" i="3"/>
  <c r="X36" i="3"/>
  <c r="X4" i="3"/>
  <c r="B5" i="2" s="1"/>
  <c r="X3" i="3"/>
  <c r="X37" i="3"/>
  <c r="X38" i="3"/>
  <c r="B20" i="2" s="1"/>
  <c r="X39" i="3"/>
  <c r="B21" i="2" s="1"/>
  <c r="X40" i="3"/>
  <c r="X41" i="3"/>
  <c r="X42" i="3"/>
  <c r="B22" i="2" s="1"/>
  <c r="X5" i="3"/>
  <c r="B6" i="2" s="1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2" i="3"/>
  <c r="Y36" i="3"/>
  <c r="Y4" i="3"/>
  <c r="Y3" i="3"/>
  <c r="Y37" i="3"/>
  <c r="Y38" i="3"/>
  <c r="Y39" i="3"/>
  <c r="Y40" i="3"/>
  <c r="Y41" i="3"/>
  <c r="Y42" i="3"/>
  <c r="Y5" i="3"/>
  <c r="N3" i="4"/>
  <c r="N4" i="4"/>
  <c r="N5" i="4"/>
  <c r="N6" i="4"/>
  <c r="N7" i="4"/>
  <c r="O3" i="4"/>
  <c r="O4" i="4"/>
  <c r="O5" i="4"/>
  <c r="O6" i="4"/>
  <c r="O7" i="4"/>
  <c r="P3" i="4"/>
  <c r="P4" i="4"/>
  <c r="P5" i="4"/>
  <c r="P6" i="4"/>
  <c r="P7" i="4"/>
  <c r="A6" i="3"/>
  <c r="R6" i="3" s="1"/>
  <c r="G7" i="2" s="1"/>
  <c r="S6" i="3"/>
  <c r="T6" i="3"/>
  <c r="C7" i="2" s="1"/>
  <c r="U6" i="3"/>
  <c r="D7" i="2" s="1"/>
  <c r="V6" i="3"/>
  <c r="E7" i="2" s="1"/>
  <c r="W6" i="3"/>
  <c r="F7" i="2" s="1"/>
  <c r="X6" i="3"/>
  <c r="B7" i="2" s="1"/>
  <c r="Y6" i="3"/>
  <c r="F16" i="2" l="1"/>
  <c r="D16" i="2"/>
  <c r="B19" i="2"/>
  <c r="B18" i="2"/>
  <c r="B16" i="2"/>
  <c r="F15" i="2"/>
  <c r="E19" i="2"/>
  <c r="E18" i="2"/>
  <c r="E16" i="2"/>
  <c r="D15" i="2"/>
  <c r="C18" i="2"/>
  <c r="C16" i="2"/>
  <c r="G15" i="2"/>
  <c r="B15" i="2"/>
  <c r="F18" i="2"/>
  <c r="E15" i="2"/>
  <c r="D18" i="2"/>
  <c r="C15" i="2"/>
  <c r="G19" i="2"/>
  <c r="G18" i="2"/>
  <c r="G16" i="2"/>
  <c r="D9" i="2"/>
  <c r="H8" i="1"/>
  <c r="C19" i="2"/>
  <c r="B10" i="2"/>
  <c r="B8" i="2"/>
  <c r="F11" i="2"/>
  <c r="F9" i="2"/>
  <c r="E10" i="2"/>
  <c r="E8" i="2"/>
  <c r="D11" i="2"/>
  <c r="C10" i="2"/>
  <c r="C8" i="2"/>
  <c r="G10" i="2"/>
  <c r="G8" i="2"/>
  <c r="B4" i="2"/>
  <c r="B11" i="2"/>
  <c r="B9" i="2"/>
  <c r="F5" i="2"/>
  <c r="F19" i="2"/>
  <c r="F10" i="2"/>
  <c r="F8" i="2"/>
  <c r="E4" i="2"/>
  <c r="E11" i="2"/>
  <c r="E9" i="2"/>
  <c r="D5" i="2"/>
  <c r="H10" i="1"/>
  <c r="D19" i="2"/>
  <c r="D10" i="2"/>
  <c r="D8" i="2"/>
  <c r="C4" i="2"/>
  <c r="C11" i="2"/>
  <c r="C9" i="2"/>
  <c r="G4" i="2"/>
  <c r="G11" i="2"/>
  <c r="G9" i="2"/>
  <c r="I17" i="1"/>
  <c r="I18" i="1" s="1"/>
  <c r="I14" i="1"/>
  <c r="I15" i="1" s="1"/>
  <c r="H17" i="1"/>
  <c r="H14" i="1"/>
  <c r="I21" i="1"/>
  <c r="I8" i="1"/>
  <c r="I10" i="1"/>
  <c r="F3" i="2"/>
  <c r="D3" i="2"/>
  <c r="B3" i="2"/>
  <c r="E3" i="2"/>
  <c r="C3" i="2"/>
  <c r="G3" i="2"/>
  <c r="J6" i="1"/>
  <c r="N2" i="4" l="1"/>
  <c r="O2" i="4"/>
  <c r="P2" i="4"/>
  <c r="F7" i="13" l="1"/>
  <c r="F6" i="13"/>
  <c r="F14" i="13"/>
  <c r="F13" i="13"/>
  <c r="F3" i="13"/>
  <c r="F4" i="13"/>
  <c r="F8" i="13"/>
  <c r="F11" i="13"/>
  <c r="F12" i="13"/>
  <c r="F5" i="13"/>
  <c r="F10" i="13"/>
  <c r="F9" i="13"/>
  <c r="B8" i="13" l="1"/>
  <c r="D9" i="13"/>
  <c r="E5" i="13"/>
  <c r="C3" i="13"/>
  <c r="B12" i="13"/>
  <c r="B6" i="13"/>
  <c r="E12" i="13"/>
  <c r="C13" i="13"/>
  <c r="C6" i="13"/>
  <c r="C8" i="13"/>
  <c r="D4" i="13"/>
  <c r="E14" i="13"/>
  <c r="B10" i="13"/>
  <c r="E11" i="13"/>
  <c r="D5" i="13"/>
  <c r="C4" i="13"/>
  <c r="E7" i="13"/>
  <c r="D14" i="13"/>
  <c r="B7" i="13"/>
  <c r="B11" i="13"/>
  <c r="D3" i="13"/>
  <c r="C10" i="13"/>
  <c r="E9" i="13"/>
  <c r="D13" i="13"/>
  <c r="B14" i="13"/>
  <c r="B9" i="13"/>
  <c r="B5" i="13"/>
  <c r="C11" i="13"/>
  <c r="D6" i="13"/>
  <c r="E3" i="13"/>
  <c r="C12" i="13"/>
  <c r="D10" i="13"/>
  <c r="E4" i="13"/>
  <c r="C7" i="13"/>
  <c r="D8" i="13"/>
  <c r="E13" i="13"/>
  <c r="B13" i="13"/>
  <c r="B4" i="13"/>
  <c r="B3" i="13"/>
  <c r="D11" i="13"/>
  <c r="E6" i="13"/>
  <c r="C5" i="13"/>
  <c r="D12" i="13"/>
  <c r="E10" i="13"/>
  <c r="C9" i="13"/>
  <c r="D7" i="13"/>
  <c r="E8" i="13"/>
  <c r="C14" i="13"/>
  <c r="F15" i="13"/>
  <c r="G3" i="13" l="1"/>
  <c r="G13" i="13"/>
  <c r="G5" i="13"/>
  <c r="G14" i="13"/>
  <c r="G7" i="13"/>
  <c r="G4" i="13"/>
  <c r="G9" i="13"/>
  <c r="G11" i="13"/>
  <c r="G10" i="13"/>
  <c r="G6" i="13"/>
  <c r="G12" i="13"/>
  <c r="G8" i="13"/>
  <c r="C15" i="13"/>
  <c r="B15" i="13"/>
  <c r="E15" i="13"/>
  <c r="D15" i="13"/>
  <c r="G15" i="13" l="1"/>
  <c r="L6" i="1" l="1"/>
  <c r="G6" i="1"/>
  <c r="K6" i="1" l="1"/>
  <c r="M6" i="1" s="1"/>
  <c r="L10" i="1"/>
  <c r="G10" i="1"/>
  <c r="N10" i="1"/>
  <c r="J10" i="1"/>
  <c r="G17" i="1"/>
  <c r="H18" i="1"/>
  <c r="J14" i="1"/>
  <c r="J17" i="1"/>
  <c r="J18" i="1" s="1"/>
  <c r="L14" i="1"/>
  <c r="L17" i="1"/>
  <c r="N6" i="1"/>
  <c r="N14" i="1"/>
  <c r="N17" i="1"/>
  <c r="G14" i="1"/>
  <c r="N8" i="1"/>
  <c r="L8" i="1" l="1"/>
  <c r="J8" i="1"/>
  <c r="G8" i="1"/>
  <c r="G15" i="1"/>
  <c r="J15" i="1"/>
  <c r="L18" i="1"/>
  <c r="H15" i="1"/>
  <c r="L15" i="1"/>
  <c r="G18" i="1"/>
  <c r="N15" i="1"/>
  <c r="N18" i="1" l="1"/>
  <c r="K8" i="1"/>
  <c r="K17" i="1" l="1"/>
  <c r="M17" i="1" s="1"/>
  <c r="M8" i="1" l="1"/>
  <c r="K10" i="1"/>
  <c r="M10" i="1" s="1"/>
  <c r="K14" i="1"/>
  <c r="K18" i="1"/>
  <c r="M14" i="1" l="1"/>
  <c r="K15" i="1"/>
  <c r="M18" i="1"/>
  <c r="M15" i="1" l="1"/>
</calcChain>
</file>

<file path=xl/sharedStrings.xml><?xml version="1.0" encoding="utf-8"?>
<sst xmlns="http://schemas.openxmlformats.org/spreadsheetml/2006/main" count="2341" uniqueCount="1004">
  <si>
    <t>| BACKLOG EQUIPE |</t>
  </si>
  <si>
    <t>Elevar para Mentor</t>
  </si>
  <si>
    <t>Em processo</t>
  </si>
  <si>
    <t>Pendente de retorno de chamada</t>
  </si>
  <si>
    <t>Pendente de ação do cliente</t>
  </si>
  <si>
    <t>Mentor</t>
  </si>
  <si>
    <t>TOTAL PARCIAL</t>
  </si>
  <si>
    <t>POP</t>
  </si>
  <si>
    <t>TOTAL GERAL</t>
  </si>
  <si>
    <t>WEB</t>
  </si>
  <si>
    <t>QTD DE CASOS</t>
  </si>
  <si>
    <t>CASOS &gt; 9 DIAS EM ABERTO</t>
  </si>
  <si>
    <t>CASOS &gt; 5 DIAS S/ INTERAÇÃO</t>
  </si>
  <si>
    <t>| VOLUME SKILL |</t>
  </si>
  <si>
    <t>IPG</t>
  </si>
  <si>
    <t>PSG</t>
  </si>
  <si>
    <t>CASE SKILL</t>
  </si>
  <si>
    <t>STATUS ATUAL</t>
  </si>
  <si>
    <t>Origem do caso</t>
  </si>
  <si>
    <t>Número do caso</t>
  </si>
  <si>
    <t>Nome da conta: Nome da conta</t>
  </si>
  <si>
    <t>Nome do contato: Telefone residencial</t>
  </si>
  <si>
    <t>Nome do contato: Celular</t>
  </si>
  <si>
    <t>Nome do contato: Outro telefone</t>
  </si>
  <si>
    <t>Status</t>
  </si>
  <si>
    <t>Assunto</t>
  </si>
  <si>
    <t>Criado por: Agente Número do Funcionário</t>
  </si>
  <si>
    <t>Modificado por último pelo Agente: Agente Número do Funcionário</t>
  </si>
  <si>
    <t>Proprietário do caso: Nome completo</t>
  </si>
  <si>
    <t>Ativo: Descrição do produto</t>
  </si>
  <si>
    <t>Ativo: Produto: Linha de produto</t>
  </si>
  <si>
    <t>Tipo garantia</t>
  </si>
  <si>
    <t>Data/Hora de abertura</t>
  </si>
  <si>
    <t>Data da última modificação</t>
  </si>
  <si>
    <t xml:space="preserve">Agente que abriu o caso </t>
  </si>
  <si>
    <t xml:space="preserve">Agente que modificou por último </t>
  </si>
  <si>
    <t xml:space="preserve">Dias em aberto </t>
  </si>
  <si>
    <t xml:space="preserve">Dias sem interação </t>
  </si>
  <si>
    <t>Callback Tempo Programado (Agente)</t>
  </si>
  <si>
    <t>Caso: Número do caso</t>
  </si>
  <si>
    <t>Caso: Status</t>
  </si>
  <si>
    <t>Data de criação</t>
  </si>
  <si>
    <t>Nome callback</t>
  </si>
  <si>
    <t>Caso: Assunto</t>
  </si>
  <si>
    <t>Caso: Modificado por último pelo Agente: Agente Número do Funcionário</t>
  </si>
  <si>
    <t>Proprietário: Nome completo</t>
  </si>
  <si>
    <t>Caso: Proprietário do caso: Nome completo</t>
  </si>
  <si>
    <t>Caso: Ativo: Descrição do produto</t>
  </si>
  <si>
    <t>Caso: Ativo: Linha de produto</t>
  </si>
  <si>
    <t xml:space="preserve">Agente criador do Evento </t>
  </si>
  <si>
    <t xml:space="preserve">Agente que modificou por o caso por ultimo </t>
  </si>
  <si>
    <t xml:space="preserve">CASE SKILL </t>
  </si>
  <si>
    <t>7T</t>
  </si>
  <si>
    <t>6J</t>
  </si>
  <si>
    <t>DU</t>
  </si>
  <si>
    <t>2N</t>
  </si>
  <si>
    <t>KV</t>
  </si>
  <si>
    <t>Telefone</t>
  </si>
  <si>
    <t>Fora de garantia</t>
  </si>
  <si>
    <t>Garantia de fábrica</t>
  </si>
  <si>
    <t>Raphael Pereira Stahlschmidt</t>
  </si>
  <si>
    <t>Diego Guimaraes Rosa</t>
  </si>
  <si>
    <t>Ativo</t>
  </si>
  <si>
    <t>BCD</t>
  </si>
  <si>
    <t>-</t>
  </si>
  <si>
    <t>Marcos Paulo da Silva Batista</t>
  </si>
  <si>
    <t>P3579712</t>
  </si>
  <si>
    <t>Vanessa De Oliveira Bassi</t>
  </si>
  <si>
    <t>P3518751</t>
  </si>
  <si>
    <t>Danilo Santiago De Freitas</t>
  </si>
  <si>
    <t>P1004641</t>
  </si>
  <si>
    <t>Lilian Felix</t>
  </si>
  <si>
    <t>P3857407</t>
  </si>
  <si>
    <t>Nicodemos Loureiro</t>
  </si>
  <si>
    <t>Licença</t>
  </si>
  <si>
    <t>P1212986</t>
  </si>
  <si>
    <t>Rafael Ferreira Butinhao</t>
  </si>
  <si>
    <t>Maria Cristina de Assis Marques</t>
  </si>
  <si>
    <t>ECR</t>
  </si>
  <si>
    <t>P2214258</t>
  </si>
  <si>
    <t>Flavia Helena Teixeira Joaquim</t>
  </si>
  <si>
    <t>P1500031</t>
  </si>
  <si>
    <t>Jennifer Cristina Vieira Do Amaral</t>
  </si>
  <si>
    <t>P2174521</t>
  </si>
  <si>
    <t>Mariana Irene Fialho Juvino</t>
  </si>
  <si>
    <t>P0859034</t>
  </si>
  <si>
    <t>Andreia Agnes Campell Gino</t>
  </si>
  <si>
    <t>P5641580</t>
  </si>
  <si>
    <t>Geisla da Paz Catharino</t>
  </si>
  <si>
    <t>P8062621</t>
  </si>
  <si>
    <t>Vinicius De Sousa Brandao</t>
  </si>
  <si>
    <t>P3226453</t>
  </si>
  <si>
    <t>Gabriel Santos Do Carmo</t>
  </si>
  <si>
    <t>P6430846</t>
  </si>
  <si>
    <t>Fernanda Silva Nascimento</t>
  </si>
  <si>
    <t>P3394883</t>
  </si>
  <si>
    <t>Diego Rodrigues Gonzales</t>
  </si>
  <si>
    <t>P6853347</t>
  </si>
  <si>
    <t>Milena Ferreira Da Silva</t>
  </si>
  <si>
    <t>P4273347</t>
  </si>
  <si>
    <t>Ramon Dos Santos Lima</t>
  </si>
  <si>
    <t>P7398291</t>
  </si>
  <si>
    <t>Vinicius Carvalho Perez</t>
  </si>
  <si>
    <t>FUPO</t>
  </si>
  <si>
    <t>P5092674</t>
  </si>
  <si>
    <t>Tiago Giatti De Sousa</t>
  </si>
  <si>
    <t>P1103391</t>
  </si>
  <si>
    <t>Desligado</t>
  </si>
  <si>
    <t>Beatriz Botelho Vargas</t>
  </si>
  <si>
    <t>P0995052</t>
  </si>
  <si>
    <t>Davi Teodoro de Jesus</t>
  </si>
  <si>
    <t>P8212943</t>
  </si>
  <si>
    <t>Carlos Alexandre Da Silva</t>
  </si>
  <si>
    <t>P5668493</t>
  </si>
  <si>
    <t>Carlos Henrique De Lima</t>
  </si>
  <si>
    <t>FUPO SMS</t>
  </si>
  <si>
    <t>P0776152</t>
  </si>
  <si>
    <t>Leandro Querino Nunes</t>
  </si>
  <si>
    <t>Daniela Andrade Silva</t>
  </si>
  <si>
    <t>P2186142</t>
  </si>
  <si>
    <t>David Pereira Rodrigues</t>
  </si>
  <si>
    <t>FUPOTECH</t>
  </si>
  <si>
    <t>Vanderlei Valentim Vieira</t>
  </si>
  <si>
    <t>P5956452</t>
  </si>
  <si>
    <t>Ivanildo Cavalcante De Souza Junior</t>
  </si>
  <si>
    <t>Jefte Soares Da Silva</t>
  </si>
  <si>
    <t>P2789154</t>
  </si>
  <si>
    <t>Wesley do Nascimento Albuquerque da S</t>
  </si>
  <si>
    <t>Marcelo Dos Santos Mesquita Melo</t>
  </si>
  <si>
    <t>P0944884</t>
  </si>
  <si>
    <t>Taina Alexsander Fernandes Pires</t>
  </si>
  <si>
    <t>Reginaldo Santana De Souza</t>
  </si>
  <si>
    <t>P3229330</t>
  </si>
  <si>
    <t>Adelson Marcos Rodrigues Moreira</t>
  </si>
  <si>
    <t>Vinicius Loula De Sousa</t>
  </si>
  <si>
    <t>P4328875</t>
  </si>
  <si>
    <t>Yam Rodrigo Eugenio Santos</t>
  </si>
  <si>
    <t>Fernando Souza De Almeida</t>
  </si>
  <si>
    <t>P5973917</t>
  </si>
  <si>
    <t>Matheus Cardoso Silva</t>
  </si>
  <si>
    <t>P0648935</t>
  </si>
  <si>
    <t>Lais Silva Pereira</t>
  </si>
  <si>
    <t>P3677883</t>
  </si>
  <si>
    <t>Luciana Souza Pereira</t>
  </si>
  <si>
    <t>P4239658</t>
  </si>
  <si>
    <t>Wendrey Schumaher Lara</t>
  </si>
  <si>
    <t>P3746576</t>
  </si>
  <si>
    <t>Jesse Prates Martins</t>
  </si>
  <si>
    <t>P1045411</t>
  </si>
  <si>
    <t>Backup</t>
  </si>
  <si>
    <t>Edilson Nunes De Souza</t>
  </si>
  <si>
    <t>P2781169</t>
  </si>
  <si>
    <t>Joao Paulo Yasuda</t>
  </si>
  <si>
    <t>P1083823</t>
  </si>
  <si>
    <t>Paulo Wueliton Horacio Fernandes</t>
  </si>
  <si>
    <t>P2848236</t>
  </si>
  <si>
    <t>Thiago Souza Herraez</t>
  </si>
  <si>
    <t>P8230241</t>
  </si>
  <si>
    <t>Caio Pires da Luz</t>
  </si>
  <si>
    <t>P3125922</t>
  </si>
  <si>
    <t>Luiz Fernando dos Santos Ferreira</t>
  </si>
  <si>
    <t>P1643405</t>
  </si>
  <si>
    <t>Jonatas Gomes Tenorio</t>
  </si>
  <si>
    <t>P5907259</t>
  </si>
  <si>
    <t>Vinicius Marques Ferreira Silva</t>
  </si>
  <si>
    <t>P4460230</t>
  </si>
  <si>
    <t>Caroline Amparo Nunes</t>
  </si>
  <si>
    <t>P4759646</t>
  </si>
  <si>
    <t>Paul Ever Honores Maida</t>
  </si>
  <si>
    <t>P5776112</t>
  </si>
  <si>
    <t>Henrique Eulalio De Sousa</t>
  </si>
  <si>
    <t>P6568265</t>
  </si>
  <si>
    <t>Daniel Dantas De Oliveira</t>
  </si>
  <si>
    <t>P2108790</t>
  </si>
  <si>
    <t>Francisco De Assis Devides</t>
  </si>
  <si>
    <t>P4567186</t>
  </si>
  <si>
    <t>Elisangela Rodrigues De Oliveira</t>
  </si>
  <si>
    <t>P2369653</t>
  </si>
  <si>
    <t>Zaelly Suerfia Ferreira da Costa</t>
  </si>
  <si>
    <t>P2728681</t>
  </si>
  <si>
    <t>Vinicius Ferreira Gomes</t>
  </si>
  <si>
    <t>P6034761</t>
  </si>
  <si>
    <t>Jean Carlos Gomes Carrara</t>
  </si>
  <si>
    <t>P2475434</t>
  </si>
  <si>
    <t>Rosangela Cosmo De Souza</t>
  </si>
  <si>
    <t>P5927755</t>
  </si>
  <si>
    <t>Odonilton Firmino de Moura</t>
  </si>
  <si>
    <t>P5364269</t>
  </si>
  <si>
    <t>Tiago Ferreira da Silva</t>
  </si>
  <si>
    <t>P1152966</t>
  </si>
  <si>
    <t>Janio Vinicius Inacio Custodio</t>
  </si>
  <si>
    <t>P0638092</t>
  </si>
  <si>
    <t>Bruno Romualdo Dos Santos</t>
  </si>
  <si>
    <t>P4359210</t>
  </si>
  <si>
    <t>Caio Eiji Arai</t>
  </si>
  <si>
    <t>P7972394</t>
  </si>
  <si>
    <t>Thiago Santos Amaral</t>
  </si>
  <si>
    <t>P5444277</t>
  </si>
  <si>
    <t>Alexandre Martins Martinez</t>
  </si>
  <si>
    <t>P7213506</t>
  </si>
  <si>
    <t>Victor Arruda Do Carmo</t>
  </si>
  <si>
    <t>P2835631</t>
  </si>
  <si>
    <t>Bruno Henrique Santos Da Silva</t>
  </si>
  <si>
    <t>P6414582</t>
  </si>
  <si>
    <t>Kaio Victor de Santana</t>
  </si>
  <si>
    <t>P2301326</t>
  </si>
  <si>
    <t>Reginaldo de Araujo Rosario</t>
  </si>
  <si>
    <t>P3194960</t>
  </si>
  <si>
    <t>Denyse Souza Santos</t>
  </si>
  <si>
    <t>P6526289</t>
  </si>
  <si>
    <t xml:space="preserve">Leandro Ferreira Batista </t>
  </si>
  <si>
    <t>P3390194</t>
  </si>
  <si>
    <t>Priscila Teixeira Nedealcov</t>
  </si>
  <si>
    <t>P0785805</t>
  </si>
  <si>
    <t>Thiago Maciel Lima</t>
  </si>
  <si>
    <t>P3266513</t>
  </si>
  <si>
    <t>David Quirino de Melo</t>
  </si>
  <si>
    <t>P7658372</t>
  </si>
  <si>
    <t>Douglas Fonseca Da Silva</t>
  </si>
  <si>
    <t>P2424066</t>
  </si>
  <si>
    <t>Jose Dos Santos Souza Lima Junior</t>
  </si>
  <si>
    <t>P8022832</t>
  </si>
  <si>
    <t>Renato Miranda Dos Santos</t>
  </si>
  <si>
    <t>P0094489</t>
  </si>
  <si>
    <t>Alan Diego Da Silva</t>
  </si>
  <si>
    <t>P8125016</t>
  </si>
  <si>
    <t xml:space="preserve">Sergio Giunti Junior </t>
  </si>
  <si>
    <t>P3581095</t>
  </si>
  <si>
    <t>Dayane de Souza Ferreira</t>
  </si>
  <si>
    <t>P2032096</t>
  </si>
  <si>
    <t>Claudio Hideki Nakamura</t>
  </si>
  <si>
    <t>P5477566</t>
  </si>
  <si>
    <t>Jessika Aparecida Vieira Do Amaral</t>
  </si>
  <si>
    <t>Mídia Social</t>
  </si>
  <si>
    <t>P0289742</t>
  </si>
  <si>
    <t>Andressa Cristina Da Cruz Rosa</t>
  </si>
  <si>
    <t>P0677176</t>
  </si>
  <si>
    <t>Marivaldo Silva De Oliveira</t>
  </si>
  <si>
    <t>P7117533</t>
  </si>
  <si>
    <t>Valeria Amorim Dos Santos</t>
  </si>
  <si>
    <t>P1739203</t>
  </si>
  <si>
    <t>Agatha Vieira Silva</t>
  </si>
  <si>
    <t>Férias</t>
  </si>
  <si>
    <t>P6593195</t>
  </si>
  <si>
    <t>Renato Jose Miranda Monteiro</t>
  </si>
  <si>
    <t>P1886262</t>
  </si>
  <si>
    <t>Roseli Izabel Da Silva</t>
  </si>
  <si>
    <t>P1332916</t>
  </si>
  <si>
    <t>Artur Berteli De Figueiredo</t>
  </si>
  <si>
    <t>P0141830</t>
  </si>
  <si>
    <t>Rodolfo Barros De Araujo</t>
  </si>
  <si>
    <t>P7493805</t>
  </si>
  <si>
    <t>Erica Araujo</t>
  </si>
  <si>
    <t>Josue Cardoso De Oliveira</t>
  </si>
  <si>
    <t>Order Management</t>
  </si>
  <si>
    <t>P0543876</t>
  </si>
  <si>
    <t>Kleber Santos Junior</t>
  </si>
  <si>
    <t>P7503636</t>
  </si>
  <si>
    <t>Selma Maria Rodrigues</t>
  </si>
  <si>
    <t>P6549223</t>
  </si>
  <si>
    <t>Fernando De Melo Leite</t>
  </si>
  <si>
    <t>P4418300</t>
  </si>
  <si>
    <t>Priscila Ferreira Soutero</t>
  </si>
  <si>
    <t>P4339329</t>
  </si>
  <si>
    <t>Juliane Dias Teixeira</t>
  </si>
  <si>
    <t>P2446994</t>
  </si>
  <si>
    <t>Jaqueline De Souza Silva</t>
  </si>
  <si>
    <t>P4286458</t>
  </si>
  <si>
    <t>Fabio Perez Da Silva</t>
  </si>
  <si>
    <t>P0407362</t>
  </si>
  <si>
    <t>Washington Silva De Oliveira</t>
  </si>
  <si>
    <t>P8101536</t>
  </si>
  <si>
    <t>Rafael Dos Santos</t>
  </si>
  <si>
    <t>P7667182</t>
  </si>
  <si>
    <t>Leonardo Cantilho Maracas</t>
  </si>
  <si>
    <t>P1094319</t>
  </si>
  <si>
    <t>Lucas Almeida Dos Santos</t>
  </si>
  <si>
    <t>P2274964</t>
  </si>
  <si>
    <t>Daniel Sousa Pinheiro</t>
  </si>
  <si>
    <t>P3760576</t>
  </si>
  <si>
    <t>Felipe Alves Barbosa</t>
  </si>
  <si>
    <t>P3688617</t>
  </si>
  <si>
    <t>Erico Luan de Jesus Silva</t>
  </si>
  <si>
    <t>P8090315</t>
  </si>
  <si>
    <t>Alvani Elizabete Aliano de Oliveira</t>
  </si>
  <si>
    <t>P3140211</t>
  </si>
  <si>
    <t>Foi Bing Gun</t>
  </si>
  <si>
    <t>P1405322</t>
  </si>
  <si>
    <t>Renan Cazumba Tegani</t>
  </si>
  <si>
    <t>P6986334</t>
  </si>
  <si>
    <t>Bruno Henrique Padua Colella</t>
  </si>
  <si>
    <t>P0207415</t>
  </si>
  <si>
    <t>Levi De Sousa Barros</t>
  </si>
  <si>
    <t>P5265742</t>
  </si>
  <si>
    <t>Renato Da Silva Andrade</t>
  </si>
  <si>
    <t>P2854913</t>
  </si>
  <si>
    <t>Marcos Nascimento Correia</t>
  </si>
  <si>
    <t>P5440540</t>
  </si>
  <si>
    <t>Stefany Aparecida Alexandre De Franca</t>
  </si>
  <si>
    <t>P4325338</t>
  </si>
  <si>
    <t>Lucas Da Silva Pinto</t>
  </si>
  <si>
    <t>P6990158</t>
  </si>
  <si>
    <t>Clarina Praxedes Alfredo</t>
  </si>
  <si>
    <t>P6632347</t>
  </si>
  <si>
    <t>Mariana Tadim Estevao</t>
  </si>
  <si>
    <t>P2025036</t>
  </si>
  <si>
    <t>Danielle Borges De Oliveira</t>
  </si>
  <si>
    <t>P1889086</t>
  </si>
  <si>
    <t>Filipe Augusto Fernandes De Oliveira</t>
  </si>
  <si>
    <t>P3002829</t>
  </si>
  <si>
    <t>Wellington Da Silva De Oliveira</t>
  </si>
  <si>
    <t>P4317193</t>
  </si>
  <si>
    <t>Katiane Souza Almeida</t>
  </si>
  <si>
    <t>P8062756</t>
  </si>
  <si>
    <t>Eduardo Paixao Oliveira</t>
  </si>
  <si>
    <t>P7316808</t>
  </si>
  <si>
    <t>Kaio Fernandes</t>
  </si>
  <si>
    <t>P7505685</t>
  </si>
  <si>
    <t>Alessandra Garcia Pasin</t>
  </si>
  <si>
    <t>Revenue Generation</t>
  </si>
  <si>
    <t>Mauricio Guimaraes Renesto</t>
  </si>
  <si>
    <t>TCO</t>
  </si>
  <si>
    <t>P4514679</t>
  </si>
  <si>
    <t>Anderson Soares Silveira</t>
  </si>
  <si>
    <t>P0152626</t>
  </si>
  <si>
    <t>Wesley Bertoldo Teixeira</t>
  </si>
  <si>
    <t>P5754610</t>
  </si>
  <si>
    <t>Gilmar Alves Gomes</t>
  </si>
  <si>
    <t>P4553604</t>
  </si>
  <si>
    <t>Viviane De Souza Magrini</t>
  </si>
  <si>
    <t>Emanuelle Lidiane Silva Matos</t>
  </si>
  <si>
    <t>P6085529</t>
  </si>
  <si>
    <t>Fernando Quintino Tavares</t>
  </si>
  <si>
    <t>P5032821</t>
  </si>
  <si>
    <t>Ariel De Sousa Moura</t>
  </si>
  <si>
    <t>P7802773</t>
  </si>
  <si>
    <t>Fabricio Serra</t>
  </si>
  <si>
    <t>P6296189</t>
  </si>
  <si>
    <t>Oliviana Saraiva Almeida</t>
  </si>
  <si>
    <t>P8161396</t>
  </si>
  <si>
    <t>Tatiane Barbosa Fonseca</t>
  </si>
  <si>
    <t>P7686813</t>
  </si>
  <si>
    <t>Jose Ricardo Torres Junior</t>
  </si>
  <si>
    <t>P7210237</t>
  </si>
  <si>
    <t>Patrik Ferreira Araujo</t>
  </si>
  <si>
    <t>P1198859</t>
  </si>
  <si>
    <t>Emerson De Lima Franca</t>
  </si>
  <si>
    <t>P5426113</t>
  </si>
  <si>
    <t>Andrea Carla De Magalhaes</t>
  </si>
  <si>
    <t>Bruna Lima Canteiro</t>
  </si>
  <si>
    <t>Unassisted</t>
  </si>
  <si>
    <t>Ricardo Cairo Oliveira</t>
  </si>
  <si>
    <t>P3929743</t>
  </si>
  <si>
    <t>Suellen Souza Brandao</t>
  </si>
  <si>
    <t>P6720721</t>
  </si>
  <si>
    <t>Rafael Dal Bem Santa Cruz</t>
  </si>
  <si>
    <t>P4937989</t>
  </si>
  <si>
    <t>Lucas Alonso Huamani</t>
  </si>
  <si>
    <t>P0921851</t>
  </si>
  <si>
    <t>Ana Cristina Da Silva Esteves</t>
  </si>
  <si>
    <t>P0307984</t>
  </si>
  <si>
    <t>Diego Ferrete Hernandes</t>
  </si>
  <si>
    <t>P4820778</t>
  </si>
  <si>
    <t>P8168260</t>
  </si>
  <si>
    <t>Aline Vieira Ometto</t>
  </si>
  <si>
    <t>P1922130</t>
  </si>
  <si>
    <t>Lucas Borgheri Monteiro</t>
  </si>
  <si>
    <t>P0449925</t>
  </si>
  <si>
    <t>P3690705</t>
  </si>
  <si>
    <t>Viviane Maria De Souza</t>
  </si>
  <si>
    <t>Alexandro Da Silva Gomes</t>
  </si>
  <si>
    <t>Hpi - Call Back</t>
  </si>
  <si>
    <t>P7447578</t>
  </si>
  <si>
    <t>Wellington De Assis Aquino</t>
  </si>
  <si>
    <t>P4340315</t>
  </si>
  <si>
    <t>André William Azevedo Santos</t>
  </si>
  <si>
    <t>P6200537</t>
  </si>
  <si>
    <t>Eduardo Rosa Dos Santos</t>
  </si>
  <si>
    <t>P6210730</t>
  </si>
  <si>
    <t>Bruno Parreira de Souza</t>
  </si>
  <si>
    <t>Hpi - E-Delivery</t>
  </si>
  <si>
    <t>P7611547</t>
  </si>
  <si>
    <t>Rafael do Nascimento Silva</t>
  </si>
  <si>
    <t>P5091850</t>
  </si>
  <si>
    <t>Cristina Megda Araújo</t>
  </si>
  <si>
    <t>P3145703</t>
  </si>
  <si>
    <t>Christopher Diogo Gomes Messias</t>
  </si>
  <si>
    <t>P2204690</t>
  </si>
  <si>
    <t>Felipe Ferreira Da Silva</t>
  </si>
  <si>
    <t>P0516347</t>
  </si>
  <si>
    <t>Jefferson Rian Ribeiro Rosa</t>
  </si>
  <si>
    <t>P1256059</t>
  </si>
  <si>
    <t>Sabrina Aparecida Da Silva</t>
  </si>
  <si>
    <t>Mps - Printer</t>
  </si>
  <si>
    <t>P8141151</t>
  </si>
  <si>
    <t>Fábio Lucas Silva</t>
  </si>
  <si>
    <t>P4570397</t>
  </si>
  <si>
    <t>Rafael Felix Da Silva</t>
  </si>
  <si>
    <t>P4402075</t>
  </si>
  <si>
    <t>Allan Henrique Camilo</t>
  </si>
  <si>
    <t>P1235940</t>
  </si>
  <si>
    <t>Jaciano Sebastião De Oliveira</t>
  </si>
  <si>
    <t>Bruna De Oliveira Peinado</t>
  </si>
  <si>
    <t>Hpi - Escalation</t>
  </si>
  <si>
    <t>P0228150</t>
  </si>
  <si>
    <t>Libetania de Castro Lima</t>
  </si>
  <si>
    <t>P6132286</t>
  </si>
  <si>
    <t>Fernando De Oliveira Nascimento</t>
  </si>
  <si>
    <t>P7140642</t>
  </si>
  <si>
    <t>Leandro Schimith</t>
  </si>
  <si>
    <t>Mps - Ccsa</t>
  </si>
  <si>
    <t>P5320550</t>
  </si>
  <si>
    <t>Jaime Gomes da Silva</t>
  </si>
  <si>
    <t>P2289744</t>
  </si>
  <si>
    <t>Rodolpho Lopes Magalhaes Gabriel Gomes</t>
  </si>
  <si>
    <t>P5357175</t>
  </si>
  <si>
    <t>André Luiz De Oliveira Dos Santos</t>
  </si>
  <si>
    <t>P6923344</t>
  </si>
  <si>
    <t>João Henrique Da Silva</t>
  </si>
  <si>
    <t>P2688551</t>
  </si>
  <si>
    <t>Ariana Dias Da Silva</t>
  </si>
  <si>
    <t>Mps - Ccsa Reports</t>
  </si>
  <si>
    <t>Rodrigo Da Silva</t>
  </si>
  <si>
    <t>Cintia Aparecida dos Santos</t>
  </si>
  <si>
    <t>Hpe - Call Management</t>
  </si>
  <si>
    <t>Wilson Lucas Gomes Dos Santos</t>
  </si>
  <si>
    <t>P3730636</t>
  </si>
  <si>
    <t>William De Azevedo Viana</t>
  </si>
  <si>
    <t>Hpe - Field Resource Coordinator</t>
  </si>
  <si>
    <t>Gabriel Monteiro Camargo Da Silva</t>
  </si>
  <si>
    <t>Hpe - Onsite Coordinator</t>
  </si>
  <si>
    <t>Kevin Radhge Favaro Rodrigues</t>
  </si>
  <si>
    <t>P6260008</t>
  </si>
  <si>
    <t>Erilane Souza</t>
  </si>
  <si>
    <t>Andressa Souza Alves</t>
  </si>
  <si>
    <t>P0752624</t>
  </si>
  <si>
    <t xml:space="preserve">Antonio de Jesus Doria Filho </t>
  </si>
  <si>
    <t>Danilo Da Silva Constantino Farias</t>
  </si>
  <si>
    <t>Thiago Feitosa Galvão</t>
  </si>
  <si>
    <t>Leticia Gomes Targino</t>
  </si>
  <si>
    <t>Patricia krypotos de Souza</t>
  </si>
  <si>
    <t>Hebert Gimenez da Costa</t>
  </si>
  <si>
    <t>Ivan Leonardo Gomes Moreira da Silva</t>
  </si>
  <si>
    <t>Lucimara Santos De Oliveira Andriolli</t>
  </si>
  <si>
    <t>Priscilla Aparecida Cassimiro</t>
  </si>
  <si>
    <t>Patrícia Gonçalves de Oliveira</t>
  </si>
  <si>
    <t>Douglas Carvalho Vieira</t>
  </si>
  <si>
    <t>Helem Priscila Almeida Do Amaral</t>
  </si>
  <si>
    <t>Rogerio Stanisci Gomes</t>
  </si>
  <si>
    <t>Hélio Henrique Roque</t>
  </si>
  <si>
    <t>Claudio Da Silva Mendonça</t>
  </si>
  <si>
    <t>Marcela Kelly Goncalves</t>
  </si>
  <si>
    <t>Hpi - Lom</t>
  </si>
  <si>
    <t>P2078975</t>
  </si>
  <si>
    <t>Caique Lucena Dos Santos</t>
  </si>
  <si>
    <t>P6528246</t>
  </si>
  <si>
    <t>Fernando de Mello Souza</t>
  </si>
  <si>
    <t>P1925609</t>
  </si>
  <si>
    <t>Lucineide Nascimento Santos Apolinario</t>
  </si>
  <si>
    <t>Hpi - Partner Accept</t>
  </si>
  <si>
    <t>P6041704</t>
  </si>
  <si>
    <t>Tatiana Oliveira dos Santos</t>
  </si>
  <si>
    <t>P4030785</t>
  </si>
  <si>
    <t>Diogo Ferreira da Silva</t>
  </si>
  <si>
    <t>Daniel Pinheiro Do Nascimento</t>
  </si>
  <si>
    <t>P6435307</t>
  </si>
  <si>
    <t>Luis Henrique De Toledo</t>
  </si>
  <si>
    <t>P2811119</t>
  </si>
  <si>
    <t>Luciana Souza De Oliveira Silva</t>
  </si>
  <si>
    <t>P5690567</t>
  </si>
  <si>
    <t>Ana Karolini Dos Santos Lima</t>
  </si>
  <si>
    <t>P2920711</t>
  </si>
  <si>
    <t>Patrícia Caroline C. Dos Santos</t>
  </si>
  <si>
    <t>Hpi - Quality Check</t>
  </si>
  <si>
    <t>Patricia Silva De Jesus</t>
  </si>
  <si>
    <t>P6870075</t>
  </si>
  <si>
    <t>Camila Santana Florentino de Souza</t>
  </si>
  <si>
    <t>P2353607</t>
  </si>
  <si>
    <t>Yugner Tokunaga da Silva</t>
  </si>
  <si>
    <t>P7814671</t>
  </si>
  <si>
    <t xml:space="preserve">Emerson Gomes de Oliveira </t>
  </si>
  <si>
    <t>P8062393</t>
  </si>
  <si>
    <t>Fabio Daniel Souza Rodrigues</t>
  </si>
  <si>
    <t>Mps - Partner Accept</t>
  </si>
  <si>
    <t>P7623897</t>
  </si>
  <si>
    <t>Cristina Lins Da Silva</t>
  </si>
  <si>
    <t>p3394581</t>
  </si>
  <si>
    <t>Carla Alves Ferreira</t>
  </si>
  <si>
    <t>P7916792</t>
  </si>
  <si>
    <t>Genilson De Brito</t>
  </si>
  <si>
    <t>Mps - Quality Check</t>
  </si>
  <si>
    <t>P2100027</t>
  </si>
  <si>
    <t>Adriano Da Assunção Fornazari</t>
  </si>
  <si>
    <t>P1663955</t>
  </si>
  <si>
    <t>Juliana Aparecida dos Santos</t>
  </si>
  <si>
    <t>P4529833</t>
  </si>
  <si>
    <t>Maria Aparecida Marques De Souza</t>
  </si>
  <si>
    <t>Hpi - Printer</t>
  </si>
  <si>
    <t>P7510871</t>
  </si>
  <si>
    <t>Rafael Costa Da Silva</t>
  </si>
  <si>
    <t>P2951735</t>
  </si>
  <si>
    <t>Jose Ivancris Batista Dos Santos</t>
  </si>
  <si>
    <t>P5729980</t>
  </si>
  <si>
    <t>Danilo Leite Dias</t>
  </si>
  <si>
    <t>P7204113</t>
  </si>
  <si>
    <t>Erica Santos De Azevedo</t>
  </si>
  <si>
    <t>P7783173</t>
  </si>
  <si>
    <t>Rebert De Oliveira Souza</t>
  </si>
  <si>
    <t xml:space="preserve">P7458273            </t>
  </si>
  <si>
    <t>Luiz Felipe Pereira</t>
  </si>
  <si>
    <t>P5183492</t>
  </si>
  <si>
    <t>Rodrigo Bernabé De Morais</t>
  </si>
  <si>
    <t>P6651062</t>
  </si>
  <si>
    <t>Willian Araujo Silva</t>
  </si>
  <si>
    <t>P4033552</t>
  </si>
  <si>
    <t>Jonas Pinheiro Batista</t>
  </si>
  <si>
    <t>P2352077</t>
  </si>
  <si>
    <t>Patrick Aparecido Arbos Da Silva</t>
  </si>
  <si>
    <t>P4288926</t>
  </si>
  <si>
    <t>Yuri Rodrigues Laranjeira</t>
  </si>
  <si>
    <t>P6656199</t>
  </si>
  <si>
    <t>Clayton Gomes de Lima</t>
  </si>
  <si>
    <t>P6899914</t>
  </si>
  <si>
    <t>Jeferson Silveira Santos</t>
  </si>
  <si>
    <t>P8320741</t>
  </si>
  <si>
    <t>Jessica Caleffi</t>
  </si>
  <si>
    <t>P0065964</t>
  </si>
  <si>
    <t>Paulinny Gomes</t>
  </si>
  <si>
    <t>P3045974</t>
  </si>
  <si>
    <t>Denilson Venancio Ferreira</t>
  </si>
  <si>
    <t>P5014430</t>
  </si>
  <si>
    <t>Everton Eidi Tomizaki</t>
  </si>
  <si>
    <t>Priscila Mariana Da Silva</t>
  </si>
  <si>
    <t>Hpi - Pc</t>
  </si>
  <si>
    <t>P7790078</t>
  </si>
  <si>
    <t>Elison Evaristo de Souza</t>
  </si>
  <si>
    <t>P8201748</t>
  </si>
  <si>
    <t>Thiago Lima Galhardo</t>
  </si>
  <si>
    <t>P5679154</t>
  </si>
  <si>
    <t>Takeo Guilheme Mizuno</t>
  </si>
  <si>
    <t>P8036103</t>
  </si>
  <si>
    <t>Thiago Lins Illipronti</t>
  </si>
  <si>
    <t>P2986624</t>
  </si>
  <si>
    <t>Samuel De Oliveira</t>
  </si>
  <si>
    <t>P4316223</t>
  </si>
  <si>
    <t>Patrik Alexandre Ramos</t>
  </si>
  <si>
    <t>P5713853</t>
  </si>
  <si>
    <t>Anderson Aparecido de Jesus</t>
  </si>
  <si>
    <t>P2588825</t>
  </si>
  <si>
    <t>João Pizato dos Santos</t>
  </si>
  <si>
    <t>P4464281</t>
  </si>
  <si>
    <t>Jose Rodrigo Trajano Da Silva</t>
  </si>
  <si>
    <t>P7760635</t>
  </si>
  <si>
    <t>Bruno Fagundes De Souza</t>
  </si>
  <si>
    <t>P2873920</t>
  </si>
  <si>
    <t>Jessica Bruna Romeiro De Souza</t>
  </si>
  <si>
    <t>P7529205</t>
  </si>
  <si>
    <t>Lazaro Barbosa De Oliveira</t>
  </si>
  <si>
    <t>P7159513</t>
  </si>
  <si>
    <t>Daniele Aparecida Napoleao Silveira</t>
  </si>
  <si>
    <t>Hpi 1.5</t>
  </si>
  <si>
    <t>P7607744</t>
  </si>
  <si>
    <t>Rafael Santana Florentino De Souza</t>
  </si>
  <si>
    <t>P2540978</t>
  </si>
  <si>
    <t>Patricia De Franca Ferreira</t>
  </si>
  <si>
    <t>P2053471</t>
  </si>
  <si>
    <t>Guilherme Silvano Silva</t>
  </si>
  <si>
    <t>P7203501</t>
  </si>
  <si>
    <t>Fernando Carlos Santos</t>
  </si>
  <si>
    <t>Hpi Graphic Arts</t>
  </si>
  <si>
    <t>P2231340</t>
  </si>
  <si>
    <t>Guilherme Schaefer Dos Santos</t>
  </si>
  <si>
    <t>Hugo Pereira Torralvo</t>
  </si>
  <si>
    <t>P6240497</t>
  </si>
  <si>
    <t>Daniel Pereira Da Silva</t>
  </si>
  <si>
    <t>P2793344</t>
  </si>
  <si>
    <t>Camila Goncalves De Almeida Ramos</t>
  </si>
  <si>
    <t>P1603389</t>
  </si>
  <si>
    <t>Tiago Aparecido Da Costa Machado</t>
  </si>
  <si>
    <t>Renata de Oliveira Peinado</t>
  </si>
  <si>
    <t>P0885746</t>
  </si>
  <si>
    <t>Erick Oliveira Ferreira</t>
  </si>
  <si>
    <t>P6283752</t>
  </si>
  <si>
    <t>Jessica Da Silva Almeida</t>
  </si>
  <si>
    <t>P3018712</t>
  </si>
  <si>
    <t>Elisangela Basilio Henrique</t>
  </si>
  <si>
    <t>Hpi - Follow Up</t>
  </si>
  <si>
    <t>P4197920</t>
  </si>
  <si>
    <t>Valdirene Maria Torres</t>
  </si>
  <si>
    <t>P1918974</t>
  </si>
  <si>
    <t>Renata Lopes Nascimento</t>
  </si>
  <si>
    <t>P1358771</t>
  </si>
  <si>
    <t>Nathaly Lopes</t>
  </si>
  <si>
    <t>P3730506</t>
  </si>
  <si>
    <t>Bruna Nascimento De Souza</t>
  </si>
  <si>
    <t>P6322755</t>
  </si>
  <si>
    <t>Jairo Dos Santos Junior</t>
  </si>
  <si>
    <t>Patricia Struck</t>
  </si>
  <si>
    <t>P2022882</t>
  </si>
  <si>
    <t>Jaqueline Plugliei Sobrinho</t>
  </si>
  <si>
    <t>P7881346</t>
  </si>
  <si>
    <t>Robson Marques da Silva Campos</t>
  </si>
  <si>
    <t>P2422040</t>
  </si>
  <si>
    <t>Juliana Fernandes Fileno Batista</t>
  </si>
  <si>
    <t>P7951017</t>
  </si>
  <si>
    <t>Bruno Fernando M. Pereira</t>
  </si>
  <si>
    <t>P6464194</t>
  </si>
  <si>
    <t xml:space="preserve">Talita Soares Dantas </t>
  </si>
  <si>
    <t>P0304663</t>
  </si>
  <si>
    <t>Erik Allan Moreira Oliveira Araujo</t>
  </si>
  <si>
    <t>P0778591</t>
  </si>
  <si>
    <t xml:space="preserve">Juliete Bispo De Oliveira </t>
  </si>
  <si>
    <t>Rodrigo Manganaro</t>
  </si>
  <si>
    <t>Hpi - Pc Quality</t>
  </si>
  <si>
    <t>Paulo Lucas Canuto De Souza</t>
  </si>
  <si>
    <t>Bruno Cesar Da Silva Alves</t>
  </si>
  <si>
    <t>Silvania Maria De Sena</t>
  </si>
  <si>
    <t>Hpe - Ccsa Reports</t>
  </si>
  <si>
    <t>Giulianna Decco</t>
  </si>
  <si>
    <t>Eliene De Oliveira</t>
  </si>
  <si>
    <t>Silvania Maria de Sena</t>
  </si>
  <si>
    <t>Vinícius Moreira dos Santos</t>
  </si>
  <si>
    <t>Josie Tiemi Arata</t>
  </si>
  <si>
    <t>Paula Santos De Brito</t>
  </si>
  <si>
    <t>P2177992</t>
  </si>
  <si>
    <t>Vanessa Marcos Guimaraes</t>
  </si>
  <si>
    <t>Simone Lucilio Alves</t>
  </si>
  <si>
    <t>Priscila Rodrigues da Cruz</t>
  </si>
  <si>
    <t>P4059797</t>
  </si>
  <si>
    <t>Luciclece Brito De Morais</t>
  </si>
  <si>
    <t>Kleber De Oliveira Viana</t>
  </si>
  <si>
    <t>Angélica dos Santos Oliveira</t>
  </si>
  <si>
    <t>Alessandra Aparecida Dos Santos Faria</t>
  </si>
  <si>
    <t>Evelyn Cristine Fernandes</t>
  </si>
  <si>
    <t>Marcia Rezende Zuca</t>
  </si>
  <si>
    <t>Patrícia Aparecida Feitoza</t>
  </si>
  <si>
    <t>Guilherme Dias Barboza</t>
  </si>
  <si>
    <t>Michel Zuccatti</t>
  </si>
  <si>
    <t>Hpe - Onsite Coordinator Trilingual</t>
  </si>
  <si>
    <t>Silvanice Borges Oliveira</t>
  </si>
  <si>
    <t>Hpe - Queue Watcher</t>
  </si>
  <si>
    <t>P4537142</t>
  </si>
  <si>
    <t>Mirian Siqueira Gonçalves</t>
  </si>
  <si>
    <t>P7897720</t>
  </si>
  <si>
    <t>Jessica Maria Ribeiro Santos</t>
  </si>
  <si>
    <t>Marcio Feitoza Vieira Barreto</t>
  </si>
  <si>
    <t>Hpe - Onsite Coordinator Night Shift</t>
  </si>
  <si>
    <t>SKILL</t>
  </si>
  <si>
    <t>EM PROCESSO</t>
  </si>
  <si>
    <t>MENTOR</t>
  </si>
  <si>
    <t>VAL. WEB</t>
  </si>
  <si>
    <t>PARCIAL</t>
  </si>
  <si>
    <t>GERAL</t>
  </si>
  <si>
    <t>p2728681</t>
  </si>
  <si>
    <t xml:space="preserve"> </t>
  </si>
  <si>
    <t>P5291018</t>
  </si>
  <si>
    <t>Funcional</t>
  </si>
  <si>
    <t>Telefonia</t>
  </si>
  <si>
    <t>Login Astro</t>
  </si>
  <si>
    <t>Nome</t>
  </si>
  <si>
    <t>Supervisor</t>
  </si>
  <si>
    <t>Grupo</t>
  </si>
  <si>
    <t>4H</t>
  </si>
  <si>
    <t>Hpi - escalation</t>
  </si>
  <si>
    <t>ACESSO Á BASE DE CASOS</t>
  </si>
  <si>
    <t>OBSERVAÇÃO</t>
  </si>
  <si>
    <t>CASE ID</t>
  </si>
  <si>
    <t>Natasha Julia de Paulo</t>
  </si>
  <si>
    <t>Treinamento</t>
  </si>
  <si>
    <t>Mateus Daniel Amaral Silva</t>
  </si>
  <si>
    <t>PL</t>
  </si>
  <si>
    <t>4X</t>
  </si>
  <si>
    <t>SB</t>
  </si>
  <si>
    <t>2A</t>
  </si>
  <si>
    <t>2B</t>
  </si>
  <si>
    <t>2Q</t>
  </si>
  <si>
    <t>5M</t>
  </si>
  <si>
    <t>C2</t>
  </si>
  <si>
    <t>DL</t>
  </si>
  <si>
    <t>K5</t>
  </si>
  <si>
    <t>KN</t>
  </si>
  <si>
    <t>KP</t>
  </si>
  <si>
    <t>2G</t>
  </si>
  <si>
    <t>2H</t>
  </si>
  <si>
    <t>9G</t>
  </si>
  <si>
    <t>#</t>
  </si>
  <si>
    <t>5I</t>
  </si>
  <si>
    <t>3Y</t>
  </si>
  <si>
    <t>6V</t>
  </si>
  <si>
    <t>6X</t>
  </si>
  <si>
    <t>7S</t>
  </si>
  <si>
    <t>7V</t>
  </si>
  <si>
    <t>8A</t>
  </si>
  <si>
    <t>4T</t>
  </si>
  <si>
    <t>6U</t>
  </si>
  <si>
    <t>EZ</t>
  </si>
  <si>
    <t>HQ</t>
  </si>
  <si>
    <t>1N</t>
  </si>
  <si>
    <t>PQ</t>
  </si>
  <si>
    <t>MA</t>
  </si>
  <si>
    <t>T2</t>
  </si>
  <si>
    <t>T4</t>
  </si>
  <si>
    <t>LY</t>
  </si>
  <si>
    <t>AN</t>
  </si>
  <si>
    <t>4L</t>
  </si>
  <si>
    <t>5T</t>
  </si>
  <si>
    <t>7F</t>
  </si>
  <si>
    <t>R4</t>
  </si>
  <si>
    <t>UK</t>
  </si>
  <si>
    <t>AK</t>
  </si>
  <si>
    <t>p5907259</t>
  </si>
  <si>
    <t>HP Officejet Pro 8610 e-All-in-One Printer</t>
  </si>
  <si>
    <t>p4460230</t>
  </si>
  <si>
    <t>LAR-E-SITL_SAO_BR-PT-ALL_CONS-LVL1</t>
  </si>
  <si>
    <t>p6526289</t>
  </si>
  <si>
    <t>p1643405</t>
  </si>
  <si>
    <t>Agentes</t>
  </si>
  <si>
    <t>IN PROCESS</t>
  </si>
  <si>
    <t>WEB IN.</t>
  </si>
  <si>
    <t>TOTAL</t>
  </si>
  <si>
    <t>EQUIPE</t>
  </si>
  <si>
    <t>p1045411</t>
  </si>
  <si>
    <t>Jonatas Tenorio</t>
  </si>
  <si>
    <t>p2781169</t>
  </si>
  <si>
    <t>p3677883</t>
  </si>
  <si>
    <t>HP Officejet Pro 6830 e-All-in-One Printer</t>
  </si>
  <si>
    <t>3036050718</t>
  </si>
  <si>
    <t>MARCIO VINICIUS DE CASTRO BARCELOS</t>
  </si>
  <si>
    <t>(313)4686269</t>
  </si>
  <si>
    <t>31996963770</t>
  </si>
  <si>
    <t>NAO DA BOOT PELO PENDRIVE</t>
  </si>
  <si>
    <t>HP Pavilion 360 - 11-n127br</t>
  </si>
  <si>
    <t>3036087550</t>
  </si>
  <si>
    <t>NICELINA ISABELA R DA ROSA</t>
  </si>
  <si>
    <t>(473)4360733</t>
  </si>
  <si>
    <t>47991860238</t>
  </si>
  <si>
    <t>PROBLEMA NO CARTUCHO</t>
  </si>
  <si>
    <t>HP Deskjet Ink Advantage 2546 All-in-One Printer</t>
  </si>
  <si>
    <t>HP Officejet Pro 8100 ePrinter - N811a/N811d</t>
  </si>
  <si>
    <t>3036120462</t>
  </si>
  <si>
    <t>INSTALAÇAO</t>
  </si>
  <si>
    <t>p6568265</t>
  </si>
  <si>
    <t>HP OfficeJet Pro 6230 ePrinter</t>
  </si>
  <si>
    <t>HP DeskJet Ink Advantage 4676 All-in-One Printer</t>
  </si>
  <si>
    <t>3036120324</t>
  </si>
  <si>
    <t>NAO CONECTA NA REDE WIRELESS</t>
  </si>
  <si>
    <t>3036130795</t>
  </si>
  <si>
    <t>ATOLAMENTO DE PAPEL</t>
  </si>
  <si>
    <t>HP Deskjet Ink Advantage 4615 All-in-One Printer</t>
  </si>
  <si>
    <t>JEFFERSON RIPI DA SILVA</t>
  </si>
  <si>
    <t>14981099922</t>
  </si>
  <si>
    <t>11999176445</t>
  </si>
  <si>
    <t>DEBORA APARECIDA FARINA</t>
  </si>
  <si>
    <t>(114)0363865</t>
  </si>
  <si>
    <t>11972502334</t>
  </si>
  <si>
    <t>LUAN BANE NERY JACCOUD</t>
  </si>
  <si>
    <t>(753)3312515</t>
  </si>
  <si>
    <t>75999226630</t>
  </si>
  <si>
    <t>3036156845</t>
  </si>
  <si>
    <t>CUT - INSTALAÇAO SEM FIO</t>
  </si>
  <si>
    <t>HP DeskJet Ink Advantage 3636 All-in-One Printer</t>
  </si>
  <si>
    <t>HP DeskJet Ink Advantage 2136 All-in-One Printer</t>
  </si>
  <si>
    <t>p0648935</t>
  </si>
  <si>
    <t>3036154936</t>
  </si>
  <si>
    <t>ERRO DE CABEÇOTE</t>
  </si>
  <si>
    <t>3036154536</t>
  </si>
  <si>
    <t>FALHA NA CABEÇA DE IMPRESSÃO</t>
  </si>
  <si>
    <t>3036061164</t>
  </si>
  <si>
    <t>TATIANA DE OLIVEIRA</t>
  </si>
  <si>
    <t>(413)0140321</t>
  </si>
  <si>
    <t>41999644495</t>
  </si>
  <si>
    <t>ERRO DE CARTUCHO</t>
  </si>
  <si>
    <t>3036153896</t>
  </si>
  <si>
    <t>KELLY CRISTINA MOURA</t>
  </si>
  <si>
    <t>27999883371</t>
  </si>
  <si>
    <t>27998490869</t>
  </si>
  <si>
    <t>DUPLICAÇÃO DE IMPRESSÃO</t>
  </si>
  <si>
    <t>HP LaserJet Pro MFP M127fn</t>
  </si>
  <si>
    <t>NEEMIAS DA SILVA MARINHO</t>
  </si>
  <si>
    <t>84988015950</t>
  </si>
  <si>
    <t>84988985519</t>
  </si>
  <si>
    <t>RODRIGO NOGUEIRA SOFF</t>
  </si>
  <si>
    <t>61992683626</t>
  </si>
  <si>
    <t>ANA CATARINA ONOFRI DANTAS</t>
  </si>
  <si>
    <t>31998730383</t>
  </si>
  <si>
    <t>HP DeskJet Ink Advantage Ultra 4729 All-in-One Printer</t>
  </si>
  <si>
    <t>3036217623</t>
  </si>
  <si>
    <t>PROBLEMA NO CARTUCHO PRETO</t>
  </si>
  <si>
    <t>HP Deskjet 3050 All-in-One Printer - J610a</t>
  </si>
  <si>
    <t>3036213082</t>
  </si>
  <si>
    <t>HP OfficeJet 7110 Wide Format ePrinter - H812a</t>
  </si>
  <si>
    <t>BRUNO PESSOA DA SILVA MALTA</t>
  </si>
  <si>
    <t>81996330463</t>
  </si>
  <si>
    <t>(813)3419365</t>
  </si>
  <si>
    <t>75988894947</t>
  </si>
  <si>
    <t>NAO INICIA</t>
  </si>
  <si>
    <t>LAR-E-SITL_SAO_BR-PT-ALL-POP0</t>
  </si>
  <si>
    <t>Jesse Martins</t>
  </si>
  <si>
    <t>JECICA LIMA DO CARMO TELES</t>
  </si>
  <si>
    <t>3036249758</t>
  </si>
  <si>
    <t>MARCELO VALE ASARI</t>
  </si>
  <si>
    <t>61981364780</t>
  </si>
  <si>
    <t>NAO TRACIONA PAPEL</t>
  </si>
  <si>
    <t>3036254361</t>
  </si>
  <si>
    <t>RITA DE CASSIA POLI RIZZO</t>
  </si>
  <si>
    <t>(112)4781987</t>
  </si>
  <si>
    <t>11999129560</t>
  </si>
  <si>
    <t>NÃO TRACIONA O PAPEL</t>
  </si>
  <si>
    <t>vinicius marques</t>
  </si>
  <si>
    <t>p2789154</t>
  </si>
  <si>
    <t>3036259341</t>
  </si>
  <si>
    <t>RAISSA FIGUEIREDO LACERDA</t>
  </si>
  <si>
    <t>11965172375</t>
  </si>
  <si>
    <t>61994415555</t>
  </si>
  <si>
    <t>NÃO INICIA</t>
  </si>
  <si>
    <t>HP Pavilion 11-n025br x360 PC</t>
  </si>
  <si>
    <t>3036262625</t>
  </si>
  <si>
    <t>CARLOS HENRIQUE KUCZKOWFKI RODRIGUES</t>
  </si>
  <si>
    <t>44998842326</t>
  </si>
  <si>
    <t>43996051428</t>
  </si>
  <si>
    <t>HP 7.1 1201br Tablet</t>
  </si>
  <si>
    <t>Ivanildo Junior</t>
  </si>
  <si>
    <t>p3746576</t>
  </si>
  <si>
    <t>3036287345</t>
  </si>
  <si>
    <t>V# NÃO INICIA</t>
  </si>
  <si>
    <t>HP Notebook - 14-ac102br</t>
  </si>
  <si>
    <t>3036287214</t>
  </si>
  <si>
    <t>SAMYR HISSA</t>
  </si>
  <si>
    <t>(222)7238080</t>
  </si>
  <si>
    <t>22999812600</t>
  </si>
  <si>
    <t>NÃO IMPRIME EM A3</t>
  </si>
  <si>
    <t>HP OfficeJet 7612 Wide Format e-All-in-One</t>
  </si>
  <si>
    <t>ADONIS JOSE DE FREITAS VIEIRA</t>
  </si>
  <si>
    <t>11975359466</t>
  </si>
  <si>
    <t>3036287719</t>
  </si>
  <si>
    <t>MARIA DALINE DE QUEIROZ</t>
  </si>
  <si>
    <t>84998562975</t>
  </si>
  <si>
    <t>ERRO DE CABECA DE IMPRESSAO</t>
  </si>
  <si>
    <t>LAR-P-SITL_SAO_BR-PT-BCD_CONS-LVL1</t>
  </si>
  <si>
    <t>3036322285</t>
  </si>
  <si>
    <t>CB-13862475</t>
  </si>
  <si>
    <t>E4 -NÃO TRACIONA</t>
  </si>
  <si>
    <t>CB-13864882</t>
  </si>
  <si>
    <t>LUZES DE ERRO // ERRO FATAL</t>
  </si>
  <si>
    <t>CB-13861393</t>
  </si>
  <si>
    <t>3036323009</t>
  </si>
  <si>
    <t>CB-13862526</t>
  </si>
  <si>
    <t>Zaelly Costa</t>
  </si>
  <si>
    <t>3036322988</t>
  </si>
  <si>
    <t>CB-13862605</t>
  </si>
  <si>
    <t>AJUDA NO MANUSEIO DO EQUIPAMENTO E SEUS COMPONENTES.</t>
  </si>
  <si>
    <t>3036336883</t>
  </si>
  <si>
    <t>CB-13866412</t>
  </si>
  <si>
    <t>NÃO INSTALAÇÃO</t>
  </si>
  <si>
    <t>(273)7633353</t>
  </si>
  <si>
    <t>(613)5227591</t>
  </si>
  <si>
    <t>(813)3412766</t>
  </si>
  <si>
    <t>(753)2433651</t>
  </si>
  <si>
    <t>p8230241</t>
  </si>
  <si>
    <t>(114)4564782</t>
  </si>
  <si>
    <t>3036319798</t>
  </si>
  <si>
    <t>GUSTAVO AUGUSTO DE MOURA E SILVA</t>
  </si>
  <si>
    <t>3132115900</t>
  </si>
  <si>
    <t>31973065612</t>
  </si>
  <si>
    <t>PROBLEMA NO CABEÇOTE DE IMPRESSÃO</t>
  </si>
  <si>
    <t>3036320713</t>
  </si>
  <si>
    <t>JOAO PAULO ALMEIDA DOS SANTOS</t>
  </si>
  <si>
    <t>83988302743</t>
  </si>
  <si>
    <t>ITEM FALTANTE</t>
  </si>
  <si>
    <t>3036321208</t>
  </si>
  <si>
    <t>EDUARDO D AMARAL PACHECO</t>
  </si>
  <si>
    <t>(112)6351359</t>
  </si>
  <si>
    <t>11996893499</t>
  </si>
  <si>
    <t>CARRO TRAVADO</t>
  </si>
  <si>
    <t>3036321549</t>
  </si>
  <si>
    <t>VALDIRENE MERCES DA SILVA SANTOS</t>
  </si>
  <si>
    <t>91987070654</t>
  </si>
  <si>
    <t>ERRO NO CARTUCHO PRETO</t>
  </si>
  <si>
    <t>3036321584</t>
  </si>
  <si>
    <t>SILVIO MASATO OHNISHI</t>
  </si>
  <si>
    <t>12988906879</t>
  </si>
  <si>
    <t>NAO RECONHECE CARTUCHO PRETO</t>
  </si>
  <si>
    <t>3036321649</t>
  </si>
  <si>
    <t>CARLOS ALBERTO PACHECO COCCARELLI</t>
  </si>
  <si>
    <t>2225282297</t>
  </si>
  <si>
    <t>21999959484</t>
  </si>
  <si>
    <t>IMPRESSÃO SAI SEM CIANO</t>
  </si>
  <si>
    <t>EDUARDO MARINHO</t>
  </si>
  <si>
    <t>7933461672</t>
  </si>
  <si>
    <t>79988003336</t>
  </si>
  <si>
    <t>3036322370</t>
  </si>
  <si>
    <t>JOSMAR CORREA RIBEIRO</t>
  </si>
  <si>
    <t>6536272031</t>
  </si>
  <si>
    <t>65984112172</t>
  </si>
  <si>
    <t>LAURA DE ANDRADE MOREIRA</t>
  </si>
  <si>
    <t>2421094034</t>
  </si>
  <si>
    <t>21981476359</t>
  </si>
  <si>
    <t>24992614685</t>
  </si>
  <si>
    <t>SUZANA AZEVEDO DE OLIVEIRA</t>
  </si>
  <si>
    <t>32988768623</t>
  </si>
  <si>
    <t>32988412852</t>
  </si>
  <si>
    <t>3036323845</t>
  </si>
  <si>
    <t>ANA PAULA SANTOS</t>
  </si>
  <si>
    <t>9935254761</t>
  </si>
  <si>
    <t>99982375504</t>
  </si>
  <si>
    <t>NÃO PUXA O PAPEL</t>
  </si>
  <si>
    <t>3036324095</t>
  </si>
  <si>
    <t>ANA RODRIGUES MAXIMO</t>
  </si>
  <si>
    <t>2731200008</t>
  </si>
  <si>
    <t>27996483411</t>
  </si>
  <si>
    <t>NAO LIGA</t>
  </si>
  <si>
    <t>HP DeskJet Ink Advantage 4536 All-in-One Printer</t>
  </si>
  <si>
    <t>3036324354</t>
  </si>
  <si>
    <t>HIROMI ICHIJO</t>
  </si>
  <si>
    <t>(112)7710431</t>
  </si>
  <si>
    <t>15974011724</t>
  </si>
  <si>
    <t>NÃO RECONHECE CARTUCHO COLORIDO</t>
  </si>
  <si>
    <t>3036326242</t>
  </si>
  <si>
    <t>CLAUDINEI FELIS</t>
  </si>
  <si>
    <t>1436522291</t>
  </si>
  <si>
    <t>14981668041</t>
  </si>
  <si>
    <t>p5444277</t>
  </si>
  <si>
    <t>3036328102</t>
  </si>
  <si>
    <t>ETTORE LEITE DE SOUZA</t>
  </si>
  <si>
    <t>1532252334</t>
  </si>
  <si>
    <t>IMPRESSORA ENTRA EM MODO DE RESFRIAMENTO</t>
  </si>
  <si>
    <t>HP Color LaserJet Pro MFP M176n</t>
  </si>
  <si>
    <t>3036330627</t>
  </si>
  <si>
    <t>MAIANA ALMEIDA LIMA SABOIA</t>
  </si>
  <si>
    <t>5135199456</t>
  </si>
  <si>
    <t>51981859901</t>
  </si>
  <si>
    <t>ADILSON PEREIRA DE GODOY</t>
  </si>
  <si>
    <t>1140356122</t>
  </si>
  <si>
    <t>11971313166</t>
  </si>
  <si>
    <t>Web - Inbound Call</t>
  </si>
  <si>
    <t>3036325538</t>
  </si>
  <si>
    <t>WAGNER ORTEGA</t>
  </si>
  <si>
    <t>11986156503</t>
  </si>
  <si>
    <t>11973372799</t>
  </si>
  <si>
    <t>IN PROCESS BCD</t>
  </si>
  <si>
    <t>CASE TAT</t>
  </si>
  <si>
    <t>p0094489</t>
  </si>
  <si>
    <t>renato miranda</t>
  </si>
  <si>
    <t>(843)3512590</t>
  </si>
  <si>
    <t>v# PROBLEMA NO CABEÇOTE DE IMPRESSAO</t>
  </si>
  <si>
    <t>(833)2012394</t>
  </si>
  <si>
    <t>p2108790</t>
  </si>
  <si>
    <t>daniel doliveira</t>
  </si>
  <si>
    <t>3036351800</t>
  </si>
  <si>
    <t>Klevisson Araújo</t>
  </si>
  <si>
    <t>84996204433</t>
  </si>
  <si>
    <t>84994413710</t>
  </si>
  <si>
    <t>RISCO NO ADF NA DIGITALIZACAO E COPIA</t>
  </si>
  <si>
    <t>HP Officejet Pro 8620 e-All-in-One Printer</t>
  </si>
  <si>
    <t>3036352577</t>
  </si>
  <si>
    <t>Ro Schmittd</t>
  </si>
  <si>
    <t>21967112903</t>
  </si>
  <si>
    <t>11997477498</t>
  </si>
  <si>
    <t>TOUCHSCREAN NAO FUNCIONA</t>
  </si>
  <si>
    <t>HP Pavilion x360 - 11-n226br (ENERGY STAR)</t>
  </si>
  <si>
    <t>3036352805</t>
  </si>
  <si>
    <t>ANTONIO AMORIM DE SOUZA</t>
  </si>
  <si>
    <t>1238825162</t>
  </si>
  <si>
    <t>12996080037</t>
  </si>
  <si>
    <t>ITENS FALTANTES</t>
  </si>
  <si>
    <t>3036354379</t>
  </si>
  <si>
    <t>ADRIANO GUERIN</t>
  </si>
  <si>
    <t>1136134000</t>
  </si>
  <si>
    <t>11999778768</t>
  </si>
  <si>
    <t>1147488059</t>
  </si>
  <si>
    <t>HP All-in-One - 18-5200br (ENERGY STAR)</t>
  </si>
  <si>
    <t>3036354532</t>
  </si>
  <si>
    <t>ERIKA DE SOUSA SANTOS</t>
  </si>
  <si>
    <t>1146664680</t>
  </si>
  <si>
    <t>1146679024</t>
  </si>
  <si>
    <t>CUT - PIXELS QUEIMADOS</t>
  </si>
  <si>
    <t>HP Notebook - 14-ap010</t>
  </si>
  <si>
    <t>3036355492</t>
  </si>
  <si>
    <t>SILVANIA FUZER</t>
  </si>
  <si>
    <t>4132629062</t>
  </si>
  <si>
    <t>41991171158</t>
  </si>
  <si>
    <t>ATOLAMENTO DE PAPEL DURANTE IMPRESSAO</t>
  </si>
  <si>
    <t>HP OfficeJet Pro 8710 All-in-One Printer</t>
  </si>
  <si>
    <t>3036355588</t>
  </si>
  <si>
    <t>TANIA CECILIA PAIXAO MENDES</t>
  </si>
  <si>
    <t>5133515206</t>
  </si>
  <si>
    <t>51996462714</t>
  </si>
  <si>
    <t>51984905515</t>
  </si>
  <si>
    <t>TELA PISCANDO</t>
  </si>
  <si>
    <t>3036361957</t>
  </si>
  <si>
    <t>VINICIUS FERREIRA GOMES</t>
  </si>
  <si>
    <t>2136596540</t>
  </si>
  <si>
    <t>21999465642</t>
  </si>
  <si>
    <t>FALHA NA CABECA DE IMPRESSAO</t>
  </si>
  <si>
    <t>p5927755</t>
  </si>
  <si>
    <t>Rosangela Souza</t>
  </si>
  <si>
    <t>3036363426</t>
  </si>
  <si>
    <t>ADELSON PEREIRA DA SILVA</t>
  </si>
  <si>
    <t>1138360734</t>
  </si>
  <si>
    <t>11973787285</t>
  </si>
  <si>
    <t>1138322270</t>
  </si>
  <si>
    <t>IMPRIME UMA FOLHA EM BRANCO A MAIS</t>
  </si>
  <si>
    <t>ASD</t>
  </si>
  <si>
    <t>DAR 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</si>
</sst>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400]h:mm:ss\ AM/PM"/>
    <numFmt numFmtId="165" formatCode="m/d/yyyy\ h:mm"/>
  </numFmts>
  <fonts count="21" x14ac:knownFonts="1">
    <font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b/>
      <sz val="16"/>
      <color theme="1"/>
      <name val="Trebuchet MS"/>
      <family val="2"/>
    </font>
    <font>
      <b/>
      <sz val="12"/>
      <color theme="3"/>
      <name val="Trebuchet MS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.9"/>
      <color theme="1"/>
      <name val="Calibri"/>
      <family val="2"/>
      <scheme val="minor"/>
    </font>
    <font>
      <b/>
      <sz val="10"/>
      <color theme="0"/>
      <name val="Trebuchet MS"/>
      <family val="2"/>
    </font>
    <font>
      <sz val="10"/>
      <name val="Arial"/>
      <family val="2"/>
    </font>
    <font>
      <b/>
      <sz val="11"/>
      <color theme="1"/>
      <name val="Trebuchet MS"/>
      <family val="2"/>
    </font>
    <font>
      <sz val="18"/>
      <color theme="1"/>
      <name val="Trebuchet MS"/>
      <family val="2"/>
    </font>
    <font>
      <b/>
      <sz val="10"/>
      <color theme="3"/>
      <name val="Trebuchet MS"/>
      <family val="2"/>
    </font>
    <font>
      <sz val="70"/>
      <color theme="0"/>
      <name val="Trebuchet MS"/>
      <family val="2"/>
    </font>
    <font>
      <sz val="48"/>
      <color theme="0"/>
      <name val="Trebuchet MS"/>
      <family val="2"/>
    </font>
    <font>
      <b/>
      <sz val="10"/>
      <color theme="3"/>
      <name val="Trebuchet MS"/>
      <family val="2"/>
    </font>
    <font>
      <b/>
      <sz val="12"/>
      <color theme="1"/>
      <name val="Trebuchet MS"/>
      <family val="2"/>
    </font>
    <font>
      <sz val="10"/>
      <color theme="1"/>
      <name val="Trebuchet MS"/>
    </font>
    <font>
      <b/>
      <sz val="14"/>
      <color theme="0"/>
      <name val="Trebuchet MS"/>
      <family val="2"/>
    </font>
    <font>
      <sz val="18"/>
      <color theme="1"/>
      <name val="Segoe UI"/>
      <family val="2"/>
    </font>
    <font>
      <b/>
      <sz val="14"/>
      <color theme="1"/>
      <name val="Segoe UI"/>
      <family val="2"/>
    </font>
  </fonts>
  <fills count="11">
    <fill>
      <patternFill patternType="none"/>
    </fill>
    <fill>
      <patternFill patternType="gray125"/>
    </fill>
    <fill>
      <gradientFill type="path" left="0.5" right="0.5" top="0.5" bottom="0.5">
        <stop position="0">
          <color theme="3"/>
        </stop>
        <stop position="1">
          <color theme="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4" fontId="0" fillId="0" borderId="0"/>
    <xf numFmtId="9" fontId="1" fillId="0" borderId="0" applyFont="0" applyFill="0" applyBorder="0" applyAlignment="0" applyProtection="0"/>
    <xf numFmtId="164" fontId="9" fillId="0" borderId="0"/>
    <xf numFmtId="43" fontId="1" fillId="0" borderId="0" applyFont="0" applyFill="0" applyBorder="0" applyAlignment="0" applyProtection="0"/>
  </cellStyleXfs>
  <cellXfs count="100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7" borderId="0" xfId="0" applyFill="1"/>
    <xf numFmtId="164" fontId="13" fillId="7" borderId="0" xfId="0" applyFont="1" applyFill="1" applyBorder="1" applyAlignment="1">
      <alignment vertical="center"/>
    </xf>
    <xf numFmtId="164" fontId="8" fillId="2" borderId="0" xfId="0" applyFont="1" applyFill="1" applyBorder="1" applyAlignment="1">
      <alignment horizontal="center" vertical="center"/>
    </xf>
    <xf numFmtId="164" fontId="12" fillId="3" borderId="0" xfId="0" applyFont="1" applyFill="1" applyBorder="1" applyAlignment="1">
      <alignment horizontal="center" vertical="center"/>
    </xf>
    <xf numFmtId="164" fontId="8" fillId="6" borderId="0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NumberFormat="1" applyBorder="1"/>
    <xf numFmtId="0" fontId="10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16" fillId="0" borderId="15" xfId="0" applyNumberFormat="1" applyFont="1" applyBorder="1" applyAlignment="1">
      <alignment horizontal="center" vertical="center"/>
    </xf>
    <xf numFmtId="0" fontId="16" fillId="0" borderId="16" xfId="0" applyNumberFormat="1" applyFont="1" applyBorder="1" applyAlignment="1">
      <alignment horizontal="center" vertical="center"/>
    </xf>
    <xf numFmtId="0" fontId="16" fillId="0" borderId="17" xfId="0" applyNumberFormat="1" applyFont="1" applyBorder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8" borderId="12" xfId="0" applyNumberFormat="1" applyFill="1" applyBorder="1" applyAlignment="1">
      <alignment horizontal="center" vertical="center"/>
    </xf>
    <xf numFmtId="0" fontId="0" fillId="8" borderId="13" xfId="0" applyNumberFormat="1" applyFill="1" applyBorder="1" applyAlignment="1">
      <alignment horizontal="center" vertical="center"/>
    </xf>
    <xf numFmtId="0" fontId="0" fillId="8" borderId="14" xfId="0" applyNumberFormat="1" applyFill="1" applyBorder="1" applyAlignment="1">
      <alignment horizontal="center" vertical="center"/>
    </xf>
    <xf numFmtId="0" fontId="17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2" fillId="3" borderId="0" xfId="0" applyNumberFormat="1" applyFont="1" applyFill="1" applyBorder="1" applyAlignment="1">
      <alignment horizontal="center" vertical="center"/>
    </xf>
    <xf numFmtId="0" fontId="0" fillId="0" borderId="18" xfId="0" applyNumberFormat="1" applyBorder="1"/>
    <xf numFmtId="0" fontId="0" fillId="0" borderId="19" xfId="0" applyNumberFormat="1" applyBorder="1"/>
    <xf numFmtId="0" fontId="0" fillId="0" borderId="20" xfId="0" applyNumberFormat="1" applyBorder="1"/>
    <xf numFmtId="0" fontId="0" fillId="0" borderId="21" xfId="0" applyNumberFormat="1" applyBorder="1"/>
    <xf numFmtId="0" fontId="0" fillId="0" borderId="22" xfId="0" applyNumberFormat="1" applyBorder="1"/>
    <xf numFmtId="0" fontId="0" fillId="0" borderId="23" xfId="0" applyNumberFormat="1" applyBorder="1"/>
    <xf numFmtId="0" fontId="0" fillId="0" borderId="6" xfId="0" applyNumberFormat="1" applyBorder="1"/>
    <xf numFmtId="0" fontId="0" fillId="0" borderId="24" xfId="0" applyNumberFormat="1" applyBorder="1"/>
    <xf numFmtId="0" fontId="3" fillId="3" borderId="8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0" fontId="4" fillId="3" borderId="8" xfId="0" applyNumberFormat="1" applyFont="1" applyFill="1" applyBorder="1" applyAlignment="1">
      <alignment horizontal="center" vertical="center"/>
    </xf>
    <xf numFmtId="1" fontId="4" fillId="3" borderId="8" xfId="0" applyNumberFormat="1" applyFont="1" applyFill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0" fontId="7" fillId="0" borderId="8" xfId="1" applyNumberFormat="1" applyFont="1" applyBorder="1" applyAlignment="1">
      <alignment horizontal="center" vertical="center"/>
    </xf>
    <xf numFmtId="0" fontId="6" fillId="0" borderId="8" xfId="0" applyNumberFormat="1" applyFont="1" applyBorder="1" applyAlignment="1">
      <alignment horizontal="center" vertical="center"/>
    </xf>
    <xf numFmtId="0" fontId="3" fillId="3" borderId="25" xfId="0" applyNumberFormat="1" applyFon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4" fillId="3" borderId="26" xfId="0" applyNumberFormat="1" applyFont="1" applyFill="1" applyBorder="1" applyAlignment="1">
      <alignment horizontal="center" vertical="center"/>
    </xf>
    <xf numFmtId="0" fontId="6" fillId="0" borderId="26" xfId="0" applyNumberFormat="1" applyFont="1" applyBorder="1" applyAlignment="1">
      <alignment horizontal="center" vertical="center"/>
    </xf>
    <xf numFmtId="1" fontId="4" fillId="3" borderId="26" xfId="0" applyNumberFormat="1" applyFont="1" applyFill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0" fontId="7" fillId="0" borderId="26" xfId="1" applyNumberFormat="1" applyFont="1" applyBorder="1" applyAlignment="1">
      <alignment horizontal="center" vertical="center"/>
    </xf>
    <xf numFmtId="43" fontId="8" fillId="6" borderId="0" xfId="3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9" borderId="0" xfId="0" applyNumberFormat="1" applyFill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0" fontId="18" fillId="10" borderId="25" xfId="0" applyNumberFormat="1" applyFont="1" applyFill="1" applyBorder="1" applyAlignment="1">
      <alignment horizontal="center" vertical="center"/>
    </xf>
    <xf numFmtId="0" fontId="18" fillId="10" borderId="8" xfId="0" applyNumberFormat="1" applyFont="1" applyFill="1" applyBorder="1" applyAlignment="1">
      <alignment horizontal="center" vertical="center"/>
    </xf>
    <xf numFmtId="0" fontId="18" fillId="10" borderId="26" xfId="0" applyNumberFormat="1" applyFont="1" applyFill="1" applyBorder="1" applyAlignment="1">
      <alignment horizontal="center" vertical="center"/>
    </xf>
    <xf numFmtId="0" fontId="4" fillId="3" borderId="18" xfId="0" applyNumberFormat="1" applyFont="1" applyFill="1" applyBorder="1" applyAlignment="1">
      <alignment horizontal="center" vertical="center"/>
    </xf>
    <xf numFmtId="0" fontId="4" fillId="3" borderId="19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0" fillId="0" borderId="21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5" fillId="5" borderId="7" xfId="0" applyNumberFormat="1" applyFont="1" applyFill="1" applyBorder="1" applyAlignment="1">
      <alignment horizontal="center" vertical="center"/>
    </xf>
    <xf numFmtId="0" fontId="5" fillId="4" borderId="21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5" fillId="4" borderId="22" xfId="0" applyNumberFormat="1" applyFont="1" applyFill="1" applyBorder="1" applyAlignment="1">
      <alignment horizontal="center" vertical="center"/>
    </xf>
    <xf numFmtId="1" fontId="4" fillId="3" borderId="18" xfId="0" applyNumberFormat="1" applyFont="1" applyFill="1" applyBorder="1" applyAlignment="1">
      <alignment horizontal="center" vertical="center"/>
    </xf>
    <xf numFmtId="1" fontId="4" fillId="3" borderId="19" xfId="0" applyNumberFormat="1" applyFont="1" applyFill="1" applyBorder="1" applyAlignment="1">
      <alignment horizontal="center" vertical="center"/>
    </xf>
    <xf numFmtId="1" fontId="5" fillId="4" borderId="7" xfId="0" applyNumberFormat="1" applyFont="1" applyFill="1" applyBorder="1" applyAlignment="1">
      <alignment horizontal="center" vertical="center"/>
    </xf>
    <xf numFmtId="1" fontId="5" fillId="5" borderId="7" xfId="0" applyNumberFormat="1" applyFont="1" applyFill="1" applyBorder="1" applyAlignment="1">
      <alignment horizontal="center" vertical="center"/>
    </xf>
    <xf numFmtId="0" fontId="20" fillId="0" borderId="0" xfId="0" applyNumberFormat="1" applyFont="1" applyAlignment="1">
      <alignment horizontal="center" vertical="center"/>
    </xf>
    <xf numFmtId="164" fontId="14" fillId="7" borderId="1" xfId="0" applyFont="1" applyFill="1" applyBorder="1" applyAlignment="1">
      <alignment horizontal="center" vertical="center"/>
    </xf>
    <xf numFmtId="164" fontId="14" fillId="7" borderId="2" xfId="0" applyFont="1" applyFill="1" applyBorder="1" applyAlignment="1">
      <alignment horizontal="center" vertical="center"/>
    </xf>
    <xf numFmtId="164" fontId="14" fillId="7" borderId="3" xfId="0" applyFont="1" applyFill="1" applyBorder="1" applyAlignment="1">
      <alignment horizontal="center" vertical="center"/>
    </xf>
    <xf numFmtId="164" fontId="14" fillId="7" borderId="4" xfId="0" applyFont="1" applyFill="1" applyBorder="1" applyAlignment="1">
      <alignment horizontal="center" vertical="center"/>
    </xf>
    <xf numFmtId="164" fontId="14" fillId="7" borderId="0" xfId="0" applyFont="1" applyFill="1" applyBorder="1" applyAlignment="1">
      <alignment horizontal="center" vertical="center"/>
    </xf>
    <xf numFmtId="164" fontId="14" fillId="7" borderId="5" xfId="0" applyFont="1" applyFill="1" applyBorder="1" applyAlignment="1">
      <alignment horizontal="center" vertical="center"/>
    </xf>
    <xf numFmtId="164" fontId="14" fillId="7" borderId="9" xfId="0" applyFont="1" applyFill="1" applyBorder="1" applyAlignment="1">
      <alignment horizontal="center" vertical="center"/>
    </xf>
    <xf numFmtId="164" fontId="14" fillId="7" borderId="10" xfId="0" applyFont="1" applyFill="1" applyBorder="1" applyAlignment="1">
      <alignment horizontal="center" vertical="center"/>
    </xf>
    <xf numFmtId="164" fontId="14" fillId="7" borderId="11" xfId="0" applyFont="1" applyFill="1" applyBorder="1" applyAlignment="1">
      <alignment horizontal="center" vertical="center"/>
    </xf>
  </cellXfs>
  <cellStyles count="4">
    <cellStyle name="Normal" xfId="0" builtinId="0"/>
    <cellStyle name="Normal 2" xfId="2" xr:uid="{00000000-0005-0000-0000-000001000000}"/>
    <cellStyle name="Porcentagem" xfId="1" builtinId="5"/>
    <cellStyle name="Vírgula" xfId="3" builtinId="3"/>
  </cellStyles>
  <dxfs count="105"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border diagonalUp="0" diagonalDown="0">
        <left/>
        <right/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3" tint="-0.499984740745262"/>
        </left>
        <right style="thick">
          <color theme="3" tint="-0.499984740745262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27" formatCode="m/d/yyyy\ h:mm"/>
      <alignment horizontal="center" vertical="bottom" textRotation="0" wrapText="0" indent="0" justifyLastLine="0" shrinkToFit="0" readingOrder="0"/>
    </dxf>
    <dxf>
      <numFmt numFmtId="165" formatCode="m/d/yyyy\ h:mm"/>
      <alignment horizontal="center" vertical="bottom" textRotation="0" wrapText="0" indent="0" justifyLastLine="0" shrinkToFit="0" readingOrder="0"/>
    </dxf>
    <dxf>
      <numFmt numFmtId="27" formatCode="m/d/yyyy\ h:mm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3" tint="-0.499984740745262"/>
        </left>
        <right style="thick">
          <color theme="3" tint="-0.499984740745262"/>
        </right>
        <top/>
        <bottom/>
      </border>
    </dxf>
    <dxf>
      <font>
        <b/>
        <i val="0"/>
        <color rgb="FF00B050"/>
      </font>
    </dxf>
    <dxf>
      <font>
        <b/>
        <i val="0"/>
        <color theme="3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64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Trebuchet MS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202096</xdr:colOff>
      <xdr:row>2</xdr:row>
      <xdr:rowOff>100067</xdr:rowOff>
    </xdr:from>
    <xdr:ext cx="12609029" cy="98578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2671" y="481067"/>
          <a:ext cx="12609029" cy="985783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extrusionH="57150" contourW="25400" prstMaterial="matte">
            <a:bevelT w="25400" h="55880" prst="angl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pt-BR" sz="6000" b="1" cap="none" spc="50">
              <a:ln w="11430">
                <a:solidFill>
                  <a:schemeClr val="tx1"/>
                </a:solidFill>
              </a:ln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BACKLOG |</a:t>
          </a:r>
          <a:r>
            <a:rPr lang="pt-BR" sz="6000" b="1" cap="none" spc="50" baseline="0">
              <a:ln w="11430">
                <a:solidFill>
                  <a:schemeClr val="tx1"/>
                </a:solidFill>
              </a:ln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 CONSOLIDADO EQUIPE</a:t>
          </a:r>
          <a:endParaRPr lang="pt-BR" sz="6000" b="1" cap="none" spc="50">
            <a:ln w="11430">
              <a:solidFill>
                <a:schemeClr val="tx1"/>
              </a:solidFill>
            </a:ln>
            <a:solidFill>
              <a:schemeClr val="tx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rebuchet MS" pitchFamily="34" charset="0"/>
          </a:endParaRPr>
        </a:p>
      </xdr:txBody>
    </xdr:sp>
    <xdr:clientData/>
  </xdr:oneCellAnchor>
  <xdr:twoCellAnchor editAs="absolute">
    <xdr:from>
      <xdr:col>1</xdr:col>
      <xdr:colOff>104775</xdr:colOff>
      <xdr:row>10</xdr:row>
      <xdr:rowOff>85725</xdr:rowOff>
    </xdr:from>
    <xdr:to>
      <xdr:col>3</xdr:col>
      <xdr:colOff>552450</xdr:colOff>
      <xdr:row>14</xdr:row>
      <xdr:rowOff>57150</xdr:rowOff>
    </xdr:to>
    <xdr:sp macro="[0]!CAP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57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   VIEWER</a:t>
          </a:r>
          <a:r>
            <a:rPr lang="pt-BR" sz="1600" b="1" baseline="0">
              <a:latin typeface="Trebuchet MS" panose="020B0603020202020204" pitchFamily="34" charset="0"/>
            </a:rPr>
            <a:t> GERAL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4</xdr:col>
      <xdr:colOff>346075</xdr:colOff>
      <xdr:row>10</xdr:row>
      <xdr:rowOff>85725</xdr:rowOff>
    </xdr:from>
    <xdr:to>
      <xdr:col>7</xdr:col>
      <xdr:colOff>184150</xdr:colOff>
      <xdr:row>14</xdr:row>
      <xdr:rowOff>57150</xdr:rowOff>
    </xdr:to>
    <xdr:sp macro="[0]!Fupo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558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CASOS FUPO</a:t>
          </a:r>
        </a:p>
      </xdr:txBody>
    </xdr:sp>
    <xdr:clientData/>
  </xdr:twoCellAnchor>
  <xdr:twoCellAnchor editAs="absolute">
    <xdr:from>
      <xdr:col>7</xdr:col>
      <xdr:colOff>587375</xdr:colOff>
      <xdr:row>10</xdr:row>
      <xdr:rowOff>85725</xdr:rowOff>
    </xdr:from>
    <xdr:to>
      <xdr:col>10</xdr:col>
      <xdr:colOff>425450</xdr:colOff>
      <xdr:row>14</xdr:row>
      <xdr:rowOff>57150</xdr:rowOff>
    </xdr:to>
    <xdr:sp macro="[0]!Backlog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259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BASE DE BACKLOG</a:t>
          </a:r>
        </a:p>
      </xdr:txBody>
    </xdr:sp>
    <xdr:clientData/>
  </xdr:twoCellAnchor>
  <xdr:twoCellAnchor editAs="absolute">
    <xdr:from>
      <xdr:col>11</xdr:col>
      <xdr:colOff>219075</xdr:colOff>
      <xdr:row>10</xdr:row>
      <xdr:rowOff>85725</xdr:rowOff>
    </xdr:from>
    <xdr:to>
      <xdr:col>14</xdr:col>
      <xdr:colOff>57150</xdr:colOff>
      <xdr:row>14</xdr:row>
      <xdr:rowOff>57150</xdr:rowOff>
    </xdr:to>
    <xdr:sp macro="[0]!SLA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4960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BASE</a:t>
          </a:r>
          <a:r>
            <a:rPr lang="pt-BR" sz="1600" b="1" baseline="0">
              <a:latin typeface="Trebuchet MS" panose="020B0603020202020204" pitchFamily="34" charset="0"/>
            </a:rPr>
            <a:t> SLA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14</xdr:col>
      <xdr:colOff>460375</xdr:colOff>
      <xdr:row>10</xdr:row>
      <xdr:rowOff>85725</xdr:rowOff>
    </xdr:from>
    <xdr:to>
      <xdr:col>17</xdr:col>
      <xdr:colOff>298450</xdr:colOff>
      <xdr:row>14</xdr:row>
      <xdr:rowOff>57150</xdr:rowOff>
    </xdr:to>
    <xdr:sp macro="[0]!ReportSLA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661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REPORT SLA</a:t>
          </a:r>
        </a:p>
      </xdr:txBody>
    </xdr:sp>
    <xdr:clientData/>
  </xdr:twoCellAnchor>
  <xdr:twoCellAnchor editAs="absolute">
    <xdr:from>
      <xdr:col>18</xdr:col>
      <xdr:colOff>92075</xdr:colOff>
      <xdr:row>10</xdr:row>
      <xdr:rowOff>85725</xdr:rowOff>
    </xdr:from>
    <xdr:to>
      <xdr:col>20</xdr:col>
      <xdr:colOff>539750</xdr:colOff>
      <xdr:row>14</xdr:row>
      <xdr:rowOff>57150</xdr:rowOff>
    </xdr:to>
    <xdr:sp macro="[0]!MAP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6362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HPI</a:t>
          </a:r>
          <a:r>
            <a:rPr lang="pt-BR" sz="1600" b="1" baseline="0">
              <a:latin typeface="Trebuchet MS" panose="020B0603020202020204" pitchFamily="34" charset="0"/>
            </a:rPr>
            <a:t> MAP</a:t>
          </a:r>
          <a:endParaRPr lang="pt-BR" sz="16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21</xdr:col>
      <xdr:colOff>333375</xdr:colOff>
      <xdr:row>10</xdr:row>
      <xdr:rowOff>85725</xdr:rowOff>
    </xdr:from>
    <xdr:to>
      <xdr:col>23</xdr:col>
      <xdr:colOff>781050</xdr:colOff>
      <xdr:row>14</xdr:row>
      <xdr:rowOff>57150</xdr:rowOff>
    </xdr:to>
    <xdr:sp macro="[0]!EXTRAÇÃO_CASOS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706350" y="1990725"/>
          <a:ext cx="1666875" cy="733425"/>
        </a:xfrm>
        <a:prstGeom prst="roundRect">
          <a:avLst/>
        </a:prstGeom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3d extrusionH="57150" prstMaterial="metal">
            <a:bevelT w="38100" h="38100"/>
          </a:sp3d>
        </a:bodyPr>
        <a:lstStyle/>
        <a:p>
          <a:pPr algn="ctr"/>
          <a:r>
            <a:rPr lang="pt-BR" sz="1600" b="1">
              <a:latin typeface="Trebuchet MS" panose="020B0603020202020204" pitchFamily="34" charset="0"/>
            </a:rPr>
            <a:t>EXTRAÇÃO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OS_FUPO" displayName="CASOS_FUPO" ref="A2:I25" totalsRowShown="0" headerRowDxfId="104" dataDxfId="103">
  <sortState ref="A3:I25">
    <sortCondition descending="1" ref="C2:C25"/>
  </sortState>
  <tableColumns count="9">
    <tableColumn id="11" xr3:uid="{00000000-0010-0000-0000-00000B000000}" name="CASE ID" dataDxfId="102"/>
    <tableColumn id="3" xr3:uid="{00000000-0010-0000-0000-000003000000}" name="CASE SKILL" dataDxfId="101">
      <calculatedColumnFormula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calculatedColumnFormula>
    </tableColumn>
    <tableColumn id="6" xr3:uid="{00000000-0010-0000-0000-000006000000}" name="Dias em aberto " dataDxfId="100">
      <calculatedColumnFormula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calculatedColumnFormula>
    </tableColumn>
    <tableColumn id="7" xr3:uid="{00000000-0010-0000-0000-000007000000}" name="Dias sem interação " dataDxfId="99">
      <calculatedColumnFormula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calculatedColumnFormula>
    </tableColumn>
    <tableColumn id="8" xr3:uid="{00000000-0010-0000-0000-000008000000}" name="Nome callback" dataDxfId="98">
      <calculatedColumnFormula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calculatedColumnFormula>
    </tableColumn>
    <tableColumn id="9" xr3:uid="{00000000-0010-0000-0000-000009000000}" name="Callback Tempo Programado (Agente)" dataDxfId="97">
      <calculatedColumnFormula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calculatedColumnFormula>
    </tableColumn>
    <tableColumn id="10" xr3:uid="{00000000-0010-0000-0000-00000A000000}" name="Agente que abriu o caso " dataDxfId="96">
      <calculatedColumnFormula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calculatedColumnFormula>
    </tableColumn>
    <tableColumn id="15" xr3:uid="{00000000-0010-0000-0000-00000F000000}" name="STATUS ATUAL" dataDxfId="95"/>
    <tableColumn id="1" xr3:uid="{00000000-0010-0000-0000-000001000000}" name="OBSERVAÇÃO" dataDxfId="9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CKLOG_BASE" displayName="BACKLOG_BASE" ref="A1:Y47" totalsRowShown="0" headerRowDxfId="90" dataDxfId="89">
  <tableColumns count="25">
    <tableColumn id="24" xr3:uid="{00000000-0010-0000-0100-000018000000}" name="VAL. WEB" dataDxfId="88" totalsRowDxfId="87">
      <calculatedColumnFormula>IF(BACKLOG_BASE[[#This Row],[Origem do caso]]="","",IF(BACKLOG_BASE[[#This Row],[Origem do caso]]&lt;&gt;"Telefone","WEB","Telefone"))</calculatedColumnFormula>
    </tableColumn>
    <tableColumn id="1" xr3:uid="{00000000-0010-0000-0100-000001000000}" name="Origem do caso" dataDxfId="86" totalsRowDxfId="85"/>
    <tableColumn id="2" xr3:uid="{00000000-0010-0000-0100-000002000000}" name="Número do caso" dataDxfId="84" totalsRowDxfId="83"/>
    <tableColumn id="3" xr3:uid="{00000000-0010-0000-0100-000003000000}" name="Nome da conta: Nome da conta" dataDxfId="82" totalsRowDxfId="81"/>
    <tableColumn id="4" xr3:uid="{00000000-0010-0000-0100-000004000000}" name="Nome do contato: Telefone residencial" dataDxfId="80" totalsRowDxfId="79"/>
    <tableColumn id="5" xr3:uid="{00000000-0010-0000-0100-000005000000}" name="Nome do contato: Celular" dataDxfId="78" totalsRowDxfId="77"/>
    <tableColumn id="6" xr3:uid="{00000000-0010-0000-0100-000006000000}" name="Nome do contato: Outro telefone" dataDxfId="76" totalsRowDxfId="75"/>
    <tableColumn id="7" xr3:uid="{00000000-0010-0000-0100-000007000000}" name="Status" dataDxfId="74" totalsRowDxfId="73"/>
    <tableColumn id="8" xr3:uid="{00000000-0010-0000-0100-000008000000}" name="Assunto" dataDxfId="72" totalsRowDxfId="71"/>
    <tableColumn id="9" xr3:uid="{00000000-0010-0000-0100-000009000000}" name="Criado por: Agente Número do Funcionário" dataDxfId="70" totalsRowDxfId="69"/>
    <tableColumn id="10" xr3:uid="{00000000-0010-0000-0100-00000A000000}" name="Modificado por último pelo Agente: Agente Número do Funcionário" dataDxfId="68" totalsRowDxfId="67"/>
    <tableColumn id="11" xr3:uid="{00000000-0010-0000-0100-00000B000000}" name="Proprietário do caso: Nome completo" dataDxfId="66" totalsRowDxfId="65"/>
    <tableColumn id="12" xr3:uid="{00000000-0010-0000-0100-00000C000000}" name="Ativo: Descrição do produto" dataDxfId="64" totalsRowDxfId="63"/>
    <tableColumn id="13" xr3:uid="{00000000-0010-0000-0100-00000D000000}" name="Ativo: Produto: Linha de produto" dataDxfId="62" totalsRowDxfId="61"/>
    <tableColumn id="14" xr3:uid="{00000000-0010-0000-0100-00000E000000}" name="Tipo garantia" dataDxfId="60" totalsRowDxfId="59"/>
    <tableColumn id="15" xr3:uid="{00000000-0010-0000-0100-00000F000000}" name="Data/Hora de abertura" dataDxfId="58" totalsRowDxfId="57"/>
    <tableColumn id="16" xr3:uid="{00000000-0010-0000-0100-000010000000}" name="Data da última modificação" dataDxfId="56" totalsRowDxfId="55"/>
    <tableColumn id="17" xr3:uid="{00000000-0010-0000-0100-000011000000}" name="Agente que abriu o caso " dataDxfId="54" totalsRowDxfId="53">
      <calculatedColumnFormula>IF(A2="WEB","Integration_CallMe User",IFERROR(VLOOKUP(J2,MAP!$C:$D,2,0),"-"))</calculatedColumnFormula>
    </tableColumn>
    <tableColumn id="18" xr3:uid="{00000000-0010-0000-0100-000012000000}" name="Agente que modificou por último " dataDxfId="52" totalsRowDxfId="51">
      <calculatedColumnFormula>IFERROR(VLOOKUP(K2,MAP!$C:$D,2,0),"-")</calculatedColumnFormula>
    </tableColumn>
    <tableColumn id="19" xr3:uid="{00000000-0010-0000-0100-000013000000}" name="Dias em aberto " dataDxfId="50" totalsRowDxfId="49">
      <calculatedColumnFormula>IF(P2="", "-", TODAY() -P2)</calculatedColumnFormula>
    </tableColumn>
    <tableColumn id="20" xr3:uid="{00000000-0010-0000-0100-000014000000}" name="Dias sem interação " dataDxfId="48" totalsRowDxfId="47">
      <calculatedColumnFormula>IF(Q2="", "-", TODAY() -Q2)</calculatedColumnFormula>
    </tableColumn>
    <tableColumn id="21" xr3:uid="{00000000-0010-0000-0100-000015000000}" name="Nome callback" dataDxfId="46" totalsRowDxfId="45">
      <calculatedColumnFormula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calculatedColumnFormula>
    </tableColumn>
    <tableColumn id="22" xr3:uid="{00000000-0010-0000-0100-000016000000}" name="Callback Tempo Programado (Agente)" dataDxfId="44" totalsRowDxfId="43">
      <calculatedColumnFormula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calculatedColumnFormula>
    </tableColumn>
    <tableColumn id="23" xr3:uid="{00000000-0010-0000-0100-000017000000}" name="CASE SKILL" dataDxfId="42" totalsRowDxfId="41">
      <calculatedColumnFormula>IFERROR(VLOOKUP(N2,MAP!$H:$I,2,0),"-")</calculatedColumnFormula>
    </tableColumn>
    <tableColumn id="26" xr3:uid="{00000000-0010-0000-0100-00001A000000}" name="STATUS ATUAL" dataDxfId="40" totalsRowDxfId="39">
      <calculatedColumnFormula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LLBACK_BASE" displayName="CALLBACK_BASE" ref="A1:P7" totalsRowShown="0" headerRowDxfId="38" dataDxfId="37">
  <autoFilter ref="A1:P7" xr:uid="{00000000-0009-0000-0100-000003000000}"/>
  <sortState ref="A2:P5">
    <sortCondition ref="F1:F5"/>
  </sortState>
  <tableColumns count="16">
    <tableColumn id="1" xr3:uid="{00000000-0010-0000-0200-000001000000}" name="Caso: Número do caso" dataDxfId="36"/>
    <tableColumn id="2" xr3:uid="{00000000-0010-0000-0200-000002000000}" name="Caso: Status" dataDxfId="35"/>
    <tableColumn id="3" xr3:uid="{00000000-0010-0000-0200-000003000000}" name="Data de criação" dataDxfId="34"/>
    <tableColumn id="4" xr3:uid="{00000000-0010-0000-0200-000004000000}" name="Data da última modificação" dataDxfId="33"/>
    <tableColumn id="5" xr3:uid="{00000000-0010-0000-0200-000005000000}" name="Nome callback" dataDxfId="32"/>
    <tableColumn id="6" xr3:uid="{00000000-0010-0000-0200-000006000000}" name="Callback Tempo Programado (Agente)" dataDxfId="31"/>
    <tableColumn id="7" xr3:uid="{00000000-0010-0000-0200-000007000000}" name="Caso: Assunto" dataDxfId="30"/>
    <tableColumn id="8" xr3:uid="{00000000-0010-0000-0200-000008000000}" name="Criado por: Agente Número do Funcionário" dataDxfId="29"/>
    <tableColumn id="9" xr3:uid="{00000000-0010-0000-0200-000009000000}" name="Caso: Modificado por último pelo Agente: Agente Número do Funcionário" dataDxfId="28"/>
    <tableColumn id="10" xr3:uid="{00000000-0010-0000-0200-00000A000000}" name="Proprietário: Nome completo" dataDxfId="27"/>
    <tableColumn id="11" xr3:uid="{00000000-0010-0000-0200-00000B000000}" name="Caso: Proprietário do caso: Nome completo" dataDxfId="26"/>
    <tableColumn id="12" xr3:uid="{00000000-0010-0000-0200-00000C000000}" name="Caso: Ativo: Descrição do produto" dataDxfId="25"/>
    <tableColumn id="13" xr3:uid="{00000000-0010-0000-0200-00000D000000}" name="Caso: Ativo: Linha de produto" dataDxfId="24"/>
    <tableColumn id="14" xr3:uid="{00000000-0010-0000-0200-00000E000000}" name="Agente criador do Evento " dataDxfId="23">
      <calculatedColumnFormula>IFERROR(VLOOKUP(CALLBACK_BASE[[#This Row],[Criado por: Agente Número do Funcionário]],tblMAP[[#All],[Login Astro]:[Nome]],2,0),"-")</calculatedColumnFormula>
    </tableColumn>
    <tableColumn id="15" xr3:uid="{00000000-0010-0000-0200-00000F000000}" name="Agente que modificou por o caso por ultimo " dataDxfId="22">
      <calculatedColumnFormula>IFERROR(VLOOKUP(CALLBACK_BASE[[#This Row],[Caso: Modificado por último pelo Agente: Agente Número do Funcionário]],tblMAP[[#All],[Login Astro]:[Nome]],2,0),"-")</calculatedColumnFormula>
    </tableColumn>
    <tableColumn id="16" xr3:uid="{00000000-0010-0000-0200-000010000000}" name="CASE SKILL " dataDxfId="21">
      <calculatedColumnFormula>IFERROR(VLOOKUP(CALLBACK_BASE[[#This Row],[Caso: Ativo: Linha de produto]],MAP!$H:$I,2,0),"-")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MAP" displayName="tblMAP" ref="A1:I289" totalsRowShown="0" headerRowDxfId="20" dataDxfId="19">
  <autoFilter ref="A1:I289" xr:uid="{00000000-0009-0000-0100-000004000000}"/>
  <tableColumns count="9">
    <tableColumn id="1" xr3:uid="{00000000-0010-0000-0300-000001000000}" name="Funcional" dataDxfId="18"/>
    <tableColumn id="2" xr3:uid="{00000000-0010-0000-0300-000002000000}" name="Telefonia" dataDxfId="17"/>
    <tableColumn id="3" xr3:uid="{00000000-0010-0000-0300-000003000000}" name="Login Astro" dataDxfId="16"/>
    <tableColumn id="4" xr3:uid="{00000000-0010-0000-0300-000004000000}" name="Nome" dataDxfId="15"/>
    <tableColumn id="5" xr3:uid="{00000000-0010-0000-0300-000005000000}" name="Supervisor" dataDxfId="14"/>
    <tableColumn id="6" xr3:uid="{00000000-0010-0000-0300-000006000000}" name="Grupo" dataDxfId="13"/>
    <tableColumn id="7" xr3:uid="{00000000-0010-0000-0300-000007000000}" name="Status" dataDxfId="12"/>
    <tableColumn id="10" xr3:uid="{00000000-0010-0000-0300-00000A000000}" name="PL" dataDxfId="11"/>
    <tableColumn id="11" xr3:uid="{00000000-0010-0000-0300-00000B000000}" name="SKILL" dataDxfId="1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Agents" displayName="tblAgents" ref="A2:G14" totalsRowShown="0" headerRowDxfId="9" dataDxfId="8" tableBorderDxfId="7">
  <sortState ref="A3:G20">
    <sortCondition descending="1" ref="G2:G20"/>
  </sortState>
  <tableColumns count="7">
    <tableColumn id="1" xr3:uid="{00000000-0010-0000-0400-000001000000}" name="Agentes" dataDxfId="6"/>
    <tableColumn id="3" xr3:uid="{00000000-0010-0000-0400-000003000000}" name="MENTOR" dataDxfId="5">
      <calculatedColumnFormula>COUNTIFS(BACKLOG_BASE[[Agente que abriu o caso ]],tblAgents[[#This Row],[Agentes]],BACKLOG_BASE[Status],AGENTES_CONS!B$1)</calculatedColumnFormula>
    </tableColumn>
    <tableColumn id="4" xr3:uid="{00000000-0010-0000-0400-000004000000}" name="IN PROCESS" dataDxfId="4">
      <calculatedColumnFormula>COUNTIFS(BACKLOG_BASE[[Agente que abriu o caso ]],tblAgents[[#This Row],[Agentes]],BACKLOG_BASE[Status],AGENTES_CONS!C$1)</calculatedColumnFormula>
    </tableColumn>
    <tableColumn id="5" xr3:uid="{00000000-0010-0000-0400-000005000000}" name="FUPO" dataDxfId="3">
      <calculatedColumnFormula>COUNTIFS(BACKLOG_BASE[[Agente que abriu o caso ]],tblAgents[[#This Row],[Agentes]],BACKLOG_BASE[Status],AGENTES_CONS!D$1)</calculatedColumnFormula>
    </tableColumn>
    <tableColumn id="6" xr3:uid="{00000000-0010-0000-0400-000006000000}" name="POP" dataDxfId="2">
      <calculatedColumnFormula>COUNTIFS(BACKLOG_BASE[[Agente que abriu o caso ]],tblAgents[[#This Row],[Agentes]],BACKLOG_BASE[Status],AGENTES_CONS!E$1)</calculatedColumnFormula>
    </tableColumn>
    <tableColumn id="7" xr3:uid="{00000000-0010-0000-0400-000007000000}" name="WEB IN." dataDxfId="1">
      <calculatedColumnFormula>COUNTIFS(BACKLOG_BASE[[Agente que modificou por último ]],tblAgents[[#This Row],[Agentes]],BACKLOG_BASE[VAL. WEB],AGENTES_CONS!F$1)</calculatedColumnFormula>
    </tableColumn>
    <tableColumn id="8" xr3:uid="{00000000-0010-0000-0400-000008000000}" name="TOTAL" dataDxfId="0">
      <calculatedColumnFormula>SUM(tblAgents[[#This Row],[MENTOR]:[WEB IN.]])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3312">
              <a:srgbClr val="062767">
                <a:lumMod val="0"/>
              </a:srgbClr>
            </a:gs>
            <a:gs pos="96000">
              <a:schemeClr val="tx2"/>
            </a:gs>
            <a:gs pos="8000">
              <a:schemeClr val="accent1">
                <a:lumMod val="0"/>
              </a:schemeClr>
            </a:gs>
            <a:gs pos="98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46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a:spPr>
      <a:bodyPr vertOverflow="clip" horzOverflow="clip" rtlCol="0" anchor="ctr">
        <a:sp3d extrusionH="57150" prstMaterial="metal">
          <a:bevelT w="38100" h="38100"/>
        </a:sp3d>
      </a:bodyPr>
      <a:lstStyle>
        <a:defPPr algn="ctr">
          <a:defRPr sz="1600" b="1">
            <a:latin typeface="Trebuchet MS" panose="020B0603020202020204" pitchFamily="34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B1:X16"/>
  <sheetViews>
    <sheetView showGridLines="0" zoomScaleNormal="100" workbookViewId="0">
      <selection activeCell="E13" sqref="E13"/>
    </sheetView>
  </sheetViews>
  <sheetFormatPr defaultColWidth="9.140625" defaultRowHeight="15" x14ac:dyDescent="0.3"/>
  <cols>
    <col min="1" max="1" width="2.7109375" style="36" customWidth="1"/>
    <col min="2" max="23" width="9.140625" style="36" customWidth="1"/>
    <col min="24" max="24" width="14" style="36" customWidth="1"/>
    <col min="25" max="25" width="2.7109375" style="36" customWidth="1"/>
    <col min="26" max="16384" width="9.140625" style="36"/>
  </cols>
  <sheetData>
    <row r="1" spans="2:24" x14ac:dyDescent="0.3"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</row>
    <row r="10" spans="2:24" x14ac:dyDescent="0.3"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</row>
    <row r="11" spans="2:24" x14ac:dyDescent="0.3">
      <c r="C11" s="37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9"/>
    </row>
    <row r="16" spans="2:24" x14ac:dyDescent="0.3"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</row>
  </sheetData>
  <mergeCells count="3">
    <mergeCell ref="B1:X1"/>
    <mergeCell ref="B10:X10"/>
    <mergeCell ref="B16:X1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>
    <pageSetUpPr autoPageBreaks="0"/>
  </sheetPr>
  <dimension ref="C1:P22"/>
  <sheetViews>
    <sheetView showGridLines="0" showWhiteSpace="0" zoomScale="90" zoomScaleNormal="90" workbookViewId="0">
      <selection activeCell="O3" sqref="O3"/>
    </sheetView>
  </sheetViews>
  <sheetFormatPr defaultColWidth="9.140625" defaultRowHeight="19.5" customHeight="1" x14ac:dyDescent="0.3"/>
  <cols>
    <col min="1" max="2" width="9.140625" style="24"/>
    <col min="3" max="4" width="4" style="24" customWidth="1"/>
    <col min="5" max="5" width="19.140625" style="24" customWidth="1"/>
    <col min="6" max="6" width="16.42578125" style="24" customWidth="1"/>
    <col min="7" max="14" width="17.28515625" style="24" customWidth="1"/>
    <col min="15" max="16" width="4" style="24" customWidth="1"/>
    <col min="17" max="16384" width="9.140625" style="24"/>
  </cols>
  <sheetData>
    <row r="1" spans="3:16" ht="19.5" customHeight="1" x14ac:dyDescent="0.3">
      <c r="C1" s="24" t="s">
        <v>654</v>
      </c>
    </row>
    <row r="2" spans="3:16" ht="19.5" customHeight="1" x14ac:dyDescent="0.3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8"/>
    </row>
    <row r="3" spans="3:16" ht="19.5" customHeight="1" x14ac:dyDescent="0.3">
      <c r="C3" s="49"/>
      <c r="D3" s="25"/>
      <c r="E3" s="73" t="s">
        <v>0</v>
      </c>
      <c r="F3" s="74"/>
      <c r="G3" s="74"/>
      <c r="H3" s="74"/>
      <c r="I3" s="74"/>
      <c r="J3" s="74"/>
      <c r="K3" s="74"/>
      <c r="L3" s="74"/>
      <c r="M3" s="74"/>
      <c r="N3" s="75"/>
      <c r="O3" s="25"/>
      <c r="P3" s="50"/>
    </row>
    <row r="4" spans="3:16" ht="19.5" hidden="1" customHeight="1" x14ac:dyDescent="0.3">
      <c r="C4" s="49"/>
      <c r="D4" s="25"/>
      <c r="E4" s="61"/>
      <c r="F4" s="54"/>
      <c r="G4" s="55" t="s">
        <v>1</v>
      </c>
      <c r="H4" s="55" t="s">
        <v>2</v>
      </c>
      <c r="I4" s="55"/>
      <c r="J4" s="55" t="s">
        <v>3</v>
      </c>
      <c r="K4" s="55"/>
      <c r="L4" s="55" t="s">
        <v>4</v>
      </c>
      <c r="M4" s="55"/>
      <c r="N4" s="62" t="s">
        <v>9</v>
      </c>
      <c r="O4" s="25"/>
      <c r="P4" s="50"/>
    </row>
    <row r="5" spans="3:16" ht="19.5" customHeight="1" x14ac:dyDescent="0.3">
      <c r="C5" s="49"/>
      <c r="D5" s="25"/>
      <c r="E5" s="76" t="s">
        <v>652</v>
      </c>
      <c r="F5" s="77"/>
      <c r="G5" s="56" t="s">
        <v>649</v>
      </c>
      <c r="H5" s="56" t="s">
        <v>717</v>
      </c>
      <c r="I5" s="56" t="s">
        <v>939</v>
      </c>
      <c r="J5" s="56" t="s">
        <v>103</v>
      </c>
      <c r="K5" s="56" t="s">
        <v>6</v>
      </c>
      <c r="L5" s="56" t="s">
        <v>7</v>
      </c>
      <c r="M5" s="56" t="s">
        <v>8</v>
      </c>
      <c r="N5" s="63" t="s">
        <v>9</v>
      </c>
      <c r="O5" s="25"/>
      <c r="P5" s="50"/>
    </row>
    <row r="6" spans="3:16" ht="19.5" customHeight="1" x14ac:dyDescent="0.3">
      <c r="C6" s="49"/>
      <c r="D6" s="25"/>
      <c r="E6" s="78" t="s">
        <v>10</v>
      </c>
      <c r="F6" s="78"/>
      <c r="G6" s="60">
        <f>COUNTIFS(BACKLOG_BASE!$H:$I,VIEW!G4)</f>
        <v>1</v>
      </c>
      <c r="H6" s="60">
        <f>COUNTIFS(BACKLOG_BASE[Status],$H$4,BACKLOG_BASE[Proprietário do caso: Nome completo],"&lt;&gt;" &amp; "*BCD*")</f>
        <v>3</v>
      </c>
      <c r="I6" s="60">
        <f>COUNTIFS(BACKLOG_BASE[Status],$H$4,BACKLOG_BASE[Proprietário do caso: Nome completo],"=" &amp; "*BCD*")</f>
        <v>9</v>
      </c>
      <c r="J6" s="60">
        <f>COUNTIFS(BACKLOG_BASE!$H:$I,VIEW!J4)</f>
        <v>23</v>
      </c>
      <c r="K6" s="60">
        <f>SUM(G6:J6)</f>
        <v>36</v>
      </c>
      <c r="L6" s="60">
        <f>COUNTIFS(BACKLOG_BASE!$H:$I,VIEW!L4)</f>
        <v>10</v>
      </c>
      <c r="M6" s="60">
        <f>SUM(K6:L6)</f>
        <v>46</v>
      </c>
      <c r="N6" s="64">
        <f>COUNTIFS(BACKLOG_BASE!$A:$A,VIEW!N4)</f>
        <v>1</v>
      </c>
      <c r="O6" s="25"/>
      <c r="P6" s="50"/>
    </row>
    <row r="7" spans="3:16" ht="19.5" customHeight="1" x14ac:dyDescent="0.3">
      <c r="C7" s="49"/>
      <c r="D7" s="25"/>
      <c r="E7" s="79"/>
      <c r="F7" s="80"/>
      <c r="G7" s="80"/>
      <c r="H7" s="80"/>
      <c r="I7" s="80"/>
      <c r="J7" s="80"/>
      <c r="K7" s="80"/>
      <c r="L7" s="80"/>
      <c r="M7" s="80"/>
      <c r="N7" s="81"/>
      <c r="O7" s="25"/>
      <c r="P7" s="50"/>
    </row>
    <row r="8" spans="3:16" ht="19.5" customHeight="1" x14ac:dyDescent="0.3">
      <c r="C8" s="49"/>
      <c r="D8" s="25"/>
      <c r="E8" s="82" t="s">
        <v>11</v>
      </c>
      <c r="F8" s="82"/>
      <c r="G8" s="60">
        <f ca="1">COUNTIFS(BACKLOG_BASE!$H:$H,VIEW!G4,BACKLOG_BASE!$T:$T, "&gt;9,5")</f>
        <v>1</v>
      </c>
      <c r="H8" s="60">
        <f ca="1">COUNTIFS(BACKLOG_BASE[Status],$H$4,BACKLOG_BASE[Proprietário do caso: Nome completo],"&lt;&gt;" &amp; "*BCD*",BACKLOG_BASE[[Dias em aberto ]],"&gt;9,5")</f>
        <v>3</v>
      </c>
      <c r="I8" s="60">
        <f ca="1">COUNTIFS(BACKLOG_BASE[Status],$H$4,BACKLOG_BASE[Proprietário do caso: Nome completo],"=" &amp; "*BCD*",BACKLOG_BASE[[Dias em aberto ]],"&gt;9,5")</f>
        <v>9</v>
      </c>
      <c r="J8" s="60">
        <f ca="1">COUNTIFS(BACKLOG_BASE!$H:$H,VIEW!J4,BACKLOG_BASE!$T:$T, "&gt;9,5")</f>
        <v>23</v>
      </c>
      <c r="K8" s="60">
        <f ca="1">SUM(G8:J8)</f>
        <v>36</v>
      </c>
      <c r="L8" s="60">
        <f ca="1">COUNTIFS(BACKLOG_BASE!$H:$H,VIEW!L4,BACKLOG_BASE!$T:$T, "&gt;9,5")</f>
        <v>10</v>
      </c>
      <c r="M8" s="60">
        <f ca="1">SUM(K8:L8)</f>
        <v>46</v>
      </c>
      <c r="N8" s="64">
        <f ca="1">COUNTIFS(BACKLOG_BASE!$A:$A,VIEW!N4,BACKLOG_BASE!$T:$T, "&gt;9,5")</f>
        <v>1</v>
      </c>
      <c r="O8" s="25"/>
      <c r="P8" s="50"/>
    </row>
    <row r="9" spans="3:16" ht="19.5" customHeight="1" x14ac:dyDescent="0.3">
      <c r="C9" s="49"/>
      <c r="D9" s="25"/>
      <c r="E9" s="83"/>
      <c r="F9" s="84"/>
      <c r="G9" s="84"/>
      <c r="H9" s="84"/>
      <c r="I9" s="84"/>
      <c r="J9" s="84"/>
      <c r="K9" s="84"/>
      <c r="L9" s="84"/>
      <c r="M9" s="84"/>
      <c r="N9" s="85"/>
      <c r="O9" s="25"/>
      <c r="P9" s="50"/>
    </row>
    <row r="10" spans="3:16" ht="19.5" customHeight="1" x14ac:dyDescent="0.3">
      <c r="C10" s="49"/>
      <c r="D10" s="25"/>
      <c r="E10" s="78" t="s">
        <v>12</v>
      </c>
      <c r="F10" s="78"/>
      <c r="G10" s="60">
        <f ca="1">COUNTIFS(BACKLOG_BASE!$H:$H,VIEW!G4,BACKLOG_BASE!$U:$U, "&gt;4,5")</f>
        <v>1</v>
      </c>
      <c r="H10" s="60">
        <f ca="1">COUNTIFS(BACKLOG_BASE[Status],$H$4,BACKLOG_BASE[Proprietário do caso: Nome completo],"&lt;&gt;" &amp; "*BCD*",BACKLOG_BASE[[Dias sem interação ]],"&gt;4,5")</f>
        <v>3</v>
      </c>
      <c r="I10" s="60">
        <f ca="1">COUNTIFS(BACKLOG_BASE[Status],$H$4,BACKLOG_BASE[Proprietário do caso: Nome completo],"=" &amp; "*BCD*",BACKLOG_BASE[[Dias sem interação ]],"&gt;4,5")</f>
        <v>9</v>
      </c>
      <c r="J10" s="60">
        <f ca="1">COUNTIFS(BACKLOG_BASE!$H:$H,VIEW!J4,BACKLOG_BASE!$U:$U, "&gt;4,5")</f>
        <v>23</v>
      </c>
      <c r="K10" s="60">
        <f ca="1">SUM(G10:J10)</f>
        <v>36</v>
      </c>
      <c r="L10" s="60">
        <f ca="1">COUNTIFS(BACKLOG_BASE!$H:$H,VIEW!L4,BACKLOG_BASE!$U:$U, "&gt;4,5")</f>
        <v>10</v>
      </c>
      <c r="M10" s="60">
        <f ca="1">SUM(K10:L10)</f>
        <v>46</v>
      </c>
      <c r="N10" s="64">
        <f ca="1">COUNTIFS(BACKLOG_BASE!$A:$A,VIEW!N4,BACKLOG_BASE!$U:$U, "&gt;4,5")</f>
        <v>1</v>
      </c>
      <c r="O10" s="25"/>
      <c r="P10" s="50"/>
    </row>
    <row r="11" spans="3:16" ht="19.5" customHeight="1" x14ac:dyDescent="0.3">
      <c r="C11" s="49"/>
      <c r="D11" s="25"/>
      <c r="E11" s="79"/>
      <c r="F11" s="80"/>
      <c r="G11" s="80"/>
      <c r="H11" s="80"/>
      <c r="I11" s="80"/>
      <c r="J11" s="80"/>
      <c r="K11" s="80"/>
      <c r="L11" s="80"/>
      <c r="M11" s="80"/>
      <c r="N11" s="81"/>
      <c r="O11" s="25"/>
      <c r="P11" s="50"/>
    </row>
    <row r="12" spans="3:16" ht="19.5" customHeight="1" x14ac:dyDescent="0.3">
      <c r="C12" s="49"/>
      <c r="D12" s="25"/>
      <c r="E12" s="73" t="s">
        <v>13</v>
      </c>
      <c r="F12" s="74"/>
      <c r="G12" s="74"/>
      <c r="H12" s="74"/>
      <c r="I12" s="74"/>
      <c r="J12" s="74"/>
      <c r="K12" s="74"/>
      <c r="L12" s="74"/>
      <c r="M12" s="74"/>
      <c r="N12" s="75"/>
      <c r="O12" s="25"/>
      <c r="P12" s="50"/>
    </row>
    <row r="13" spans="3:16" ht="19.5" customHeight="1" x14ac:dyDescent="0.3">
      <c r="C13" s="49"/>
      <c r="D13" s="25"/>
      <c r="E13" s="86" t="s">
        <v>647</v>
      </c>
      <c r="F13" s="87"/>
      <c r="G13" s="57" t="s">
        <v>649</v>
      </c>
      <c r="H13" s="57" t="s">
        <v>648</v>
      </c>
      <c r="I13" s="56" t="s">
        <v>939</v>
      </c>
      <c r="J13" s="57" t="s">
        <v>103</v>
      </c>
      <c r="K13" s="57" t="s">
        <v>651</v>
      </c>
      <c r="L13" s="57" t="s">
        <v>7</v>
      </c>
      <c r="M13" s="57" t="s">
        <v>652</v>
      </c>
      <c r="N13" s="65" t="s">
        <v>9</v>
      </c>
      <c r="O13" s="25"/>
      <c r="P13" s="50"/>
    </row>
    <row r="14" spans="3:16" ht="19.5" customHeight="1" x14ac:dyDescent="0.3">
      <c r="C14" s="49"/>
      <c r="D14" s="25"/>
      <c r="E14" s="89" t="s">
        <v>14</v>
      </c>
      <c r="F14" s="89"/>
      <c r="G14" s="58">
        <f>COUNTIFS(BACKLOG_BASE!$H:$H,VIEW!G4,BACKLOG_BASE!$X:$X,VIEW!$E14)</f>
        <v>1</v>
      </c>
      <c r="H14" s="60">
        <f>COUNTIFS(BACKLOG_BASE[Status],$H$4,BACKLOG_BASE[Proprietário do caso: Nome completo],"&lt;&gt;" &amp; "*BCD*",BACKLOG_BASE[CASE SKILL],VIEW!$E14)</f>
        <v>3</v>
      </c>
      <c r="I14" s="60">
        <f>COUNTIFS(BACKLOG_BASE[Status],$H$4,BACKLOG_BASE[Proprietário do caso: Nome completo],"=" &amp; "*BCD*",BACKLOG_BASE[CASE SKILL],VIEW!$E14)</f>
        <v>9</v>
      </c>
      <c r="J14" s="58">
        <f>COUNTIFS(BACKLOG_BASE!$H:$H,VIEW!J4,BACKLOG_BASE!$X:$X,VIEW!$E14)</f>
        <v>18</v>
      </c>
      <c r="K14" s="58">
        <f>SUM(G14:J14)</f>
        <v>31</v>
      </c>
      <c r="L14" s="58">
        <f>COUNTIFS(BACKLOG_BASE!$H:$H,VIEW!L4,BACKLOG_BASE!$X:$X,VIEW!$E14)</f>
        <v>7</v>
      </c>
      <c r="M14" s="58">
        <f>SUM(K14:L14)</f>
        <v>38</v>
      </c>
      <c r="N14" s="66">
        <f>COUNTIFS(BACKLOG_BASE!$A:$A,VIEW!$N$4,BACKLOG_BASE!$X:$X,VIEW!$E14)</f>
        <v>1</v>
      </c>
      <c r="O14" s="25"/>
      <c r="P14" s="50"/>
    </row>
    <row r="15" spans="3:16" ht="19.5" customHeight="1" x14ac:dyDescent="0.3">
      <c r="C15" s="49"/>
      <c r="D15" s="25"/>
      <c r="E15" s="89"/>
      <c r="F15" s="89"/>
      <c r="G15" s="59">
        <f>IFERROR(G14/G6, "-")</f>
        <v>1</v>
      </c>
      <c r="H15" s="59">
        <f t="shared" ref="H15:N15" si="0">IFERROR(H14/H6, "-")</f>
        <v>1</v>
      </c>
      <c r="I15" s="59">
        <f t="shared" si="0"/>
        <v>1</v>
      </c>
      <c r="J15" s="59">
        <f t="shared" si="0"/>
        <v>0.78260869565217395</v>
      </c>
      <c r="K15" s="59">
        <f t="shared" si="0"/>
        <v>0.86111111111111116</v>
      </c>
      <c r="L15" s="59">
        <f t="shared" si="0"/>
        <v>0.7</v>
      </c>
      <c r="M15" s="59">
        <f t="shared" si="0"/>
        <v>0.82608695652173914</v>
      </c>
      <c r="N15" s="67">
        <f t="shared" si="0"/>
        <v>1</v>
      </c>
      <c r="O15" s="25"/>
      <c r="P15" s="50"/>
    </row>
    <row r="16" spans="3:16" ht="19.5" customHeight="1" x14ac:dyDescent="0.3">
      <c r="C16" s="49"/>
      <c r="D16" s="25"/>
      <c r="E16" s="79"/>
      <c r="F16" s="80"/>
      <c r="G16" s="80"/>
      <c r="H16" s="80"/>
      <c r="I16" s="80"/>
      <c r="J16" s="80"/>
      <c r="K16" s="80"/>
      <c r="L16" s="80"/>
      <c r="M16" s="80"/>
      <c r="N16" s="81"/>
      <c r="O16" s="25"/>
      <c r="P16" s="50"/>
    </row>
    <row r="17" spans="3:16" ht="19.5" customHeight="1" x14ac:dyDescent="0.3">
      <c r="C17" s="49"/>
      <c r="D17" s="25"/>
      <c r="E17" s="88" t="s">
        <v>15</v>
      </c>
      <c r="F17" s="88"/>
      <c r="G17" s="58">
        <f>COUNTIFS(BACKLOG_BASE!$H:$H,VIEW!G4,BACKLOG_BASE!$X:$X,VIEW!$E17)</f>
        <v>0</v>
      </c>
      <c r="H17" s="60">
        <f>COUNTIFS(BACKLOG_BASE[Status],$H$4,BACKLOG_BASE[Proprietário do caso: Nome completo],"&lt;&gt;" &amp; "*BCD*",BACKLOG_BASE[CASE SKILL],VIEW!$E17)</f>
        <v>0</v>
      </c>
      <c r="I17" s="60">
        <f>COUNTIFS(BACKLOG_BASE[Status],$H$4,BACKLOG_BASE[Proprietário do caso: Nome completo],"=" &amp; "*BCD*",BACKLOG_BASE[CASE SKILL],VIEW!$E17)</f>
        <v>0</v>
      </c>
      <c r="J17" s="58">
        <f>COUNTIFS(BACKLOG_BASE!$H:$H,VIEW!J4,BACKLOG_BASE!$X:$X,VIEW!$E17)</f>
        <v>5</v>
      </c>
      <c r="K17" s="58">
        <f>SUM(G17:J17)</f>
        <v>5</v>
      </c>
      <c r="L17" s="58">
        <f>COUNTIFS(BACKLOG_BASE!$H:$H,VIEW!L4,BACKLOG_BASE!$X:$X,VIEW!$E17)</f>
        <v>3</v>
      </c>
      <c r="M17" s="58">
        <f>SUM(K17:L17)</f>
        <v>8</v>
      </c>
      <c r="N17" s="66">
        <f>COUNTIFS(BACKLOG_BASE!$A:$A,VIEW!$N$4,BACKLOG_BASE!$X:$X,VIEW!$E17)</f>
        <v>0</v>
      </c>
      <c r="O17" s="25"/>
      <c r="P17" s="50"/>
    </row>
    <row r="18" spans="3:16" ht="19.5" customHeight="1" x14ac:dyDescent="0.3">
      <c r="C18" s="49"/>
      <c r="D18" s="25"/>
      <c r="E18" s="88"/>
      <c r="F18" s="88"/>
      <c r="G18" s="59">
        <f>IFERROR(G17/G6, "-")</f>
        <v>0</v>
      </c>
      <c r="H18" s="59">
        <f t="shared" ref="H18:N18" si="1">IFERROR(H17/H6, "-")</f>
        <v>0</v>
      </c>
      <c r="I18" s="59">
        <f t="shared" si="1"/>
        <v>0</v>
      </c>
      <c r="J18" s="59">
        <f t="shared" si="1"/>
        <v>0.21739130434782608</v>
      </c>
      <c r="K18" s="59">
        <f t="shared" si="1"/>
        <v>0.1388888888888889</v>
      </c>
      <c r="L18" s="59">
        <f t="shared" si="1"/>
        <v>0.3</v>
      </c>
      <c r="M18" s="59">
        <f t="shared" si="1"/>
        <v>0.17391304347826086</v>
      </c>
      <c r="N18" s="67">
        <f t="shared" si="1"/>
        <v>0</v>
      </c>
      <c r="O18" s="25"/>
      <c r="P18" s="50"/>
    </row>
    <row r="19" spans="3:16" ht="19.5" customHeight="1" x14ac:dyDescent="0.3">
      <c r="C19" s="49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50"/>
    </row>
    <row r="20" spans="3:16" ht="21" customHeight="1" x14ac:dyDescent="0.3">
      <c r="C20" s="49"/>
      <c r="D20" s="25"/>
      <c r="E20" s="25"/>
      <c r="F20" s="26"/>
      <c r="G20" s="26"/>
      <c r="I20" s="90" t="s">
        <v>940</v>
      </c>
      <c r="J20" s="90"/>
      <c r="K20" s="26"/>
      <c r="L20" s="26"/>
      <c r="M20" s="25"/>
      <c r="N20" s="25"/>
      <c r="O20" s="25"/>
      <c r="P20" s="50"/>
    </row>
    <row r="21" spans="3:16" ht="21.75" customHeight="1" x14ac:dyDescent="0.3">
      <c r="C21" s="49"/>
      <c r="D21" s="25"/>
      <c r="E21" s="25"/>
      <c r="F21" s="25"/>
      <c r="G21" s="27"/>
      <c r="I21" s="72">
        <f ca="1">IFERROR(AVERAGE(BACKLOG_BASE!T:T), "-")</f>
        <v>692.20753321255984</v>
      </c>
      <c r="J21" s="72"/>
      <c r="K21" s="27"/>
      <c r="L21" s="27"/>
      <c r="M21" s="25"/>
      <c r="N21" s="25"/>
      <c r="O21" s="25"/>
      <c r="P21" s="50"/>
    </row>
    <row r="22" spans="3:16" ht="19.5" customHeight="1" x14ac:dyDescent="0.3">
      <c r="C22" s="51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3"/>
    </row>
  </sheetData>
  <mergeCells count="15">
    <mergeCell ref="I21:J21"/>
    <mergeCell ref="E3:N3"/>
    <mergeCell ref="E5:F5"/>
    <mergeCell ref="E6:F6"/>
    <mergeCell ref="E7:N7"/>
    <mergeCell ref="E8:F8"/>
    <mergeCell ref="E16:N16"/>
    <mergeCell ref="E9:N9"/>
    <mergeCell ref="E13:F13"/>
    <mergeCell ref="E17:F18"/>
    <mergeCell ref="E10:F10"/>
    <mergeCell ref="E11:N11"/>
    <mergeCell ref="E12:N12"/>
    <mergeCell ref="E14:F15"/>
    <mergeCell ref="I20:J20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2E7D3F2E-4680-4E12-B76D-F2275F5311A6}">
            <x14:iconSet iconSet="3Symbols" custom="1">
              <x14:cfvo type="percent">
                <xm:f>0</xm:f>
              </x14:cfvo>
              <x14:cfvo type="num" gte="0">
                <xm:f>3.1440000000000001</xm:f>
              </x14:cfvo>
              <x14:cfvo type="num" gte="0">
                <xm:f>3.145</xm:f>
              </x14:cfvo>
              <x14:cfIcon iconSet="3Symbols" iconId="2"/>
              <x14:cfIcon iconSet="3Symbols" iconId="1"/>
              <x14:cfIcon iconSet="4RedToBlack" iconId="3"/>
            </x14:iconSet>
          </x14:cfRule>
          <xm:sqref>I21</xm:sqref>
        </x14:conditionalFormatting>
        <x14:conditionalFormatting xmlns:xm="http://schemas.microsoft.com/office/excel/2006/main">
          <x14:cfRule type="iconSet" priority="11" id="{64402648-2560-483B-B271-F850D5FD5F83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G8</xm:sqref>
        </x14:conditionalFormatting>
        <x14:conditionalFormatting xmlns:xm="http://schemas.microsoft.com/office/excel/2006/main">
          <x14:cfRule type="iconSet" priority="9" id="{61798D61-9E0D-4865-A150-8A6A1E4DCD2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J8:N8</xm:sqref>
        </x14:conditionalFormatting>
        <x14:conditionalFormatting xmlns:xm="http://schemas.microsoft.com/office/excel/2006/main">
          <x14:cfRule type="iconSet" priority="8" id="{6A35703C-5BC7-448A-BE61-78910021FD4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G10</xm:sqref>
        </x14:conditionalFormatting>
        <x14:conditionalFormatting xmlns:xm="http://schemas.microsoft.com/office/excel/2006/main">
          <x14:cfRule type="iconSet" priority="7" id="{9AEDE747-0D78-443F-B7F8-B40D7038AD25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J10:N10</xm:sqref>
        </x14:conditionalFormatting>
        <x14:conditionalFormatting xmlns:xm="http://schemas.microsoft.com/office/excel/2006/main">
          <x14:cfRule type="iconSet" priority="5" id="{93A1DF20-BA10-4F37-8100-7179AA4295AA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" id="{2DE86798-DB7D-471B-96C8-88527D2BDB4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H10</xm:sqref>
        </x14:conditionalFormatting>
        <x14:conditionalFormatting xmlns:xm="http://schemas.microsoft.com/office/excel/2006/main">
          <x14:cfRule type="iconSet" priority="2" id="{249A52D5-2169-4FB4-A649-3056B8E1B93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I8</xm:sqref>
        </x14:conditionalFormatting>
        <x14:conditionalFormatting xmlns:xm="http://schemas.microsoft.com/office/excel/2006/main">
          <x14:cfRule type="iconSet" priority="1" id="{DB5DAF6B-48C4-4518-BFDF-D34F73EFDB05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3Symbols2" iconId="2"/>
              <x14:cfIcon iconSet="3Symbols2" iconId="1"/>
              <x14:cfIcon iconSet="3Flags" iconId="0"/>
            </x14:iconSet>
          </x14:cfRule>
          <xm:sqref>I10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I25"/>
  <sheetViews>
    <sheetView showGridLines="0" topLeftCell="A2" zoomScaleNormal="100" workbookViewId="0">
      <selection activeCell="A2" sqref="A2"/>
    </sheetView>
  </sheetViews>
  <sheetFormatPr defaultRowHeight="15" x14ac:dyDescent="0.3"/>
  <cols>
    <col min="1" max="1" width="12.140625" style="43" bestFit="1" customWidth="1"/>
    <col min="2" max="2" width="15.140625" style="43" customWidth="1"/>
    <col min="3" max="3" width="19.28515625" style="43" bestFit="1" customWidth="1"/>
    <col min="4" max="4" width="22.85546875" style="43" bestFit="1" customWidth="1"/>
    <col min="5" max="5" width="13.42578125" style="43" bestFit="1" customWidth="1"/>
    <col min="6" max="6" width="34.85546875" style="43" bestFit="1" customWidth="1"/>
    <col min="7" max="7" width="30.28515625" style="43" bestFit="1" customWidth="1"/>
    <col min="8" max="8" width="18.7109375" style="43" bestFit="1" customWidth="1"/>
    <col min="9" max="9" width="44.85546875" style="43" bestFit="1" customWidth="1"/>
    <col min="10" max="16384" width="9.140625" style="43"/>
  </cols>
  <sheetData>
    <row r="1" spans="1:9" ht="24" hidden="1" customHeight="1" thickBot="1" x14ac:dyDescent="0.35">
      <c r="B1" s="43">
        <v>22</v>
      </c>
      <c r="C1" s="43">
        <v>15</v>
      </c>
      <c r="D1" s="43">
        <v>18</v>
      </c>
      <c r="E1" s="43">
        <v>19</v>
      </c>
      <c r="F1" s="43">
        <v>20</v>
      </c>
      <c r="G1" s="43">
        <v>21</v>
      </c>
      <c r="H1" s="43">
        <v>16</v>
      </c>
    </row>
    <row r="2" spans="1:9" x14ac:dyDescent="0.3">
      <c r="A2" s="44" t="s">
        <v>666</v>
      </c>
      <c r="B2" s="45" t="s">
        <v>16</v>
      </c>
      <c r="C2" s="45" t="s">
        <v>36</v>
      </c>
      <c r="D2" s="45" t="s">
        <v>37</v>
      </c>
      <c r="E2" s="45" t="s">
        <v>42</v>
      </c>
      <c r="F2" s="45" t="s">
        <v>38</v>
      </c>
      <c r="G2" s="45" t="s">
        <v>34</v>
      </c>
      <c r="H2" s="68" t="s">
        <v>17</v>
      </c>
      <c r="I2" s="44" t="s">
        <v>665</v>
      </c>
    </row>
    <row r="3" spans="1:9" x14ac:dyDescent="0.3">
      <c r="A3" s="40" t="s">
        <v>726</v>
      </c>
      <c r="B3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3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699.54374999999709</v>
      </c>
      <c r="D3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689.56805555555911</v>
      </c>
      <c r="E3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3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3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Jonatas Gomes Tenorio</v>
      </c>
      <c r="I3" s="40" t="s">
        <v>1003</v>
      </c>
    </row>
    <row r="4" spans="1:9" x14ac:dyDescent="0.3">
      <c r="A4" s="40" t="s">
        <v>767</v>
      </c>
      <c r="B4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4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699.33541666666861</v>
      </c>
      <c r="D4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689.48263888889051</v>
      </c>
      <c r="E4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4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4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4" s="40"/>
      <c r="I4" s="40" t="s">
        <v>1003</v>
      </c>
    </row>
    <row r="5" spans="1:9" x14ac:dyDescent="0.3">
      <c r="A5" s="40" t="s">
        <v>732</v>
      </c>
      <c r="B5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5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698.5354166666657</v>
      </c>
      <c r="D5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689.47708333333139</v>
      </c>
      <c r="E5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5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5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5" s="40"/>
      <c r="I5" s="40" t="s">
        <v>1003</v>
      </c>
    </row>
    <row r="6" spans="1:9" x14ac:dyDescent="0.3">
      <c r="A6" s="40" t="s">
        <v>744</v>
      </c>
      <c r="B6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6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697.61041666667006</v>
      </c>
      <c r="D6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689.4736111111124</v>
      </c>
      <c r="E6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6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6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Lais Silva Pereira</v>
      </c>
      <c r="H6" s="40"/>
      <c r="I6" s="40" t="s">
        <v>1003</v>
      </c>
    </row>
    <row r="7" spans="1:9" x14ac:dyDescent="0.3">
      <c r="A7" s="40" t="s">
        <v>739</v>
      </c>
      <c r="B7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7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697.60416666666424</v>
      </c>
      <c r="D7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689.46250000000146</v>
      </c>
      <c r="E7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7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7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Henrique Eulalio De Sousa</v>
      </c>
      <c r="H7" s="40"/>
      <c r="I7" s="40" t="s">
        <v>1003</v>
      </c>
    </row>
    <row r="8" spans="1:9" x14ac:dyDescent="0.3">
      <c r="A8" s="40" t="s">
        <v>746</v>
      </c>
      <c r="B8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8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697.35138888889196</v>
      </c>
      <c r="D8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689.45416666667006</v>
      </c>
      <c r="E8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8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8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8" s="40"/>
      <c r="I8" s="40"/>
    </row>
    <row r="9" spans="1:9" x14ac:dyDescent="0.3">
      <c r="A9" s="40" t="s">
        <v>772</v>
      </c>
      <c r="B9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9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696.57499999999709</v>
      </c>
      <c r="D9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689.43402777778101</v>
      </c>
      <c r="E9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9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9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Denyse Souza Santos</v>
      </c>
      <c r="H9" s="40"/>
      <c r="I9" s="40"/>
    </row>
    <row r="10" spans="1:9" x14ac:dyDescent="0.3">
      <c r="A10" s="40" t="s">
        <v>765</v>
      </c>
      <c r="B10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0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696.54722222222335</v>
      </c>
      <c r="D10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689.4152777777781</v>
      </c>
      <c r="E10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0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0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0" s="40"/>
      <c r="I10" s="40"/>
    </row>
    <row r="11" spans="1:9" x14ac:dyDescent="0.3">
      <c r="A11" s="40" t="s">
        <v>763</v>
      </c>
      <c r="B11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1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696.53125</v>
      </c>
      <c r="D11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689.40555555555329</v>
      </c>
      <c r="E11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1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1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Lais Silva Pereira</v>
      </c>
      <c r="H11" s="40"/>
      <c r="I11" s="40"/>
    </row>
    <row r="12" spans="1:9" x14ac:dyDescent="0.3">
      <c r="A12" s="40" t="s">
        <v>758</v>
      </c>
      <c r="B12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2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696.4777777777781</v>
      </c>
      <c r="D12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689.4020833333343</v>
      </c>
      <c r="E12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2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2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Henrique Eulalio De Sousa</v>
      </c>
      <c r="H12" s="40"/>
      <c r="I12" s="40"/>
    </row>
    <row r="13" spans="1:9" x14ac:dyDescent="0.3">
      <c r="A13" s="40" t="s">
        <v>789</v>
      </c>
      <c r="B13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3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693.58541666666861</v>
      </c>
      <c r="D13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689.3256944444438</v>
      </c>
      <c r="E13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3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3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3" s="40"/>
      <c r="I13" s="40"/>
    </row>
    <row r="14" spans="1:9" x14ac:dyDescent="0.3">
      <c r="A14" s="40" t="s">
        <v>786</v>
      </c>
      <c r="B14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4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693.46736111111386</v>
      </c>
      <c r="D14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689.31874999999854</v>
      </c>
      <c r="E14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4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4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14" s="40"/>
      <c r="I14" s="40"/>
    </row>
    <row r="15" spans="1:9" x14ac:dyDescent="0.3">
      <c r="A15" s="40" t="s">
        <v>823</v>
      </c>
      <c r="B15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15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691.54305555555766</v>
      </c>
      <c r="D15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689.31527777777956</v>
      </c>
      <c r="E15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5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5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5" s="40"/>
      <c r="I15" s="40"/>
    </row>
    <row r="16" spans="1:9" x14ac:dyDescent="0.3">
      <c r="A16" s="40" t="s">
        <v>839</v>
      </c>
      <c r="B16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6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690.5</v>
      </c>
      <c r="D16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689.29236111111095</v>
      </c>
      <c r="E16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6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6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16" s="40"/>
      <c r="I16" s="40"/>
    </row>
    <row r="17" spans="1:9" x14ac:dyDescent="0.3">
      <c r="A17" s="40" t="s">
        <v>848</v>
      </c>
      <c r="B17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7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690.48333333332994</v>
      </c>
      <c r="D17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689.44722222222481</v>
      </c>
      <c r="E17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7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7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Denyse Souza Santos</v>
      </c>
      <c r="H17" s="40"/>
      <c r="I17" s="40"/>
    </row>
    <row r="18" spans="1:9" x14ac:dyDescent="0.3">
      <c r="A18" s="40" t="s">
        <v>845</v>
      </c>
      <c r="B18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8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690.48333333332994</v>
      </c>
      <c r="D18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689.5</v>
      </c>
      <c r="E18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8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8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8" s="40"/>
      <c r="I18" s="40"/>
    </row>
    <row r="19" spans="1:9" x14ac:dyDescent="0.3">
      <c r="A19" s="40" t="s">
        <v>851</v>
      </c>
      <c r="B19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19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690.19999999999709</v>
      </c>
      <c r="D19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689.29097222222481</v>
      </c>
      <c r="E19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19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19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Zaelly Suerfia Ferreira da Costa</v>
      </c>
      <c r="H19" s="40"/>
      <c r="I19" s="40"/>
    </row>
    <row r="20" spans="1:9" x14ac:dyDescent="0.3">
      <c r="A20" s="40" t="s">
        <v>948</v>
      </c>
      <c r="B20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0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689.63541666666424</v>
      </c>
      <c r="D20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689.29513888889051</v>
      </c>
      <c r="E20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0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0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Edilson Nunes De Souza</v>
      </c>
      <c r="H20" s="40"/>
      <c r="I20" s="40"/>
    </row>
    <row r="21" spans="1:9" x14ac:dyDescent="0.3">
      <c r="A21" s="40" t="s">
        <v>954</v>
      </c>
      <c r="B21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21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689.60208333333139</v>
      </c>
      <c r="D21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689.3569444444438</v>
      </c>
      <c r="E21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1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1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Denyse Souza Santos</v>
      </c>
      <c r="H21" s="40"/>
      <c r="I21" s="40"/>
    </row>
    <row r="22" spans="1:9" x14ac:dyDescent="0.3">
      <c r="A22" s="40" t="s">
        <v>971</v>
      </c>
      <c r="B22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22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689.52152777777519</v>
      </c>
      <c r="D22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689.2944444444438</v>
      </c>
      <c r="E22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2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2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Edilson Nunes De Souza</v>
      </c>
      <c r="H22" s="40"/>
      <c r="I22" s="40"/>
    </row>
    <row r="23" spans="1:9" x14ac:dyDescent="0.3">
      <c r="A23" s="40" t="s">
        <v>977</v>
      </c>
      <c r="B23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3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689.49236111110804</v>
      </c>
      <c r="D23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689.35763888889051</v>
      </c>
      <c r="E23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3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3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Denyse Souza Santos</v>
      </c>
      <c r="H23" s="40"/>
      <c r="I23" s="40"/>
    </row>
    <row r="24" spans="1:9" x14ac:dyDescent="0.3">
      <c r="A24" s="40" t="s">
        <v>983</v>
      </c>
      <c r="B24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PSG</v>
      </c>
      <c r="C24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689.48958333333576</v>
      </c>
      <c r="D24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689.29513888889051</v>
      </c>
      <c r="E24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4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4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Vinicius Marques Ferreira Silva</v>
      </c>
      <c r="H24" s="40"/>
      <c r="I24" s="40"/>
    </row>
    <row r="25" spans="1:9" x14ac:dyDescent="0.3">
      <c r="A25" s="40" t="s">
        <v>996</v>
      </c>
      <c r="B25" s="40" t="str">
        <f>IFERROR(IFERROR(INDEX(BACKLOG_BASE[],MATCH(CASOS_FUPO[[#This Row],[CASE ID]]+0,BACKLOG_BASE[Número do caso],0),MATCH(CASOS_FUPO[[#Headers],[CASE SKILL]],BACKLOG_BASE[#Headers],0)),INDEX(BACKLOG_BASE[],MATCH(CASOS_FUPO[[#This Row],[CASE ID]]&amp;"",BACKLOG_BASE[Número do caso],0),MATCH(CASOS_FUPO[[#Headers],[CASE SKILL]],BACKLOG_BASE[#Headers],0))),"-")</f>
        <v>IPG</v>
      </c>
      <c r="C25" s="41">
        <f ca="1">IFERROR(IFERROR(INDEX(BACKLOG_BASE[],MATCH(CASOS_FUPO[[#This Row],[CASE ID]]+0,BACKLOG_BASE[Número do caso],0),MATCH(CASOS_FUPO[[#Headers],[Dias em aberto ]],BACKLOG_BASE[#Headers],0)),INDEX(BACKLOG_BASE[],MATCH(CASOS_FUPO[[#This Row],[CASE ID]]&amp;"",BACKLOG_BASE[Número do caso],0),MATCH(CASOS_FUPO[[#Headers],[Dias em aberto ]],BACKLOG_BASE[#Headers],0))),"-")</f>
        <v>689.3388888888876</v>
      </c>
      <c r="D25" s="41">
        <f ca="1">IFERROR(IFERROR(INDEX(BACKLOG_BASE[],MATCH(CASOS_FUPO[[#This Row],[CASE ID]]+0,BACKLOG_BASE[Número do caso],0),MATCH(CASOS_FUPO[[#Headers],[Dias sem interação ]],BACKLOG_BASE[#Headers],0)),INDEX(BACKLOG_BASE[],MATCH(CASOS_FUPO[[#This Row],[CASE ID]]&amp;"",BACKLOG_BASE[Número do caso],0),MATCH(CASOS_FUPO[[#Headers],[Dias sem interação ]],BACKLOG_BASE[#Headers],0))),"-")</f>
        <v>689.2944444444438</v>
      </c>
      <c r="E25" s="40" t="str">
        <f>IFERROR(IFERROR(INDEX(BACKLOG_BASE[],MATCH(CASOS_FUPO[[#This Row],[CASE ID]]+0,BACKLOG_BASE[Número do caso],0),MATCH(CASOS_FUPO[[#Headers],[Nome callback]],BACKLOG_BASE[#Headers],0)),INDEX(BACKLOG_BASE[],MATCH(CASOS_FUPO[[#This Row],[CASE ID]]&amp;"",BACKLOG_BASE[Número do caso],0),MATCH(CASOS_FUPO[[#Headers],[Nome callback]],BACKLOG_BASE[#Headers],0))),"-")</f>
        <v>-</v>
      </c>
      <c r="F25" s="42" t="str">
        <f>IFERROR(IFERROR(INDEX(BACKLOG_BASE[],MATCH(CASOS_FUPO[[#This Row],[CASE ID]]+0,BACKLOG_BASE[Número do caso],0),MATCH(CASOS_FUPO[[#Headers],[Callback Tempo Programado (Agente)]],BACKLOG_BASE[#Headers],0)),INDEX(BACKLOG_BASE[],MATCH(CASOS_FUPO[[#This Row],[CASE ID]]&amp;"",BACKLOG_BASE[Número do caso],0),MATCH(CASOS_FUPO[[#Headers],[Callback Tempo Programado (Agente)]],BACKLOG_BASE[#Headers],0))),"-")</f>
        <v>-</v>
      </c>
      <c r="G25" s="40" t="str">
        <f>IFERROR(IFERROR(INDEX(BACKLOG_BASE[],MATCH(CASOS_FUPO[[#This Row],[CASE ID]]+0,BACKLOG_BASE[Número do caso],0),MATCH(CASOS_FUPO[[#Headers],[Agente que abriu o caso ]],BACKLOG_BASE[#Headers],0)),INDEX(BACKLOG_BASE[],MATCH(CASOS_FUPO[[#This Row],[CASE ID]]&amp;"",BACKLOG_BASE[Número do caso],0),MATCH(CASOS_FUPO[[#Headers],[Agente que abriu o caso ]],BACKLOG_BASE[#Headers],0))),"-")</f>
        <v>Wendrey Schumaher Lara</v>
      </c>
      <c r="H25" s="40"/>
      <c r="I25" s="40"/>
    </row>
  </sheetData>
  <protectedRanges>
    <protectedRange sqref="H2:I2" name="Intervalo1" securityDescriptor="O:WDG:WDD:(A;;CC;;;S-1-5-21-304873397-1514062539-1847029797-63266)"/>
  </protectedRanges>
  <dataValidations count="1">
    <dataValidation type="list" allowBlank="1" showInputMessage="1" showErrorMessage="1" sqref="H3:H25" xr:uid="{00000000-0002-0000-0200-000000000000}">
      <formula1>"PENDENTE,FECHADO"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Y47"/>
  <sheetViews>
    <sheetView showGridLines="0" topLeftCell="B1" zoomScale="90" zoomScaleNormal="90" workbookViewId="0">
      <selection activeCell="C2" sqref="C2"/>
    </sheetView>
  </sheetViews>
  <sheetFormatPr defaultRowHeight="15" x14ac:dyDescent="0.3"/>
  <cols>
    <col min="1" max="1" width="15" style="1" hidden="1" customWidth="1"/>
    <col min="2" max="2" width="20" style="1" bestFit="1" customWidth="1"/>
    <col min="3" max="3" width="20.5703125" style="1" bestFit="1" customWidth="1"/>
    <col min="4" max="4" width="40.5703125" style="1" customWidth="1"/>
    <col min="5" max="5" width="42.42578125" style="1" customWidth="1"/>
    <col min="6" max="6" width="29.85546875" style="1" customWidth="1"/>
    <col min="7" max="7" width="37" style="1" customWidth="1"/>
    <col min="8" max="8" width="31.85546875" style="1" bestFit="1" customWidth="1"/>
    <col min="9" max="9" width="37.42578125" style="1" bestFit="1" customWidth="1"/>
    <col min="10" max="10" width="46.140625" style="1" bestFit="1" customWidth="1"/>
    <col min="11" max="11" width="69.28515625" style="1" bestFit="1" customWidth="1"/>
    <col min="12" max="12" width="40.7109375" style="1" bestFit="1" customWidth="1"/>
    <col min="13" max="13" width="50.5703125" style="1" bestFit="1" customWidth="1"/>
    <col min="14" max="14" width="37" style="1" bestFit="1" customWidth="1"/>
    <col min="15" max="15" width="18.28515625" style="8" bestFit="1" customWidth="1"/>
    <col min="16" max="16" width="26.7109375" style="1" bestFit="1" customWidth="1"/>
    <col min="17" max="17" width="31.140625" style="1" bestFit="1" customWidth="1"/>
    <col min="18" max="18" width="33.140625" style="5" bestFit="1" customWidth="1"/>
    <col min="19" max="19" width="37.7109375" style="1" bestFit="1" customWidth="1"/>
    <col min="20" max="20" width="20.42578125" style="4" bestFit="1" customWidth="1"/>
    <col min="21" max="21" width="24" style="4" bestFit="1" customWidth="1"/>
    <col min="22" max="22" width="19.28515625" style="1" bestFit="1" customWidth="1"/>
    <col min="23" max="23" width="40.5703125" style="7" bestFit="1" customWidth="1"/>
    <col min="24" max="24" width="16" style="1" bestFit="1" customWidth="1"/>
    <col min="25" max="25" width="19.7109375" style="1" bestFit="1" customWidth="1"/>
    <col min="26" max="26" width="9.140625" style="1"/>
    <col min="27" max="27" width="11.5703125" style="1" bestFit="1" customWidth="1"/>
    <col min="28" max="16384" width="9.140625" style="1"/>
  </cols>
  <sheetData>
    <row r="1" spans="1:25" ht="15.75" customHeight="1" x14ac:dyDescent="0.3">
      <c r="A1" s="16" t="s">
        <v>650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5" t="s">
        <v>27</v>
      </c>
      <c r="L1" s="15" t="s">
        <v>28</v>
      </c>
      <c r="M1" s="15" t="s">
        <v>29</v>
      </c>
      <c r="N1" s="15" t="s">
        <v>30</v>
      </c>
      <c r="O1" s="15" t="s">
        <v>31</v>
      </c>
      <c r="P1" s="15" t="s">
        <v>32</v>
      </c>
      <c r="Q1" s="15" t="s">
        <v>33</v>
      </c>
      <c r="R1" s="16" t="s">
        <v>34</v>
      </c>
      <c r="S1" s="16" t="s">
        <v>35</v>
      </c>
      <c r="T1" s="16" t="s">
        <v>36</v>
      </c>
      <c r="U1" s="16" t="s">
        <v>37</v>
      </c>
      <c r="V1" s="16" t="s">
        <v>42</v>
      </c>
      <c r="W1" s="16" t="s">
        <v>38</v>
      </c>
      <c r="X1" s="16" t="s">
        <v>16</v>
      </c>
      <c r="Y1" s="17" t="s">
        <v>17</v>
      </c>
    </row>
    <row r="2" spans="1:25" x14ac:dyDescent="0.3">
      <c r="A2" s="10" t="str">
        <f>IF(BACKLOG_BASE[[#This Row],[Origem do caso]]="","",IF(BACKLOG_BASE[[#This Row],[Origem do caso]]&lt;&gt;"Telefone","WEB","Telefone"))</f>
        <v>Telefone</v>
      </c>
      <c r="B2" s="8" t="s">
        <v>57</v>
      </c>
      <c r="C2" s="8" t="s">
        <v>726</v>
      </c>
      <c r="D2" s="8" t="s">
        <v>727</v>
      </c>
      <c r="E2" s="8" t="s">
        <v>728</v>
      </c>
      <c r="F2" s="8" t="s">
        <v>729</v>
      </c>
      <c r="G2" s="8"/>
      <c r="H2" s="8" t="s">
        <v>3</v>
      </c>
      <c r="I2" s="8" t="s">
        <v>730</v>
      </c>
      <c r="J2" s="8" t="s">
        <v>710</v>
      </c>
      <c r="K2" s="8" t="s">
        <v>710</v>
      </c>
      <c r="L2" s="8" t="s">
        <v>722</v>
      </c>
      <c r="M2" s="8" t="s">
        <v>731</v>
      </c>
      <c r="N2" s="8" t="s">
        <v>56</v>
      </c>
      <c r="O2" s="8" t="s">
        <v>58</v>
      </c>
      <c r="P2" s="9">
        <v>42759.456250000003</v>
      </c>
      <c r="Q2" s="9">
        <v>42769.431944444441</v>
      </c>
      <c r="R2" s="12" t="str">
        <f>IF(A2="WEB","Integration_CallMe User",IFERROR(VLOOKUP(J2,MAP!$C:$D,2,0),"-"))</f>
        <v>Jonatas Gomes Tenorio</v>
      </c>
      <c r="S2" s="12" t="str">
        <f>IFERROR(VLOOKUP(K2,MAP!$C:$D,2,0),"-")</f>
        <v>Jonatas Gomes Tenorio</v>
      </c>
      <c r="T2" s="10">
        <f t="shared" ref="T2:T25" ca="1" si="0">IF(P2="", "-", TODAY() -P2)</f>
        <v>699.54374999999709</v>
      </c>
      <c r="U2" s="10">
        <f t="shared" ref="U2:U25" ca="1" si="1">IF(Q2="", "-", TODAY() -Q2)</f>
        <v>689.56805555555911</v>
      </c>
      <c r="V2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" s="10" t="str">
        <f>IFERROR(VLOOKUP(N2,MAP!$H:$I,2,0),"-")</f>
        <v>PSG</v>
      </c>
      <c r="Y2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3" spans="1:25" x14ac:dyDescent="0.3">
      <c r="A3" s="10" t="str">
        <f>IF(BACKLOG_BASE[[#This Row],[Origem do caso]]="","",IF(BACKLOG_BASE[[#This Row],[Origem do caso]]&lt;&gt;"Telefone","WEB","Telefone"))</f>
        <v>Telefone</v>
      </c>
      <c r="B3" s="8" t="s">
        <v>57</v>
      </c>
      <c r="C3" s="8" t="s">
        <v>767</v>
      </c>
      <c r="D3" s="8" t="s">
        <v>768</v>
      </c>
      <c r="E3" s="8" t="s">
        <v>769</v>
      </c>
      <c r="F3" s="8" t="s">
        <v>770</v>
      </c>
      <c r="G3" s="8"/>
      <c r="H3" s="8" t="s">
        <v>3</v>
      </c>
      <c r="I3" s="8" t="s">
        <v>771</v>
      </c>
      <c r="J3" s="8" t="s">
        <v>653</v>
      </c>
      <c r="K3" s="8" t="s">
        <v>710</v>
      </c>
      <c r="L3" s="8" t="s">
        <v>722</v>
      </c>
      <c r="M3" s="8" t="s">
        <v>760</v>
      </c>
      <c r="N3" s="8" t="s">
        <v>55</v>
      </c>
      <c r="O3" s="8" t="s">
        <v>59</v>
      </c>
      <c r="P3" s="9">
        <v>42759.664583333331</v>
      </c>
      <c r="Q3" s="9">
        <v>42769.517361111109</v>
      </c>
      <c r="R3" s="12" t="str">
        <f>IF(A3="WEB","Integration_CallMe User",IFERROR(VLOOKUP(J3,MAP!$C:$D,2,0),"-"))</f>
        <v>Zaelly Suerfia Ferreira da Costa</v>
      </c>
      <c r="S3" s="12" t="str">
        <f>IFERROR(VLOOKUP(K3,MAP!$C:$D,2,0),"-")</f>
        <v>Jonatas Gomes Tenorio</v>
      </c>
      <c r="T3" s="10">
        <f t="shared" ca="1" si="0"/>
        <v>699.33541666666861</v>
      </c>
      <c r="U3" s="10">
        <f t="shared" ca="1" si="1"/>
        <v>689.48263888889051</v>
      </c>
      <c r="V3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" s="10" t="str">
        <f>IFERROR(VLOOKUP(N3,MAP!$H:$I,2,0),"-")</f>
        <v>IPG</v>
      </c>
      <c r="Y3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" spans="1:25" x14ac:dyDescent="0.3">
      <c r="A4" s="10" t="str">
        <f>IF(BACKLOG_BASE[[#This Row],[Origem do caso]]="","",IF(BACKLOG_BASE[[#This Row],[Origem do caso]]&lt;&gt;"Telefone","WEB","Telefone"))</f>
        <v>Telefone</v>
      </c>
      <c r="B4" s="8" t="s">
        <v>57</v>
      </c>
      <c r="C4" s="8" t="s">
        <v>732</v>
      </c>
      <c r="D4" s="8" t="s">
        <v>733</v>
      </c>
      <c r="E4" s="8" t="s">
        <v>734</v>
      </c>
      <c r="F4" s="8" t="s">
        <v>735</v>
      </c>
      <c r="G4" s="8"/>
      <c r="H4" s="8" t="s">
        <v>3</v>
      </c>
      <c r="I4" s="8" t="s">
        <v>736</v>
      </c>
      <c r="J4" s="8" t="s">
        <v>712</v>
      </c>
      <c r="K4" s="8" t="s">
        <v>710</v>
      </c>
      <c r="L4" s="8" t="s">
        <v>722</v>
      </c>
      <c r="M4" s="8" t="s">
        <v>737</v>
      </c>
      <c r="N4" s="8" t="s">
        <v>55</v>
      </c>
      <c r="O4" s="8" t="s">
        <v>58</v>
      </c>
      <c r="P4" s="9">
        <v>42760.464583333334</v>
      </c>
      <c r="Q4" s="9">
        <v>42769.522916666669</v>
      </c>
      <c r="R4" s="12" t="str">
        <f>IF(A4="WEB","Integration_CallMe User",IFERROR(VLOOKUP(J4,MAP!$C:$D,2,0),"-"))</f>
        <v>Vinicius Marques Ferreira Silva</v>
      </c>
      <c r="S4" s="12" t="str">
        <f>IFERROR(VLOOKUP(K4,MAP!$C:$D,2,0),"-")</f>
        <v>Jonatas Gomes Tenorio</v>
      </c>
      <c r="T4" s="10">
        <f t="shared" ca="1" si="0"/>
        <v>698.5354166666657</v>
      </c>
      <c r="U4" s="10">
        <f t="shared" ca="1" si="1"/>
        <v>689.47708333333139</v>
      </c>
      <c r="V4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" s="10" t="str">
        <f>IFERROR(VLOOKUP(N4,MAP!$H:$I,2,0),"-")</f>
        <v>IPG</v>
      </c>
      <c r="Y4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5" spans="1:25" x14ac:dyDescent="0.3">
      <c r="A5" s="10" t="str">
        <f>IF(BACKLOG_BASE[[#This Row],[Origem do caso]]="","",IF(BACKLOG_BASE[[#This Row],[Origem do caso]]&lt;&gt;"Telefone","WEB","Telefone"))</f>
        <v>Telefone</v>
      </c>
      <c r="B5" s="8" t="s">
        <v>57</v>
      </c>
      <c r="C5" s="8" t="s">
        <v>744</v>
      </c>
      <c r="D5" s="8" t="s">
        <v>749</v>
      </c>
      <c r="E5" s="8" t="s">
        <v>750</v>
      </c>
      <c r="F5" s="8" t="s">
        <v>751</v>
      </c>
      <c r="G5" s="8"/>
      <c r="H5" s="8" t="s">
        <v>3</v>
      </c>
      <c r="I5" s="8" t="s">
        <v>745</v>
      </c>
      <c r="J5" s="8" t="s">
        <v>724</v>
      </c>
      <c r="K5" s="8" t="s">
        <v>710</v>
      </c>
      <c r="L5" s="8" t="s">
        <v>722</v>
      </c>
      <c r="M5" s="8" t="s">
        <v>743</v>
      </c>
      <c r="N5" s="8" t="s">
        <v>662</v>
      </c>
      <c r="O5" s="8" t="s">
        <v>59</v>
      </c>
      <c r="P5" s="9">
        <v>42761.38958333333</v>
      </c>
      <c r="Q5" s="9">
        <v>42769.526388888888</v>
      </c>
      <c r="R5" s="12" t="str">
        <f>IF(A5="WEB","Integration_CallMe User",IFERROR(VLOOKUP(J5,MAP!$C:$D,2,0),"-"))</f>
        <v>Lais Silva Pereira</v>
      </c>
      <c r="S5" s="12" t="str">
        <f>IFERROR(VLOOKUP(K5,MAP!$C:$D,2,0),"-")</f>
        <v>Jonatas Gomes Tenorio</v>
      </c>
      <c r="T5" s="10">
        <f t="shared" ca="1" si="0"/>
        <v>697.61041666667006</v>
      </c>
      <c r="U5" s="10">
        <f t="shared" ca="1" si="1"/>
        <v>689.4736111111124</v>
      </c>
      <c r="V5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5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5" s="10" t="str">
        <f>IFERROR(VLOOKUP(N5,MAP!$H:$I,2,0),"-")</f>
        <v>IPG</v>
      </c>
      <c r="Y5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6" spans="1:25" x14ac:dyDescent="0.3">
      <c r="A6" s="10" t="str">
        <f>IF(BACKLOG_BASE[[#This Row],[Origem do caso]]="","",IF(BACKLOG_BASE[[#This Row],[Origem do caso]]&lt;&gt;"Telefone","WEB","Telefone"))</f>
        <v>Telefone</v>
      </c>
      <c r="B6" s="8" t="s">
        <v>57</v>
      </c>
      <c r="C6" s="8" t="s">
        <v>739</v>
      </c>
      <c r="D6" s="8" t="s">
        <v>752</v>
      </c>
      <c r="E6" s="8" t="s">
        <v>753</v>
      </c>
      <c r="F6" s="8" t="s">
        <v>754</v>
      </c>
      <c r="G6" s="8"/>
      <c r="H6" s="8" t="s">
        <v>3</v>
      </c>
      <c r="I6" s="8" t="s">
        <v>740</v>
      </c>
      <c r="J6" s="8" t="s">
        <v>741</v>
      </c>
      <c r="K6" s="8" t="s">
        <v>710</v>
      </c>
      <c r="L6" s="8" t="s">
        <v>722</v>
      </c>
      <c r="M6" s="8" t="s">
        <v>742</v>
      </c>
      <c r="N6" s="8" t="s">
        <v>52</v>
      </c>
      <c r="O6" s="8" t="s">
        <v>59</v>
      </c>
      <c r="P6" s="9">
        <v>42761.395833333336</v>
      </c>
      <c r="Q6" s="9">
        <v>42769.537499999999</v>
      </c>
      <c r="R6" s="12" t="str">
        <f>IF(A6="WEB","Integration_CallMe User",IFERROR(VLOOKUP(J6,MAP!$C:$D,2,0),"-"))</f>
        <v>Henrique Eulalio De Sousa</v>
      </c>
      <c r="S6" s="12" t="str">
        <f>IFERROR(VLOOKUP(K6,MAP!$C:$D,2,0),"-")</f>
        <v>Jonatas Gomes Tenorio</v>
      </c>
      <c r="T6" s="10">
        <f t="shared" ca="1" si="0"/>
        <v>697.60416666666424</v>
      </c>
      <c r="U6" s="10">
        <f t="shared" ca="1" si="1"/>
        <v>689.46250000000146</v>
      </c>
      <c r="V6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6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6" s="10" t="str">
        <f>IFERROR(VLOOKUP(N6,MAP!$H:$I,2,0),"-")</f>
        <v>IPG</v>
      </c>
      <c r="Y6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7" spans="1:25" x14ac:dyDescent="0.3">
      <c r="A7" s="10" t="str">
        <f>IF(BACKLOG_BASE[[#This Row],[Origem do caso]]="","",IF(BACKLOG_BASE[[#This Row],[Origem do caso]]&lt;&gt;"Telefone","WEB","Telefone"))</f>
        <v>Telefone</v>
      </c>
      <c r="B7" s="8" t="s">
        <v>57</v>
      </c>
      <c r="C7" s="8" t="s">
        <v>746</v>
      </c>
      <c r="D7" s="8" t="s">
        <v>755</v>
      </c>
      <c r="E7" s="8" t="s">
        <v>756</v>
      </c>
      <c r="F7" s="8" t="s">
        <v>757</v>
      </c>
      <c r="G7" s="8"/>
      <c r="H7" s="8" t="s">
        <v>3</v>
      </c>
      <c r="I7" s="8" t="s">
        <v>747</v>
      </c>
      <c r="J7" s="8" t="s">
        <v>653</v>
      </c>
      <c r="K7" s="8" t="s">
        <v>710</v>
      </c>
      <c r="L7" s="8" t="s">
        <v>722</v>
      </c>
      <c r="M7" s="8" t="s">
        <v>748</v>
      </c>
      <c r="N7" s="8" t="s">
        <v>662</v>
      </c>
      <c r="O7" s="8" t="s">
        <v>59</v>
      </c>
      <c r="P7" s="9">
        <v>42761.648611111108</v>
      </c>
      <c r="Q7" s="9">
        <v>42769.54583333333</v>
      </c>
      <c r="R7" s="12" t="str">
        <f>IF(A7="WEB","Integration_CallMe User",IFERROR(VLOOKUP(J7,MAP!$C:$D,2,0),"-"))</f>
        <v>Zaelly Suerfia Ferreira da Costa</v>
      </c>
      <c r="S7" s="12" t="str">
        <f>IFERROR(VLOOKUP(K7,MAP!$C:$D,2,0),"-")</f>
        <v>Jonatas Gomes Tenorio</v>
      </c>
      <c r="T7" s="10">
        <f t="shared" ca="1" si="0"/>
        <v>697.35138888889196</v>
      </c>
      <c r="U7" s="10">
        <f t="shared" ca="1" si="1"/>
        <v>689.45416666667006</v>
      </c>
      <c r="V7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7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7" s="10" t="str">
        <f>IFERROR(VLOOKUP(N7,MAP!$H:$I,2,0),"-")</f>
        <v>IPG</v>
      </c>
      <c r="Y7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8" spans="1:25" x14ac:dyDescent="0.3">
      <c r="A8" s="10" t="str">
        <f>IF(BACKLOG_BASE[[#This Row],[Origem do caso]]="","",IF(BACKLOG_BASE[[#This Row],[Origem do caso]]&lt;&gt;"Telefone","WEB","Telefone"))</f>
        <v>Telefone</v>
      </c>
      <c r="B8" s="8" t="s">
        <v>57</v>
      </c>
      <c r="C8" s="8" t="s">
        <v>772</v>
      </c>
      <c r="D8" s="8" t="s">
        <v>773</v>
      </c>
      <c r="E8" s="8" t="s">
        <v>854</v>
      </c>
      <c r="F8" s="8" t="s">
        <v>774</v>
      </c>
      <c r="G8" s="8" t="s">
        <v>775</v>
      </c>
      <c r="H8" s="8" t="s">
        <v>3</v>
      </c>
      <c r="I8" s="8" t="s">
        <v>776</v>
      </c>
      <c r="J8" s="8" t="s">
        <v>714</v>
      </c>
      <c r="K8" s="8" t="s">
        <v>710</v>
      </c>
      <c r="L8" s="8" t="s">
        <v>722</v>
      </c>
      <c r="M8" s="8" t="s">
        <v>777</v>
      </c>
      <c r="N8" s="8" t="s">
        <v>675</v>
      </c>
      <c r="O8" s="8" t="s">
        <v>59</v>
      </c>
      <c r="P8" s="9">
        <v>42762.425000000003</v>
      </c>
      <c r="Q8" s="9">
        <v>42769.565972222219</v>
      </c>
      <c r="R8" s="12" t="str">
        <f>IF(A8="WEB","Integration_CallMe User",IFERROR(VLOOKUP(J8,MAP!$C:$D,2,0),"-"))</f>
        <v>Denyse Souza Santos</v>
      </c>
      <c r="S8" s="12" t="str">
        <f>IFERROR(VLOOKUP(K8,MAP!$C:$D,2,0),"-")</f>
        <v>Jonatas Gomes Tenorio</v>
      </c>
      <c r="T8" s="10">
        <f t="shared" ca="1" si="0"/>
        <v>696.57499999999709</v>
      </c>
      <c r="U8" s="10">
        <f t="shared" ca="1" si="1"/>
        <v>689.43402777778101</v>
      </c>
      <c r="V8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8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8" s="10" t="str">
        <f>IFERROR(VLOOKUP(N8,MAP!$H:$I,2,0),"-")</f>
        <v>IPG</v>
      </c>
      <c r="Y8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9" spans="1:25" x14ac:dyDescent="0.3">
      <c r="A9" s="10" t="str">
        <f>IF(BACKLOG_BASE[[#This Row],[Origem do caso]]="","",IF(BACKLOG_BASE[[#This Row],[Origem do caso]]&lt;&gt;"Telefone","WEB","Telefone"))</f>
        <v>Telefone</v>
      </c>
      <c r="B9" s="8" t="s">
        <v>57</v>
      </c>
      <c r="C9" s="8" t="s">
        <v>765</v>
      </c>
      <c r="D9" s="8" t="s">
        <v>778</v>
      </c>
      <c r="E9" s="8" t="s">
        <v>779</v>
      </c>
      <c r="F9" s="8" t="s">
        <v>780</v>
      </c>
      <c r="G9" s="8"/>
      <c r="H9" s="8" t="s">
        <v>3</v>
      </c>
      <c r="I9" s="8" t="s">
        <v>766</v>
      </c>
      <c r="J9" s="8" t="s">
        <v>653</v>
      </c>
      <c r="K9" s="8" t="s">
        <v>710</v>
      </c>
      <c r="L9" s="8" t="s">
        <v>722</v>
      </c>
      <c r="M9" s="8" t="s">
        <v>711</v>
      </c>
      <c r="N9" s="8" t="s">
        <v>52</v>
      </c>
      <c r="O9" s="8" t="s">
        <v>59</v>
      </c>
      <c r="P9" s="9">
        <v>42762.452777777777</v>
      </c>
      <c r="Q9" s="9">
        <v>42769.584722222222</v>
      </c>
      <c r="R9" s="12" t="str">
        <f>IF(A9="WEB","Integration_CallMe User",IFERROR(VLOOKUP(J9,MAP!$C:$D,2,0),"-"))</f>
        <v>Zaelly Suerfia Ferreira da Costa</v>
      </c>
      <c r="S9" s="12" t="str">
        <f>IFERROR(VLOOKUP(K9,MAP!$C:$D,2,0),"-")</f>
        <v>Jonatas Gomes Tenorio</v>
      </c>
      <c r="T9" s="10">
        <f t="shared" ca="1" si="0"/>
        <v>696.54722222222335</v>
      </c>
      <c r="U9" s="10">
        <f t="shared" ca="1" si="1"/>
        <v>689.4152777777781</v>
      </c>
      <c r="V9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9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9" s="10" t="str">
        <f>IFERROR(VLOOKUP(N9,MAP!$H:$I,2,0),"-")</f>
        <v>IPG</v>
      </c>
      <c r="Y9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0" spans="1:25" x14ac:dyDescent="0.3">
      <c r="A10" s="10" t="str">
        <f>IF(BACKLOG_BASE[[#This Row],[Origem do caso]]="","",IF(BACKLOG_BASE[[#This Row],[Origem do caso]]&lt;&gt;"Telefone","WEB","Telefone"))</f>
        <v>Telefone</v>
      </c>
      <c r="B10" s="8" t="s">
        <v>57</v>
      </c>
      <c r="C10" s="8" t="s">
        <v>763</v>
      </c>
      <c r="D10" s="8" t="s">
        <v>781</v>
      </c>
      <c r="E10" s="8" t="s">
        <v>855</v>
      </c>
      <c r="F10" s="8" t="s">
        <v>782</v>
      </c>
      <c r="G10" s="8"/>
      <c r="H10" s="8" t="s">
        <v>3</v>
      </c>
      <c r="I10" s="8" t="s">
        <v>764</v>
      </c>
      <c r="J10" s="8" t="s">
        <v>724</v>
      </c>
      <c r="K10" s="8" t="s">
        <v>710</v>
      </c>
      <c r="L10" s="8" t="s">
        <v>722</v>
      </c>
      <c r="M10" s="8" t="s">
        <v>725</v>
      </c>
      <c r="N10" s="8" t="s">
        <v>52</v>
      </c>
      <c r="O10" s="8" t="s">
        <v>59</v>
      </c>
      <c r="P10" s="9">
        <v>42762.46875</v>
      </c>
      <c r="Q10" s="9">
        <v>42769.594444444447</v>
      </c>
      <c r="R10" s="12" t="str">
        <f>IF(A10="WEB","Integration_CallMe User",IFERROR(VLOOKUP(J10,MAP!$C:$D,2,0),"-"))</f>
        <v>Lais Silva Pereira</v>
      </c>
      <c r="S10" s="12" t="str">
        <f>IFERROR(VLOOKUP(K10,MAP!$C:$D,2,0),"-")</f>
        <v>Jonatas Gomes Tenorio</v>
      </c>
      <c r="T10" s="10">
        <f t="shared" ca="1" si="0"/>
        <v>696.53125</v>
      </c>
      <c r="U10" s="10">
        <f t="shared" ca="1" si="1"/>
        <v>689.40555555555329</v>
      </c>
      <c r="V10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0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0" s="10" t="str">
        <f>IFERROR(VLOOKUP(N10,MAP!$H:$I,2,0),"-")</f>
        <v>IPG</v>
      </c>
      <c r="Y10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1" spans="1:25" x14ac:dyDescent="0.3">
      <c r="A11" s="10" t="str">
        <f>IF(BACKLOG_BASE[[#This Row],[Origem do caso]]="","",IF(BACKLOG_BASE[[#This Row],[Origem do caso]]&lt;&gt;"Telefone","WEB","Telefone"))</f>
        <v>Telefone</v>
      </c>
      <c r="B11" s="8" t="s">
        <v>57</v>
      </c>
      <c r="C11" s="8" t="s">
        <v>758</v>
      </c>
      <c r="D11" s="8" t="s">
        <v>783</v>
      </c>
      <c r="E11" s="8" t="s">
        <v>784</v>
      </c>
      <c r="F11" s="8" t="s">
        <v>784</v>
      </c>
      <c r="G11" s="8"/>
      <c r="H11" s="8" t="s">
        <v>3</v>
      </c>
      <c r="I11" s="8" t="s">
        <v>759</v>
      </c>
      <c r="J11" s="8" t="s">
        <v>741</v>
      </c>
      <c r="K11" s="8" t="s">
        <v>710</v>
      </c>
      <c r="L11" s="8" t="s">
        <v>722</v>
      </c>
      <c r="M11" s="8" t="s">
        <v>760</v>
      </c>
      <c r="N11" s="8" t="s">
        <v>55</v>
      </c>
      <c r="O11" s="8" t="s">
        <v>59</v>
      </c>
      <c r="P11" s="9">
        <v>42762.522222222222</v>
      </c>
      <c r="Q11" s="9">
        <v>42769.597916666666</v>
      </c>
      <c r="R11" s="12" t="str">
        <f>IF(A11="WEB","Integration_CallMe User",IFERROR(VLOOKUP(J11,MAP!$C:$D,2,0),"-"))</f>
        <v>Henrique Eulalio De Sousa</v>
      </c>
      <c r="S11" s="12" t="str">
        <f>IFERROR(VLOOKUP(K11,MAP!$C:$D,2,0),"-")</f>
        <v>Jonatas Gomes Tenorio</v>
      </c>
      <c r="T11" s="10">
        <f t="shared" ca="1" si="0"/>
        <v>696.4777777777781</v>
      </c>
      <c r="U11" s="10">
        <f t="shared" ca="1" si="1"/>
        <v>689.4020833333343</v>
      </c>
      <c r="V11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1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1" s="10" t="str">
        <f>IFERROR(VLOOKUP(N11,MAP!$H:$I,2,0),"-")</f>
        <v>IPG</v>
      </c>
      <c r="Y11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2" spans="1:25" x14ac:dyDescent="0.3">
      <c r="A12" s="10" t="str">
        <f>IF(BACKLOG_BASE[[#This Row],[Origem do caso]]="","",IF(BACKLOG_BASE[[#This Row],[Origem do caso]]&lt;&gt;"Telefone","WEB","Telefone"))</f>
        <v>Telefone</v>
      </c>
      <c r="B12" s="8" t="s">
        <v>57</v>
      </c>
      <c r="C12" s="8" t="s">
        <v>789</v>
      </c>
      <c r="D12" s="8" t="s">
        <v>791</v>
      </c>
      <c r="E12" s="8" t="s">
        <v>856</v>
      </c>
      <c r="F12" s="8" t="s">
        <v>792</v>
      </c>
      <c r="G12" s="8" t="s">
        <v>793</v>
      </c>
      <c r="H12" s="8" t="s">
        <v>3</v>
      </c>
      <c r="I12" s="8" t="s">
        <v>747</v>
      </c>
      <c r="J12" s="8" t="s">
        <v>653</v>
      </c>
      <c r="K12" s="8" t="s">
        <v>710</v>
      </c>
      <c r="L12" s="8" t="s">
        <v>722</v>
      </c>
      <c r="M12" s="8" t="s">
        <v>790</v>
      </c>
      <c r="N12" s="8" t="s">
        <v>54</v>
      </c>
      <c r="O12" s="8" t="s">
        <v>59</v>
      </c>
      <c r="P12" s="9">
        <v>42765.414583333331</v>
      </c>
      <c r="Q12" s="9">
        <v>42769.674305555556</v>
      </c>
      <c r="R12" s="12" t="str">
        <f>IF(A12="WEB","Integration_CallMe User",IFERROR(VLOOKUP(J12,MAP!$C:$D,2,0),"-"))</f>
        <v>Zaelly Suerfia Ferreira da Costa</v>
      </c>
      <c r="S12" s="12" t="str">
        <f>IFERROR(VLOOKUP(K12,MAP!$C:$D,2,0),"-")</f>
        <v>Jonatas Gomes Tenorio</v>
      </c>
      <c r="T12" s="10">
        <f t="shared" ca="1" si="0"/>
        <v>693.58541666666861</v>
      </c>
      <c r="U12" s="10">
        <f t="shared" ca="1" si="1"/>
        <v>689.3256944444438</v>
      </c>
      <c r="V12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2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2" s="10" t="str">
        <f>IFERROR(VLOOKUP(N12,MAP!$H:$I,2,0),"-")</f>
        <v>IPG</v>
      </c>
      <c r="Y12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3" spans="1:25" x14ac:dyDescent="0.3">
      <c r="A13" s="10" t="str">
        <f>IF(BACKLOG_BASE[[#This Row],[Origem do caso]]="","",IF(BACKLOG_BASE[[#This Row],[Origem do caso]]&lt;&gt;"Telefone","WEB","Telefone"))</f>
        <v>Telefone</v>
      </c>
      <c r="B13" s="8" t="s">
        <v>57</v>
      </c>
      <c r="C13" s="8" t="s">
        <v>786</v>
      </c>
      <c r="D13" s="8" t="s">
        <v>798</v>
      </c>
      <c r="E13" s="8" t="s">
        <v>857</v>
      </c>
      <c r="F13" s="8" t="s">
        <v>794</v>
      </c>
      <c r="G13" s="8"/>
      <c r="H13" s="8" t="s">
        <v>3</v>
      </c>
      <c r="I13" s="8" t="s">
        <v>787</v>
      </c>
      <c r="J13" s="8" t="s">
        <v>712</v>
      </c>
      <c r="K13" s="8" t="s">
        <v>710</v>
      </c>
      <c r="L13" s="8" t="s">
        <v>722</v>
      </c>
      <c r="M13" s="8" t="s">
        <v>788</v>
      </c>
      <c r="N13" s="8" t="s">
        <v>55</v>
      </c>
      <c r="O13" s="8" t="s">
        <v>58</v>
      </c>
      <c r="P13" s="9">
        <v>42765.532638888886</v>
      </c>
      <c r="Q13" s="9">
        <v>42769.681250000001</v>
      </c>
      <c r="R13" s="12" t="str">
        <f>IF(A13="WEB","Integration_CallMe User",IFERROR(VLOOKUP(J13,MAP!$C:$D,2,0),"-"))</f>
        <v>Vinicius Marques Ferreira Silva</v>
      </c>
      <c r="S13" s="12" t="str">
        <f>IFERROR(VLOOKUP(K13,MAP!$C:$D,2,0),"-")</f>
        <v>Jonatas Gomes Tenorio</v>
      </c>
      <c r="T13" s="10">
        <f t="shared" ca="1" si="0"/>
        <v>693.46736111111386</v>
      </c>
      <c r="U13" s="10">
        <f t="shared" ca="1" si="1"/>
        <v>689.31874999999854</v>
      </c>
      <c r="V13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3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3" s="10" t="str">
        <f>IFERROR(VLOOKUP(N13,MAP!$H:$I,2,0),"-")</f>
        <v>IPG</v>
      </c>
      <c r="Y13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14" spans="1:25" x14ac:dyDescent="0.3">
      <c r="A14" s="10" t="str">
        <f>IF(BACKLOG_BASE[[#This Row],[Origem do caso]]="","",IF(BACKLOG_BASE[[#This Row],[Origem do caso]]&lt;&gt;"Telefone","WEB","Telefone"))</f>
        <v>Telefone</v>
      </c>
      <c r="B14" s="8" t="s">
        <v>57</v>
      </c>
      <c r="C14" s="8" t="s">
        <v>799</v>
      </c>
      <c r="D14" s="8" t="s">
        <v>800</v>
      </c>
      <c r="E14" s="8" t="s">
        <v>801</v>
      </c>
      <c r="F14" s="8" t="s">
        <v>801</v>
      </c>
      <c r="G14" s="8"/>
      <c r="H14" s="8" t="s">
        <v>2</v>
      </c>
      <c r="I14" s="8" t="s">
        <v>802</v>
      </c>
      <c r="J14" s="8" t="s">
        <v>721</v>
      </c>
      <c r="K14" s="8" t="s">
        <v>721</v>
      </c>
      <c r="L14" s="8" t="s">
        <v>838</v>
      </c>
      <c r="M14" s="8" t="s">
        <v>785</v>
      </c>
      <c r="N14" s="8" t="s">
        <v>55</v>
      </c>
      <c r="O14" s="8" t="s">
        <v>59</v>
      </c>
      <c r="P14" s="9">
        <v>42766.359722222223</v>
      </c>
      <c r="Q14" s="9">
        <v>42768.587500000001</v>
      </c>
      <c r="R14" s="12" t="str">
        <f>IF(A14="WEB","Integration_CallMe User",IFERROR(VLOOKUP(J14,MAP!$C:$D,2,0),"-"))</f>
        <v>Jesse Prates Martins</v>
      </c>
      <c r="S14" s="12" t="str">
        <f>IFERROR(VLOOKUP(K14,MAP!$C:$D,2,0),"-")</f>
        <v>Jesse Prates Martins</v>
      </c>
      <c r="T14" s="10">
        <f t="shared" ca="1" si="0"/>
        <v>692.64027777777665</v>
      </c>
      <c r="U14" s="10">
        <f t="shared" ca="1" si="1"/>
        <v>690.41249999999854</v>
      </c>
      <c r="V14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4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4" s="10" t="str">
        <f>IFERROR(VLOOKUP(N14,MAP!$H:$I,2,0),"-")</f>
        <v>IPG</v>
      </c>
      <c r="Y14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5" spans="1:25" x14ac:dyDescent="0.3">
      <c r="A15" s="10" t="str">
        <f>IF(BACKLOG_BASE[[#This Row],[Origem do caso]]="","",IF(BACKLOG_BASE[[#This Row],[Origem do caso]]&lt;&gt;"Telefone","WEB","Telefone"))</f>
        <v>Telefone</v>
      </c>
      <c r="B15" s="8" t="s">
        <v>57</v>
      </c>
      <c r="C15" s="8" t="s">
        <v>803</v>
      </c>
      <c r="D15" s="8" t="s">
        <v>804</v>
      </c>
      <c r="E15" s="8" t="s">
        <v>805</v>
      </c>
      <c r="F15" s="8" t="s">
        <v>806</v>
      </c>
      <c r="G15" s="8"/>
      <c r="H15" s="8" t="s">
        <v>4</v>
      </c>
      <c r="I15" s="8" t="s">
        <v>807</v>
      </c>
      <c r="J15" s="8" t="s">
        <v>712</v>
      </c>
      <c r="K15" s="8" t="s">
        <v>858</v>
      </c>
      <c r="L15" s="8" t="s">
        <v>713</v>
      </c>
      <c r="M15" s="8" t="s">
        <v>738</v>
      </c>
      <c r="N15" s="8" t="s">
        <v>52</v>
      </c>
      <c r="O15" s="8" t="s">
        <v>58</v>
      </c>
      <c r="P15" s="9">
        <v>42766.511805555558</v>
      </c>
      <c r="Q15" s="9">
        <v>42768.609027777777</v>
      </c>
      <c r="R15" s="12" t="str">
        <f>IF(A15="WEB","Integration_CallMe User",IFERROR(VLOOKUP(J15,MAP!$C:$D,2,0),"-"))</f>
        <v>Vinicius Marques Ferreira Silva</v>
      </c>
      <c r="S15" s="12" t="str">
        <f>IFERROR(VLOOKUP(K15,MAP!$C:$D,2,0),"-")</f>
        <v>Thiago Souza Herraez</v>
      </c>
      <c r="T15" s="10">
        <f t="shared" ca="1" si="0"/>
        <v>692.48819444444234</v>
      </c>
      <c r="U15" s="10">
        <f t="shared" ca="1" si="1"/>
        <v>690.39097222222335</v>
      </c>
      <c r="V15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5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5" s="10" t="str">
        <f>IFERROR(VLOOKUP(N15,MAP!$H:$I,2,0),"-")</f>
        <v>IPG</v>
      </c>
      <c r="Y15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6" spans="1:25" x14ac:dyDescent="0.3">
      <c r="A16" s="10" t="str">
        <f>IF(BACKLOG_BASE[[#This Row],[Origem do caso]]="","",IF(BACKLOG_BASE[[#This Row],[Origem do caso]]&lt;&gt;"Telefone","WEB","Telefone"))</f>
        <v>Telefone</v>
      </c>
      <c r="B16" s="8" t="s">
        <v>57</v>
      </c>
      <c r="C16" s="8" t="s">
        <v>810</v>
      </c>
      <c r="D16" s="8" t="s">
        <v>811</v>
      </c>
      <c r="E16" s="8" t="s">
        <v>812</v>
      </c>
      <c r="F16" s="8" t="s">
        <v>813</v>
      </c>
      <c r="G16" s="8"/>
      <c r="H16" s="8" t="s">
        <v>4</v>
      </c>
      <c r="I16" s="8" t="s">
        <v>814</v>
      </c>
      <c r="J16" s="8" t="s">
        <v>653</v>
      </c>
      <c r="K16" s="8" t="s">
        <v>710</v>
      </c>
      <c r="L16" s="8" t="s">
        <v>722</v>
      </c>
      <c r="M16" s="8" t="s">
        <v>815</v>
      </c>
      <c r="N16" s="8" t="s">
        <v>56</v>
      </c>
      <c r="O16" s="8" t="s">
        <v>58</v>
      </c>
      <c r="P16" s="9">
        <v>42766.601388888892</v>
      </c>
      <c r="Q16" s="9">
        <v>42768.594444444447</v>
      </c>
      <c r="R16" s="12" t="str">
        <f>IF(A16="WEB","Integration_CallMe User",IFERROR(VLOOKUP(J16,MAP!$C:$D,2,0),"-"))</f>
        <v>Zaelly Suerfia Ferreira da Costa</v>
      </c>
      <c r="S16" s="12" t="str">
        <f>IFERROR(VLOOKUP(K16,MAP!$C:$D,2,0),"-")</f>
        <v>Jonatas Gomes Tenorio</v>
      </c>
      <c r="T16" s="10">
        <f t="shared" ca="1" si="0"/>
        <v>692.39861111110804</v>
      </c>
      <c r="U16" s="10">
        <f t="shared" ca="1" si="1"/>
        <v>690.40555555555329</v>
      </c>
      <c r="V16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6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6" s="10" t="str">
        <f>IFERROR(VLOOKUP(N16,MAP!$H:$I,2,0),"-")</f>
        <v>PSG</v>
      </c>
      <c r="Y16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7" spans="1:25" x14ac:dyDescent="0.3">
      <c r="A17" s="10" t="str">
        <f>IF(BACKLOG_BASE[[#This Row],[Origem do caso]]="","",IF(BACKLOG_BASE[[#This Row],[Origem do caso]]&lt;&gt;"Telefone","WEB","Telefone"))</f>
        <v>Telefone</v>
      </c>
      <c r="B17" s="8" t="s">
        <v>57</v>
      </c>
      <c r="C17" s="8" t="s">
        <v>816</v>
      </c>
      <c r="D17" s="8" t="s">
        <v>817</v>
      </c>
      <c r="E17" s="8" t="s">
        <v>818</v>
      </c>
      <c r="F17" s="8" t="s">
        <v>819</v>
      </c>
      <c r="G17" s="8"/>
      <c r="H17" s="8" t="s">
        <v>4</v>
      </c>
      <c r="I17" s="8" t="s">
        <v>795</v>
      </c>
      <c r="J17" s="8" t="s">
        <v>715</v>
      </c>
      <c r="K17" s="8" t="s">
        <v>710</v>
      </c>
      <c r="L17" s="8" t="s">
        <v>722</v>
      </c>
      <c r="M17" s="8" t="s">
        <v>820</v>
      </c>
      <c r="N17" s="8" t="s">
        <v>693</v>
      </c>
      <c r="O17" s="8" t="s">
        <v>58</v>
      </c>
      <c r="P17" s="9">
        <v>42766.659722222219</v>
      </c>
      <c r="Q17" s="9">
        <v>42768.606249999997</v>
      </c>
      <c r="R17" s="12" t="str">
        <f>IF(A17="WEB","Integration_CallMe User",IFERROR(VLOOKUP(J17,MAP!$C:$D,2,0),"-"))</f>
        <v>Luiz Fernando dos Santos Ferreira</v>
      </c>
      <c r="S17" s="12" t="str">
        <f>IFERROR(VLOOKUP(K17,MAP!$C:$D,2,0),"-")</f>
        <v>Jonatas Gomes Tenorio</v>
      </c>
      <c r="T17" s="10">
        <f t="shared" ca="1" si="0"/>
        <v>692.34027777778101</v>
      </c>
      <c r="U17" s="10">
        <f t="shared" ca="1" si="1"/>
        <v>690.39375000000291</v>
      </c>
      <c r="V17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7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7" s="10" t="str">
        <f>IFERROR(VLOOKUP(N17,MAP!$H:$I,2,0),"-")</f>
        <v>PSG</v>
      </c>
      <c r="Y17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8" spans="1:25" x14ac:dyDescent="0.3">
      <c r="A18" s="10" t="str">
        <f>IF(BACKLOG_BASE[[#This Row],[Origem do caso]]="","",IF(BACKLOG_BASE[[#This Row],[Origem do caso]]&lt;&gt;"Telefone","WEB","Telefone"))</f>
        <v>Telefone</v>
      </c>
      <c r="B18" s="8" t="s">
        <v>57</v>
      </c>
      <c r="C18" s="8" t="s">
        <v>826</v>
      </c>
      <c r="D18" s="8" t="s">
        <v>827</v>
      </c>
      <c r="E18" s="8" t="s">
        <v>828</v>
      </c>
      <c r="F18" s="8" t="s">
        <v>829</v>
      </c>
      <c r="G18" s="8"/>
      <c r="H18" s="8" t="s">
        <v>1</v>
      </c>
      <c r="I18" s="8" t="s">
        <v>830</v>
      </c>
      <c r="J18" s="8" t="s">
        <v>712</v>
      </c>
      <c r="K18" s="8" t="s">
        <v>941</v>
      </c>
      <c r="L18" s="8" t="s">
        <v>942</v>
      </c>
      <c r="M18" s="8" t="s">
        <v>831</v>
      </c>
      <c r="N18" s="8" t="s">
        <v>54</v>
      </c>
      <c r="O18" s="8" t="s">
        <v>59</v>
      </c>
      <c r="P18" s="9">
        <v>42767.45208333333</v>
      </c>
      <c r="Q18" s="9">
        <v>42769.694444444445</v>
      </c>
      <c r="R18" s="12" t="str">
        <f>IF(A18="WEB","Integration_CallMe User",IFERROR(VLOOKUP(J18,MAP!$C:$D,2,0),"-"))</f>
        <v>Vinicius Marques Ferreira Silva</v>
      </c>
      <c r="S18" s="12" t="str">
        <f>IFERROR(VLOOKUP(K18,MAP!$C:$D,2,0),"-")</f>
        <v>Renato Miranda Dos Santos</v>
      </c>
      <c r="T18" s="10">
        <f t="shared" ca="1" si="0"/>
        <v>691.54791666667006</v>
      </c>
      <c r="U18" s="10">
        <f t="shared" ca="1" si="1"/>
        <v>689.30555555555475</v>
      </c>
      <c r="V18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8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8" s="10" t="str">
        <f>IFERROR(VLOOKUP(N18,MAP!$H:$I,2,0),"-")</f>
        <v>IPG</v>
      </c>
      <c r="Y18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19" spans="1:25" x14ac:dyDescent="0.3">
      <c r="A19" s="10" t="str">
        <f>IF(BACKLOG_BASE[[#This Row],[Origem do caso]]="","",IF(BACKLOG_BASE[[#This Row],[Origem do caso]]&lt;&gt;"Telefone","WEB","Telefone"))</f>
        <v>Telefone</v>
      </c>
      <c r="B19" s="8" t="s">
        <v>57</v>
      </c>
      <c r="C19" s="8" t="s">
        <v>823</v>
      </c>
      <c r="D19" s="8" t="s">
        <v>832</v>
      </c>
      <c r="E19" s="8" t="s">
        <v>859</v>
      </c>
      <c r="F19" s="8" t="s">
        <v>833</v>
      </c>
      <c r="G19" s="8"/>
      <c r="H19" s="8" t="s">
        <v>3</v>
      </c>
      <c r="I19" s="8" t="s">
        <v>824</v>
      </c>
      <c r="J19" s="8" t="s">
        <v>653</v>
      </c>
      <c r="K19" s="8" t="s">
        <v>710</v>
      </c>
      <c r="L19" s="8" t="s">
        <v>722</v>
      </c>
      <c r="M19" s="8" t="s">
        <v>825</v>
      </c>
      <c r="N19" s="8" t="s">
        <v>56</v>
      </c>
      <c r="O19" s="8" t="s">
        <v>59</v>
      </c>
      <c r="P19" s="9">
        <v>42767.456944444442</v>
      </c>
      <c r="Q19" s="9">
        <v>42769.68472222222</v>
      </c>
      <c r="R19" s="12" t="str">
        <f>IF(A19="WEB","Integration_CallMe User",IFERROR(VLOOKUP(J19,MAP!$C:$D,2,0),"-"))</f>
        <v>Zaelly Suerfia Ferreira da Costa</v>
      </c>
      <c r="S19" s="12" t="str">
        <f>IFERROR(VLOOKUP(K19,MAP!$C:$D,2,0),"-")</f>
        <v>Jonatas Gomes Tenorio</v>
      </c>
      <c r="T19" s="10">
        <f t="shared" ca="1" si="0"/>
        <v>691.54305555555766</v>
      </c>
      <c r="U19" s="10">
        <f t="shared" ca="1" si="1"/>
        <v>689.31527777777956</v>
      </c>
      <c r="V19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19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19" s="10" t="str">
        <f>IFERROR(VLOOKUP(N19,MAP!$H:$I,2,0),"-")</f>
        <v>PSG</v>
      </c>
      <c r="Y19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0" spans="1:25" x14ac:dyDescent="0.3">
      <c r="A20" s="10" t="str">
        <f>IF(BACKLOG_BASE[[#This Row],[Origem do caso]]="","",IF(BACKLOG_BASE[[#This Row],[Origem do caso]]&lt;&gt;"Telefone","WEB","Telefone"))</f>
        <v>Telefone</v>
      </c>
      <c r="B20" s="8" t="s">
        <v>57</v>
      </c>
      <c r="C20" s="8" t="s">
        <v>834</v>
      </c>
      <c r="D20" s="8" t="s">
        <v>835</v>
      </c>
      <c r="E20" s="8" t="s">
        <v>943</v>
      </c>
      <c r="F20" s="8" t="s">
        <v>836</v>
      </c>
      <c r="G20" s="8"/>
      <c r="H20" s="8" t="s">
        <v>4</v>
      </c>
      <c r="I20" s="8" t="s">
        <v>944</v>
      </c>
      <c r="J20" s="8" t="s">
        <v>712</v>
      </c>
      <c r="K20" s="8" t="s">
        <v>809</v>
      </c>
      <c r="L20" s="8" t="s">
        <v>821</v>
      </c>
      <c r="M20" s="8" t="s">
        <v>711</v>
      </c>
      <c r="N20" s="8" t="s">
        <v>52</v>
      </c>
      <c r="O20" s="8" t="s">
        <v>59</v>
      </c>
      <c r="P20" s="9">
        <v>42767.470138888886</v>
      </c>
      <c r="Q20" s="9">
        <v>42769.673611111109</v>
      </c>
      <c r="R20" s="12" t="str">
        <f>IF(A20="WEB","Integration_CallMe User",IFERROR(VLOOKUP(J20,MAP!$C:$D,2,0),"-"))</f>
        <v>Vinicius Marques Ferreira Silva</v>
      </c>
      <c r="S20" s="12" t="str">
        <f>IFERROR(VLOOKUP(K20,MAP!$C:$D,2,0),"-")</f>
        <v>Ivanildo Cavalcante De Souza Junior</v>
      </c>
      <c r="T20" s="10">
        <f t="shared" ca="1" si="0"/>
        <v>691.52986111111386</v>
      </c>
      <c r="U20" s="10">
        <f t="shared" ca="1" si="1"/>
        <v>689.32638888889051</v>
      </c>
      <c r="V20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0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0" s="10" t="str">
        <f>IFERROR(VLOOKUP(N20,MAP!$H:$I,2,0),"-")</f>
        <v>IPG</v>
      </c>
      <c r="Y20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1" spans="1:25" x14ac:dyDescent="0.3">
      <c r="A21" s="10" t="str">
        <f>IF(BACKLOG_BASE[[#This Row],[Origem do caso]]="","",IF(BACKLOG_BASE[[#This Row],[Origem do caso]]&lt;&gt;"Telefone","WEB","Telefone"))</f>
        <v>Telefone</v>
      </c>
      <c r="B21" s="8" t="s">
        <v>57</v>
      </c>
      <c r="C21" s="8" t="s">
        <v>860</v>
      </c>
      <c r="D21" s="8" t="s">
        <v>861</v>
      </c>
      <c r="E21" s="8" t="s">
        <v>862</v>
      </c>
      <c r="F21" s="8" t="s">
        <v>863</v>
      </c>
      <c r="G21" s="8"/>
      <c r="H21" s="8" t="s">
        <v>4</v>
      </c>
      <c r="I21" s="8" t="s">
        <v>864</v>
      </c>
      <c r="J21" s="8" t="s">
        <v>822</v>
      </c>
      <c r="K21" s="8" t="s">
        <v>822</v>
      </c>
      <c r="L21" s="8" t="s">
        <v>713</v>
      </c>
      <c r="M21" s="8" t="s">
        <v>742</v>
      </c>
      <c r="N21" s="8" t="s">
        <v>52</v>
      </c>
      <c r="O21" s="8" t="s">
        <v>58</v>
      </c>
      <c r="P21" s="9">
        <v>42768.415972222225</v>
      </c>
      <c r="Q21" s="9">
        <v>42768.425694444442</v>
      </c>
      <c r="R21" s="12" t="str">
        <f>IF(A21="WEB","Integration_CallMe User",IFERROR(VLOOKUP(J21,MAP!$C:$D,2,0),"-"))</f>
        <v>Wendrey Schumaher Lara</v>
      </c>
      <c r="S21" s="12" t="str">
        <f>IFERROR(VLOOKUP(K21,MAP!$C:$D,2,0),"-")</f>
        <v>Wendrey Schumaher Lara</v>
      </c>
      <c r="T21" s="10">
        <f t="shared" ca="1" si="0"/>
        <v>690.58402777777519</v>
      </c>
      <c r="U21" s="10">
        <f t="shared" ca="1" si="1"/>
        <v>690.57430555555766</v>
      </c>
      <c r="V21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1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1" s="10" t="str">
        <f>IFERROR(VLOOKUP(N21,MAP!$H:$I,2,0),"-")</f>
        <v>IPG</v>
      </c>
      <c r="Y21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2" spans="1:25" x14ac:dyDescent="0.3">
      <c r="A22" s="10" t="str">
        <f>IF(BACKLOG_BASE[[#This Row],[Origem do caso]]="","",IF(BACKLOG_BASE[[#This Row],[Origem do caso]]&lt;&gt;"Telefone","WEB","Telefone"))</f>
        <v>Telefone</v>
      </c>
      <c r="B22" s="8" t="s">
        <v>57</v>
      </c>
      <c r="C22" s="8" t="s">
        <v>865</v>
      </c>
      <c r="D22" s="8" t="s">
        <v>866</v>
      </c>
      <c r="E22" s="8" t="s">
        <v>945</v>
      </c>
      <c r="F22" s="8" t="s">
        <v>867</v>
      </c>
      <c r="G22" s="8"/>
      <c r="H22" s="8" t="s">
        <v>2</v>
      </c>
      <c r="I22" s="8" t="s">
        <v>868</v>
      </c>
      <c r="J22" s="8" t="s">
        <v>822</v>
      </c>
      <c r="K22" s="8" t="s">
        <v>710</v>
      </c>
      <c r="L22" s="8" t="s">
        <v>722</v>
      </c>
      <c r="M22" s="8" t="s">
        <v>725</v>
      </c>
      <c r="N22" s="8" t="s">
        <v>52</v>
      </c>
      <c r="O22" s="8" t="s">
        <v>59</v>
      </c>
      <c r="P22" s="9">
        <v>42768.45208333333</v>
      </c>
      <c r="Q22" s="9">
        <v>42769.672222222223</v>
      </c>
      <c r="R22" s="12" t="str">
        <f>IF(A22="WEB","Integration_CallMe User",IFERROR(VLOOKUP(J22,MAP!$C:$D,2,0),"-"))</f>
        <v>Wendrey Schumaher Lara</v>
      </c>
      <c r="S22" s="12" t="str">
        <f>IFERROR(VLOOKUP(K22,MAP!$C:$D,2,0),"-")</f>
        <v>Jonatas Gomes Tenorio</v>
      </c>
      <c r="T22" s="10">
        <f t="shared" ca="1" si="0"/>
        <v>690.54791666667006</v>
      </c>
      <c r="U22" s="10">
        <f t="shared" ca="1" si="1"/>
        <v>689.32777777777665</v>
      </c>
      <c r="V22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2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2" s="10" t="str">
        <f>IFERROR(VLOOKUP(N22,MAP!$H:$I,2,0),"-")</f>
        <v>IPG</v>
      </c>
      <c r="Y22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3" spans="1:25" x14ac:dyDescent="0.3">
      <c r="A23" s="10" t="str">
        <f>IF(BACKLOG_BASE[[#This Row],[Origem do caso]]="","",IF(BACKLOG_BASE[[#This Row],[Origem do caso]]&lt;&gt;"Telefone","WEB","Telefone"))</f>
        <v>Telefone</v>
      </c>
      <c r="B23" s="8" t="s">
        <v>57</v>
      </c>
      <c r="C23" s="8" t="s">
        <v>869</v>
      </c>
      <c r="D23" s="8" t="s">
        <v>870</v>
      </c>
      <c r="E23" s="8" t="s">
        <v>871</v>
      </c>
      <c r="F23" s="8" t="s">
        <v>872</v>
      </c>
      <c r="G23" s="8"/>
      <c r="H23" s="8" t="s">
        <v>2</v>
      </c>
      <c r="I23" s="8" t="s">
        <v>873</v>
      </c>
      <c r="J23" s="8" t="s">
        <v>723</v>
      </c>
      <c r="K23" s="8" t="s">
        <v>723</v>
      </c>
      <c r="L23" s="8" t="s">
        <v>838</v>
      </c>
      <c r="M23" s="8" t="s">
        <v>737</v>
      </c>
      <c r="N23" s="8" t="s">
        <v>55</v>
      </c>
      <c r="O23" s="8" t="s">
        <v>59</v>
      </c>
      <c r="P23" s="9">
        <v>42768.46875</v>
      </c>
      <c r="Q23" s="9">
        <v>42768.484027777777</v>
      </c>
      <c r="R23" s="12" t="str">
        <f>IF(A23="WEB","Integration_CallMe User",IFERROR(VLOOKUP(J23,MAP!$C:$D,2,0),"-"))</f>
        <v>Edilson Nunes De Souza</v>
      </c>
      <c r="S23" s="12" t="str">
        <f>IFERROR(VLOOKUP(K23,MAP!$C:$D,2,0),"-")</f>
        <v>Edilson Nunes De Souza</v>
      </c>
      <c r="T23" s="10">
        <f t="shared" ca="1" si="0"/>
        <v>690.53125</v>
      </c>
      <c r="U23" s="10">
        <f t="shared" ca="1" si="1"/>
        <v>690.51597222222335</v>
      </c>
      <c r="V23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3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3" s="10" t="str">
        <f>IFERROR(VLOOKUP(N23,MAP!$H:$I,2,0),"-")</f>
        <v>IPG</v>
      </c>
      <c r="Y23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4" spans="1:25" x14ac:dyDescent="0.3">
      <c r="A24" s="10" t="str">
        <f>IF(BACKLOG_BASE[[#This Row],[Origem do caso]]="","",IF(BACKLOG_BASE[[#This Row],[Origem do caso]]&lt;&gt;"Telefone","WEB","Telefone"))</f>
        <v>Telefone</v>
      </c>
      <c r="B24" s="8" t="s">
        <v>57</v>
      </c>
      <c r="C24" s="8" t="s">
        <v>874</v>
      </c>
      <c r="D24" s="8" t="s">
        <v>875</v>
      </c>
      <c r="E24" s="8" t="s">
        <v>876</v>
      </c>
      <c r="F24" s="8" t="s">
        <v>876</v>
      </c>
      <c r="G24" s="8"/>
      <c r="H24" s="8" t="s">
        <v>2</v>
      </c>
      <c r="I24" s="8" t="s">
        <v>877</v>
      </c>
      <c r="J24" s="8" t="s">
        <v>714</v>
      </c>
      <c r="K24" s="8" t="s">
        <v>809</v>
      </c>
      <c r="L24" s="8" t="s">
        <v>838</v>
      </c>
      <c r="M24" s="8" t="s">
        <v>760</v>
      </c>
      <c r="N24" s="8" t="s">
        <v>55</v>
      </c>
      <c r="O24" s="8" t="s">
        <v>59</v>
      </c>
      <c r="P24" s="9">
        <v>42768.479861111111</v>
      </c>
      <c r="Q24" s="9">
        <v>42769.398611111108</v>
      </c>
      <c r="R24" s="12" t="str">
        <f>IF(A24="WEB","Integration_CallMe User",IFERROR(VLOOKUP(J24,MAP!$C:$D,2,0),"-"))</f>
        <v>Denyse Souza Santos</v>
      </c>
      <c r="S24" s="12" t="str">
        <f>IFERROR(VLOOKUP(K24,MAP!$C:$D,2,0),"-")</f>
        <v>Ivanildo Cavalcante De Souza Junior</v>
      </c>
      <c r="T24" s="10">
        <f t="shared" ca="1" si="0"/>
        <v>690.52013888888905</v>
      </c>
      <c r="U24" s="10">
        <f t="shared" ca="1" si="1"/>
        <v>689.60138888889196</v>
      </c>
      <c r="V24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4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4" s="10" t="str">
        <f>IFERROR(VLOOKUP(N24,MAP!$H:$I,2,0),"-")</f>
        <v>IPG</v>
      </c>
      <c r="Y24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5" spans="1:25" x14ac:dyDescent="0.3">
      <c r="A25" s="10" t="str">
        <f>IF(BACKLOG_BASE[[#This Row],[Origem do caso]]="","",IF(BACKLOG_BASE[[#This Row],[Origem do caso]]&lt;&gt;"Telefone","WEB","Telefone"))</f>
        <v>Telefone</v>
      </c>
      <c r="B25" s="8" t="s">
        <v>57</v>
      </c>
      <c r="C25" s="8" t="s">
        <v>878</v>
      </c>
      <c r="D25" s="8" t="s">
        <v>879</v>
      </c>
      <c r="E25" s="8" t="s">
        <v>880</v>
      </c>
      <c r="F25" s="8" t="s">
        <v>880</v>
      </c>
      <c r="G25" s="8"/>
      <c r="H25" s="8" t="s">
        <v>2</v>
      </c>
      <c r="I25" s="8" t="s">
        <v>881</v>
      </c>
      <c r="J25" s="8" t="s">
        <v>721</v>
      </c>
      <c r="K25" s="8" t="s">
        <v>721</v>
      </c>
      <c r="L25" s="8" t="s">
        <v>838</v>
      </c>
      <c r="M25" s="8" t="s">
        <v>761</v>
      </c>
      <c r="N25" s="8" t="s">
        <v>55</v>
      </c>
      <c r="O25" s="8" t="s">
        <v>59</v>
      </c>
      <c r="P25" s="9">
        <v>42768.480555555558</v>
      </c>
      <c r="Q25" s="9">
        <v>42768.497916666667</v>
      </c>
      <c r="R25" s="12" t="str">
        <f>IF(A25="WEB","Integration_CallMe User",IFERROR(VLOOKUP(J25,MAP!$C:$D,2,0),"-"))</f>
        <v>Jesse Prates Martins</v>
      </c>
      <c r="S25" s="12" t="str">
        <f>IFERROR(VLOOKUP(K25,MAP!$C:$D,2,0),"-")</f>
        <v>Jesse Prates Martins</v>
      </c>
      <c r="T25" s="10">
        <f t="shared" ca="1" si="0"/>
        <v>690.51944444444234</v>
      </c>
      <c r="U25" s="10">
        <f t="shared" ca="1" si="1"/>
        <v>690.50208333333285</v>
      </c>
      <c r="V25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5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5" s="10" t="str">
        <f>IFERROR(VLOOKUP(N25,MAP!$H:$I,2,0),"-")</f>
        <v>IPG</v>
      </c>
      <c r="Y25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6" spans="1:25" x14ac:dyDescent="0.3">
      <c r="A26" s="10" t="str">
        <f>IF(BACKLOG_BASE[[#This Row],[Origem do caso]]="","",IF(BACKLOG_BASE[[#This Row],[Origem do caso]]&lt;&gt;"Telefone","WEB","Telefone"))</f>
        <v>Telefone</v>
      </c>
      <c r="B26" s="8" t="s">
        <v>57</v>
      </c>
      <c r="C26" s="8" t="s">
        <v>882</v>
      </c>
      <c r="D26" s="8" t="s">
        <v>883</v>
      </c>
      <c r="E26" s="8" t="s">
        <v>884</v>
      </c>
      <c r="F26" s="8" t="s">
        <v>885</v>
      </c>
      <c r="G26" s="8"/>
      <c r="H26" s="8" t="s">
        <v>2</v>
      </c>
      <c r="I26" s="8" t="s">
        <v>886</v>
      </c>
      <c r="J26" s="8" t="s">
        <v>822</v>
      </c>
      <c r="K26" s="8" t="s">
        <v>822</v>
      </c>
      <c r="L26" s="8" t="s">
        <v>838</v>
      </c>
      <c r="M26" s="8" t="s">
        <v>790</v>
      </c>
      <c r="N26" s="8" t="s">
        <v>54</v>
      </c>
      <c r="O26" s="8" t="s">
        <v>59</v>
      </c>
      <c r="P26" s="9">
        <v>42768.482638888891</v>
      </c>
      <c r="Q26" s="9">
        <v>42768.501388888886</v>
      </c>
      <c r="R26" s="12" t="str">
        <f>IF(A26="WEB","Integration_CallMe User",IFERROR(VLOOKUP(J26,MAP!$C:$D,2,0),"-"))</f>
        <v>Wendrey Schumaher Lara</v>
      </c>
      <c r="S26" s="12" t="str">
        <f>IFERROR(VLOOKUP(K26,MAP!$C:$D,2,0),"-")</f>
        <v>Wendrey Schumaher Lara</v>
      </c>
      <c r="T26" s="10">
        <f t="shared" ref="T26:T43" ca="1" si="2">IF(P26="", "-", TODAY() -P26)</f>
        <v>690.51736111110949</v>
      </c>
      <c r="U26" s="10">
        <f t="shared" ref="U26:U43" ca="1" si="3">IF(Q26="", "-", TODAY() -Q26)</f>
        <v>690.49861111111386</v>
      </c>
      <c r="V26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6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6" s="10" t="str">
        <f>IFERROR(VLOOKUP(N26,MAP!$H:$I,2,0),"-")</f>
        <v>IPG</v>
      </c>
      <c r="Y26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7" spans="1:25" x14ac:dyDescent="0.3">
      <c r="A27" s="10" t="str">
        <f>IF(BACKLOG_BASE[[#This Row],[Origem do caso]]="","",IF(BACKLOG_BASE[[#This Row],[Origem do caso]]&lt;&gt;"Telefone","WEB","Telefone"))</f>
        <v>Telefone</v>
      </c>
      <c r="B27" s="8" t="s">
        <v>57</v>
      </c>
      <c r="C27" s="8" t="s">
        <v>839</v>
      </c>
      <c r="D27" s="8" t="s">
        <v>887</v>
      </c>
      <c r="E27" s="8" t="s">
        <v>888</v>
      </c>
      <c r="F27" s="8" t="s">
        <v>889</v>
      </c>
      <c r="G27" s="8"/>
      <c r="H27" s="8" t="s">
        <v>3</v>
      </c>
      <c r="I27" s="8" t="s">
        <v>841</v>
      </c>
      <c r="J27" s="8" t="s">
        <v>712</v>
      </c>
      <c r="K27" s="8" t="s">
        <v>710</v>
      </c>
      <c r="L27" s="8" t="s">
        <v>722</v>
      </c>
      <c r="M27" s="8" t="s">
        <v>760</v>
      </c>
      <c r="N27" s="8" t="s">
        <v>55</v>
      </c>
      <c r="O27" s="8" t="s">
        <v>59</v>
      </c>
      <c r="P27" s="9">
        <v>42768.5</v>
      </c>
      <c r="Q27" s="9">
        <v>42769.707638888889</v>
      </c>
      <c r="R27" s="12" t="str">
        <f>IF(A27="WEB","Integration_CallMe User",IFERROR(VLOOKUP(J27,MAP!$C:$D,2,0),"-"))</f>
        <v>Vinicius Marques Ferreira Silva</v>
      </c>
      <c r="S27" s="12" t="str">
        <f>IFERROR(VLOOKUP(K27,MAP!$C:$D,2,0),"-")</f>
        <v>Jonatas Gomes Tenorio</v>
      </c>
      <c r="T27" s="10">
        <f t="shared" ca="1" si="2"/>
        <v>690.5</v>
      </c>
      <c r="U27" s="10">
        <f t="shared" ca="1" si="3"/>
        <v>689.29236111111095</v>
      </c>
      <c r="V27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7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7" s="10" t="str">
        <f>IFERROR(VLOOKUP(N27,MAP!$H:$I,2,0),"-")</f>
        <v>IPG</v>
      </c>
      <c r="Y27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28" spans="1:25" x14ac:dyDescent="0.3">
      <c r="A28" s="10" t="str">
        <f>IF(BACKLOG_BASE[[#This Row],[Origem do caso]]="","",IF(BACKLOG_BASE[[#This Row],[Origem do caso]]&lt;&gt;"Telefone","WEB","Telefone"))</f>
        <v>Telefone</v>
      </c>
      <c r="B28" s="8" t="s">
        <v>57</v>
      </c>
      <c r="C28" s="8" t="s">
        <v>890</v>
      </c>
      <c r="D28" s="8" t="s">
        <v>891</v>
      </c>
      <c r="E28" s="8" t="s">
        <v>892</v>
      </c>
      <c r="F28" s="8" t="s">
        <v>893</v>
      </c>
      <c r="G28" s="8"/>
      <c r="H28" s="8" t="s">
        <v>2</v>
      </c>
      <c r="I28" s="8" t="s">
        <v>837</v>
      </c>
      <c r="J28" s="8" t="s">
        <v>723</v>
      </c>
      <c r="K28" s="8" t="s">
        <v>946</v>
      </c>
      <c r="L28" s="8" t="s">
        <v>947</v>
      </c>
      <c r="M28" s="8" t="s">
        <v>738</v>
      </c>
      <c r="N28" s="8" t="s">
        <v>52</v>
      </c>
      <c r="O28" s="8" t="s">
        <v>59</v>
      </c>
      <c r="P28" s="9">
        <v>42768.502083333333</v>
      </c>
      <c r="Q28" s="9">
        <v>42769.433333333334</v>
      </c>
      <c r="R28" s="12" t="str">
        <f>IF(A28="WEB","Integration_CallMe User",IFERROR(VLOOKUP(J28,MAP!$C:$D,2,0),"-"))</f>
        <v>Edilson Nunes De Souza</v>
      </c>
      <c r="S28" s="12" t="str">
        <f>IFERROR(VLOOKUP(K28,MAP!$C:$D,2,0),"-")</f>
        <v>Daniel Dantas De Oliveira</v>
      </c>
      <c r="T28" s="10">
        <f t="shared" ca="1" si="2"/>
        <v>690.49791666666715</v>
      </c>
      <c r="U28" s="10">
        <f t="shared" ca="1" si="3"/>
        <v>689.5666666666657</v>
      </c>
      <c r="V28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8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8" s="10" t="str">
        <f>IFERROR(VLOOKUP(N28,MAP!$H:$I,2,0),"-")</f>
        <v>IPG</v>
      </c>
      <c r="Y28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29" spans="1:25" x14ac:dyDescent="0.3">
      <c r="A29" s="10" t="str">
        <f>IF(BACKLOG_BASE[[#This Row],[Origem do caso]]="","",IF(BACKLOG_BASE[[#This Row],[Origem do caso]]&lt;&gt;"Telefone","WEB","Telefone"))</f>
        <v>Telefone</v>
      </c>
      <c r="B29" s="8" t="s">
        <v>57</v>
      </c>
      <c r="C29" s="8" t="s">
        <v>848</v>
      </c>
      <c r="D29" s="8" t="s">
        <v>894</v>
      </c>
      <c r="E29" s="8" t="s">
        <v>895</v>
      </c>
      <c r="F29" s="8" t="s">
        <v>896</v>
      </c>
      <c r="G29" s="8" t="s">
        <v>897</v>
      </c>
      <c r="H29" s="8" t="s">
        <v>3</v>
      </c>
      <c r="I29" s="8" t="s">
        <v>850</v>
      </c>
      <c r="J29" s="8" t="s">
        <v>714</v>
      </c>
      <c r="K29" s="8" t="s">
        <v>710</v>
      </c>
      <c r="L29" s="8" t="s">
        <v>722</v>
      </c>
      <c r="M29" s="8" t="s">
        <v>760</v>
      </c>
      <c r="N29" s="8" t="s">
        <v>55</v>
      </c>
      <c r="O29" s="8" t="s">
        <v>59</v>
      </c>
      <c r="P29" s="9">
        <v>42768.51666666667</v>
      </c>
      <c r="Q29" s="9">
        <v>42769.552777777775</v>
      </c>
      <c r="R29" s="12" t="str">
        <f>IF(A29="WEB","Integration_CallMe User",IFERROR(VLOOKUP(J29,MAP!$C:$D,2,0),"-"))</f>
        <v>Denyse Souza Santos</v>
      </c>
      <c r="S29" s="12" t="str">
        <f>IFERROR(VLOOKUP(K29,MAP!$C:$D,2,0),"-")</f>
        <v>Jonatas Gomes Tenorio</v>
      </c>
      <c r="T29" s="10">
        <f t="shared" ca="1" si="2"/>
        <v>690.48333333332994</v>
      </c>
      <c r="U29" s="10">
        <f t="shared" ca="1" si="3"/>
        <v>689.44722222222481</v>
      </c>
      <c r="V29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29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29" s="10" t="str">
        <f>IFERROR(VLOOKUP(N29,MAP!$H:$I,2,0),"-")</f>
        <v>IPG</v>
      </c>
      <c r="Y29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30" spans="1:25" x14ac:dyDescent="0.3">
      <c r="A30" s="10" t="str">
        <f>IF(BACKLOG_BASE[[#This Row],[Origem do caso]]="","",IF(BACKLOG_BASE[[#This Row],[Origem do caso]]&lt;&gt;"Telefone","WEB","Telefone"))</f>
        <v>Telefone</v>
      </c>
      <c r="B30" s="8" t="s">
        <v>57</v>
      </c>
      <c r="C30" s="8" t="s">
        <v>845</v>
      </c>
      <c r="D30" s="8" t="s">
        <v>898</v>
      </c>
      <c r="E30" s="8" t="s">
        <v>899</v>
      </c>
      <c r="F30" s="8" t="s">
        <v>900</v>
      </c>
      <c r="G30" s="8"/>
      <c r="H30" s="8" t="s">
        <v>3</v>
      </c>
      <c r="I30" s="8" t="s">
        <v>747</v>
      </c>
      <c r="J30" s="8" t="s">
        <v>653</v>
      </c>
      <c r="K30" s="8" t="s">
        <v>710</v>
      </c>
      <c r="L30" s="8" t="s">
        <v>722</v>
      </c>
      <c r="M30" s="8" t="s">
        <v>831</v>
      </c>
      <c r="N30" s="8" t="s">
        <v>54</v>
      </c>
      <c r="O30" s="8" t="s">
        <v>59</v>
      </c>
      <c r="P30" s="9">
        <v>42768.51666666667</v>
      </c>
      <c r="Q30" s="9">
        <v>42769.5</v>
      </c>
      <c r="R30" s="12" t="str">
        <f>IF(A30="WEB","Integration_CallMe User",IFERROR(VLOOKUP(J30,MAP!$C:$D,2,0),"-"))</f>
        <v>Zaelly Suerfia Ferreira da Costa</v>
      </c>
      <c r="S30" s="12" t="str">
        <f>IFERROR(VLOOKUP(K30,MAP!$C:$D,2,0),"-")</f>
        <v>Jonatas Gomes Tenorio</v>
      </c>
      <c r="T30" s="10">
        <f t="shared" ca="1" si="2"/>
        <v>690.48333333332994</v>
      </c>
      <c r="U30" s="10">
        <f t="shared" ca="1" si="3"/>
        <v>689.5</v>
      </c>
      <c r="V30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0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0" s="10" t="str">
        <f>IFERROR(VLOOKUP(N30,MAP!$H:$I,2,0),"-")</f>
        <v>IPG</v>
      </c>
      <c r="Y30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31" spans="1:25" x14ac:dyDescent="0.3">
      <c r="A31" s="10" t="str">
        <f>IF(BACKLOG_BASE[[#This Row],[Origem do caso]]="","",IF(BACKLOG_BASE[[#This Row],[Origem do caso]]&lt;&gt;"Telefone","WEB","Telefone"))</f>
        <v>Telefone</v>
      </c>
      <c r="B31" s="8" t="s">
        <v>57</v>
      </c>
      <c r="C31" s="8" t="s">
        <v>901</v>
      </c>
      <c r="D31" s="8" t="s">
        <v>902</v>
      </c>
      <c r="E31" s="8" t="s">
        <v>903</v>
      </c>
      <c r="F31" s="8" t="s">
        <v>904</v>
      </c>
      <c r="G31" s="8"/>
      <c r="H31" s="8" t="s">
        <v>2</v>
      </c>
      <c r="I31" s="8" t="s">
        <v>905</v>
      </c>
      <c r="J31" s="8" t="s">
        <v>822</v>
      </c>
      <c r="K31" s="8" t="s">
        <v>822</v>
      </c>
      <c r="L31" s="8" t="s">
        <v>838</v>
      </c>
      <c r="M31" s="8" t="s">
        <v>760</v>
      </c>
      <c r="N31" s="8" t="s">
        <v>55</v>
      </c>
      <c r="O31" s="8" t="s">
        <v>59</v>
      </c>
      <c r="P31" s="9">
        <v>42768.536111111112</v>
      </c>
      <c r="Q31" s="9">
        <v>42768.542361111111</v>
      </c>
      <c r="R31" s="12" t="str">
        <f>IF(A31="WEB","Integration_CallMe User",IFERROR(VLOOKUP(J31,MAP!$C:$D,2,0),"-"))</f>
        <v>Wendrey Schumaher Lara</v>
      </c>
      <c r="S31" s="12" t="str">
        <f>IFERROR(VLOOKUP(K31,MAP!$C:$D,2,0),"-")</f>
        <v>Wendrey Schumaher Lara</v>
      </c>
      <c r="T31" s="10">
        <f t="shared" ca="1" si="2"/>
        <v>690.4638888888876</v>
      </c>
      <c r="U31" s="10">
        <f t="shared" ca="1" si="3"/>
        <v>690.45763888888905</v>
      </c>
      <c r="V31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1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1" s="10" t="str">
        <f>IFERROR(VLOOKUP(N31,MAP!$H:$I,2,0),"-")</f>
        <v>IPG</v>
      </c>
      <c r="Y31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2" spans="1:25" x14ac:dyDescent="0.3">
      <c r="A32" s="10" t="str">
        <f>IF(BACKLOG_BASE[[#This Row],[Origem do caso]]="","",IF(BACKLOG_BASE[[#This Row],[Origem do caso]]&lt;&gt;"Telefone","WEB","Telefone"))</f>
        <v>Telefone</v>
      </c>
      <c r="B32" s="8" t="s">
        <v>57</v>
      </c>
      <c r="C32" s="8" t="s">
        <v>906</v>
      </c>
      <c r="D32" s="8" t="s">
        <v>907</v>
      </c>
      <c r="E32" s="8" t="s">
        <v>908</v>
      </c>
      <c r="F32" s="8" t="s">
        <v>909</v>
      </c>
      <c r="G32" s="8"/>
      <c r="H32" s="8" t="s">
        <v>2</v>
      </c>
      <c r="I32" s="8" t="s">
        <v>910</v>
      </c>
      <c r="J32" s="8" t="s">
        <v>721</v>
      </c>
      <c r="K32" s="8" t="s">
        <v>721</v>
      </c>
      <c r="L32" s="8" t="s">
        <v>838</v>
      </c>
      <c r="M32" s="8" t="s">
        <v>911</v>
      </c>
      <c r="N32" s="8" t="s">
        <v>676</v>
      </c>
      <c r="O32" s="8" t="s">
        <v>59</v>
      </c>
      <c r="P32" s="9">
        <v>42768.540972222225</v>
      </c>
      <c r="Q32" s="9">
        <v>42768.551388888889</v>
      </c>
      <c r="R32" s="12" t="str">
        <f>IF(A32="WEB","Integration_CallMe User",IFERROR(VLOOKUP(J32,MAP!$C:$D,2,0),"-"))</f>
        <v>Jesse Prates Martins</v>
      </c>
      <c r="S32" s="12" t="str">
        <f>IFERROR(VLOOKUP(K32,MAP!$C:$D,2,0),"-")</f>
        <v>Jesse Prates Martins</v>
      </c>
      <c r="T32" s="10">
        <f t="shared" ca="1" si="2"/>
        <v>690.45902777777519</v>
      </c>
      <c r="U32" s="10">
        <f t="shared" ca="1" si="3"/>
        <v>690.44861111111095</v>
      </c>
      <c r="V32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2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2" s="10" t="str">
        <f>IFERROR(VLOOKUP(N32,MAP!$H:$I,2,0),"-")</f>
        <v>IPG</v>
      </c>
      <c r="Y32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3" spans="1:25" x14ac:dyDescent="0.3">
      <c r="A33" s="10" t="str">
        <f>IF(BACKLOG_BASE[[#This Row],[Origem do caso]]="","",IF(BACKLOG_BASE[[#This Row],[Origem do caso]]&lt;&gt;"Telefone","WEB","Telefone"))</f>
        <v>Telefone</v>
      </c>
      <c r="B33" s="8" t="s">
        <v>57</v>
      </c>
      <c r="C33" s="8" t="s">
        <v>912</v>
      </c>
      <c r="D33" s="8" t="s">
        <v>913</v>
      </c>
      <c r="E33" s="8" t="s">
        <v>914</v>
      </c>
      <c r="F33" s="8" t="s">
        <v>915</v>
      </c>
      <c r="G33" s="8"/>
      <c r="H33" s="8" t="s">
        <v>4</v>
      </c>
      <c r="I33" s="8" t="s">
        <v>916</v>
      </c>
      <c r="J33" s="8" t="s">
        <v>762</v>
      </c>
      <c r="K33" s="8" t="s">
        <v>762</v>
      </c>
      <c r="L33" s="8" t="s">
        <v>713</v>
      </c>
      <c r="M33" s="8" t="s">
        <v>911</v>
      </c>
      <c r="N33" s="8" t="s">
        <v>676</v>
      </c>
      <c r="O33" s="8" t="s">
        <v>58</v>
      </c>
      <c r="P33" s="9">
        <v>42768.546527777777</v>
      </c>
      <c r="Q33" s="9">
        <v>42768.893055555556</v>
      </c>
      <c r="R33" s="12" t="str">
        <f>IF(A33="WEB","Integration_CallMe User",IFERROR(VLOOKUP(J33,MAP!$C:$D,2,0),"-"))</f>
        <v>Matheus Cardoso Silva</v>
      </c>
      <c r="S33" s="12" t="str">
        <f>IFERROR(VLOOKUP(K33,MAP!$C:$D,2,0),"-")</f>
        <v>Matheus Cardoso Silva</v>
      </c>
      <c r="T33" s="10">
        <f t="shared" ca="1" si="2"/>
        <v>690.45347222222335</v>
      </c>
      <c r="U33" s="10">
        <f t="shared" ca="1" si="3"/>
        <v>690.1069444444438</v>
      </c>
      <c r="V33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3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3" s="10" t="str">
        <f>IFERROR(VLOOKUP(N33,MAP!$H:$I,2,0),"-")</f>
        <v>IPG</v>
      </c>
      <c r="Y33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4" spans="1:25" x14ac:dyDescent="0.3">
      <c r="A34" s="10" t="str">
        <f>IF(BACKLOG_BASE[[#This Row],[Origem do caso]]="","",IF(BACKLOG_BASE[[#This Row],[Origem do caso]]&lt;&gt;"Telefone","WEB","Telefone"))</f>
        <v>Telefone</v>
      </c>
      <c r="B34" s="8" t="s">
        <v>57</v>
      </c>
      <c r="C34" s="8" t="s">
        <v>917</v>
      </c>
      <c r="D34" s="8" t="s">
        <v>918</v>
      </c>
      <c r="E34" s="8" t="s">
        <v>919</v>
      </c>
      <c r="F34" s="8" t="s">
        <v>920</v>
      </c>
      <c r="G34" s="8"/>
      <c r="H34" s="8" t="s">
        <v>2</v>
      </c>
      <c r="I34" s="8" t="s">
        <v>766</v>
      </c>
      <c r="J34" s="8" t="s">
        <v>653</v>
      </c>
      <c r="K34" s="8" t="s">
        <v>921</v>
      </c>
      <c r="L34" s="8" t="s">
        <v>838</v>
      </c>
      <c r="M34" s="8" t="s">
        <v>725</v>
      </c>
      <c r="N34" s="8" t="s">
        <v>52</v>
      </c>
      <c r="O34" s="8" t="s">
        <v>59</v>
      </c>
      <c r="P34" s="9">
        <v>42768.583333333336</v>
      </c>
      <c r="Q34" s="9">
        <v>42768.620833333334</v>
      </c>
      <c r="R34" s="12" t="str">
        <f>IF(A34="WEB","Integration_CallMe User",IFERROR(VLOOKUP(J34,MAP!$C:$D,2,0),"-"))</f>
        <v>Zaelly Suerfia Ferreira da Costa</v>
      </c>
      <c r="S34" s="12" t="str">
        <f>IFERROR(VLOOKUP(K34,MAP!$C:$D,2,0),"-")</f>
        <v>Thiago Santos Amaral</v>
      </c>
      <c r="T34" s="10">
        <f t="shared" ca="1" si="2"/>
        <v>690.41666666666424</v>
      </c>
      <c r="U34" s="10">
        <f t="shared" ca="1" si="3"/>
        <v>690.3791666666657</v>
      </c>
      <c r="V34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4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4" s="10" t="str">
        <f>IFERROR(VLOOKUP(N34,MAP!$H:$I,2,0),"-")</f>
        <v>IPG</v>
      </c>
      <c r="Y34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5" spans="1:25" x14ac:dyDescent="0.3">
      <c r="A35" s="10" t="str">
        <f>IF(BACKLOG_BASE[[#This Row],[Origem do caso]]="","",IF(BACKLOG_BASE[[#This Row],[Origem do caso]]&lt;&gt;"Telefone","WEB","Telefone"))</f>
        <v>Telefone</v>
      </c>
      <c r="B35" s="8" t="s">
        <v>57</v>
      </c>
      <c r="C35" s="8" t="s">
        <v>922</v>
      </c>
      <c r="D35" s="8" t="s">
        <v>923</v>
      </c>
      <c r="E35" s="8" t="s">
        <v>924</v>
      </c>
      <c r="F35" s="8" t="s">
        <v>924</v>
      </c>
      <c r="G35" s="8"/>
      <c r="H35" s="8" t="s">
        <v>4</v>
      </c>
      <c r="I35" s="8" t="s">
        <v>925</v>
      </c>
      <c r="J35" s="8" t="s">
        <v>715</v>
      </c>
      <c r="K35" s="8" t="s">
        <v>715</v>
      </c>
      <c r="L35" s="8" t="s">
        <v>796</v>
      </c>
      <c r="M35" s="8" t="s">
        <v>926</v>
      </c>
      <c r="N35" s="8" t="s">
        <v>675</v>
      </c>
      <c r="O35" s="8" t="s">
        <v>58</v>
      </c>
      <c r="P35" s="9">
        <v>42768.615972222222</v>
      </c>
      <c r="Q35" s="9">
        <v>42768.625</v>
      </c>
      <c r="R35" s="12" t="str">
        <f>IF(A35="WEB","Integration_CallMe User",IFERROR(VLOOKUP(J35,MAP!$C:$D,2,0),"-"))</f>
        <v>Luiz Fernando dos Santos Ferreira</v>
      </c>
      <c r="S35" s="12" t="str">
        <f>IFERROR(VLOOKUP(K35,MAP!$C:$D,2,0),"-")</f>
        <v>Luiz Fernando dos Santos Ferreira</v>
      </c>
      <c r="T35" s="10">
        <f t="shared" ca="1" si="2"/>
        <v>690.3840277777781</v>
      </c>
      <c r="U35" s="10">
        <f t="shared" ca="1" si="3"/>
        <v>690.375</v>
      </c>
      <c r="V35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5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5" s="10" t="str">
        <f>IFERROR(VLOOKUP(N35,MAP!$H:$I,2,0),"-")</f>
        <v>IPG</v>
      </c>
      <c r="Y35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6" spans="1:25" x14ac:dyDescent="0.3">
      <c r="A36" s="10" t="str">
        <f>IF(BACKLOG_BASE[[#This Row],[Origem do caso]]="","",IF(BACKLOG_BASE[[#This Row],[Origem do caso]]&lt;&gt;"Telefone","WEB","Telefone"))</f>
        <v>Telefone</v>
      </c>
      <c r="B36" s="8" t="s">
        <v>57</v>
      </c>
      <c r="C36" s="8" t="s">
        <v>927</v>
      </c>
      <c r="D36" s="8" t="s">
        <v>928</v>
      </c>
      <c r="E36" s="8" t="s">
        <v>929</v>
      </c>
      <c r="F36" s="8" t="s">
        <v>930</v>
      </c>
      <c r="G36" s="8"/>
      <c r="H36" s="8" t="s">
        <v>4</v>
      </c>
      <c r="I36" s="8" t="s">
        <v>837</v>
      </c>
      <c r="J36" s="8" t="s">
        <v>723</v>
      </c>
      <c r="K36" s="8" t="s">
        <v>723</v>
      </c>
      <c r="L36" s="8" t="s">
        <v>713</v>
      </c>
      <c r="M36" s="8" t="s">
        <v>742</v>
      </c>
      <c r="N36" s="8" t="s">
        <v>52</v>
      </c>
      <c r="O36" s="8" t="s">
        <v>58</v>
      </c>
      <c r="P36" s="9">
        <v>42768.665972222225</v>
      </c>
      <c r="Q36" s="9">
        <v>42768.706250000003</v>
      </c>
      <c r="R36" s="12" t="str">
        <f>IF(A36="WEB","Integration_CallMe User",IFERROR(VLOOKUP(J36,MAP!$C:$D,2,0),"-"))</f>
        <v>Edilson Nunes De Souza</v>
      </c>
      <c r="S36" s="12" t="str">
        <f>IFERROR(VLOOKUP(K36,MAP!$C:$D,2,0),"-")</f>
        <v>Edilson Nunes De Souza</v>
      </c>
      <c r="T36" s="10">
        <f t="shared" ca="1" si="2"/>
        <v>690.33402777777519</v>
      </c>
      <c r="U36" s="10">
        <f t="shared" ca="1" si="3"/>
        <v>690.29374999999709</v>
      </c>
      <c r="V36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6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6" s="10" t="str">
        <f>IFERROR(VLOOKUP(N36,MAP!$H:$I,2,0),"-")</f>
        <v>IPG</v>
      </c>
      <c r="Y36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37" spans="1:25" x14ac:dyDescent="0.3">
      <c r="A37" s="10" t="str">
        <f>IF(BACKLOG_BASE[[#This Row],[Origem do caso]]="","",IF(BACKLOG_BASE[[#This Row],[Origem do caso]]&lt;&gt;"Telefone","WEB","Telefone"))</f>
        <v>Telefone</v>
      </c>
      <c r="B37" s="8" t="s">
        <v>57</v>
      </c>
      <c r="C37" s="8" t="s">
        <v>851</v>
      </c>
      <c r="D37" s="8" t="s">
        <v>931</v>
      </c>
      <c r="E37" s="8" t="s">
        <v>932</v>
      </c>
      <c r="F37" s="8" t="s">
        <v>933</v>
      </c>
      <c r="G37" s="8"/>
      <c r="H37" s="8" t="s">
        <v>3</v>
      </c>
      <c r="I37" s="8" t="s">
        <v>853</v>
      </c>
      <c r="J37" s="8" t="s">
        <v>653</v>
      </c>
      <c r="K37" s="8" t="s">
        <v>710</v>
      </c>
      <c r="L37" s="8" t="s">
        <v>722</v>
      </c>
      <c r="M37" s="8" t="s">
        <v>760</v>
      </c>
      <c r="N37" s="8" t="s">
        <v>55</v>
      </c>
      <c r="O37" s="8" t="s">
        <v>59</v>
      </c>
      <c r="P37" s="9">
        <v>42768.800000000003</v>
      </c>
      <c r="Q37" s="9">
        <v>42769.709027777775</v>
      </c>
      <c r="R37" s="12" t="str">
        <f>IF(A37="WEB","Integration_CallMe User",IFERROR(VLOOKUP(J37,MAP!$C:$D,2,0),"-"))</f>
        <v>Zaelly Suerfia Ferreira da Costa</v>
      </c>
      <c r="S37" s="12" t="str">
        <f>IFERROR(VLOOKUP(K37,MAP!$C:$D,2,0),"-")</f>
        <v>Jonatas Gomes Tenorio</v>
      </c>
      <c r="T37" s="10">
        <f t="shared" ca="1" si="2"/>
        <v>690.19999999999709</v>
      </c>
      <c r="U37" s="10">
        <f t="shared" ca="1" si="3"/>
        <v>689.29097222222481</v>
      </c>
      <c r="V37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7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7" s="10" t="str">
        <f>IFERROR(VLOOKUP(N37,MAP!$H:$I,2,0),"-")</f>
        <v>IPG</v>
      </c>
      <c r="Y37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38" spans="1:25" x14ac:dyDescent="0.3">
      <c r="A38" s="10" t="str">
        <f>IF(BACKLOG_BASE[[#This Row],[Origem do caso]]="","",IF(BACKLOG_BASE[[#This Row],[Origem do caso]]&lt;&gt;"Telefone","WEB","Telefone"))</f>
        <v>Telefone</v>
      </c>
      <c r="B38" s="8" t="s">
        <v>57</v>
      </c>
      <c r="C38" s="8" t="s">
        <v>948</v>
      </c>
      <c r="D38" s="8" t="s">
        <v>949</v>
      </c>
      <c r="E38" s="8" t="s">
        <v>950</v>
      </c>
      <c r="F38" s="8" t="s">
        <v>951</v>
      </c>
      <c r="G38" s="8"/>
      <c r="H38" s="8" t="s">
        <v>3</v>
      </c>
      <c r="I38" s="8" t="s">
        <v>952</v>
      </c>
      <c r="J38" s="8" t="s">
        <v>723</v>
      </c>
      <c r="K38" s="8" t="s">
        <v>809</v>
      </c>
      <c r="L38" s="8" t="s">
        <v>821</v>
      </c>
      <c r="M38" s="8" t="s">
        <v>953</v>
      </c>
      <c r="N38" s="8" t="s">
        <v>52</v>
      </c>
      <c r="O38" s="8" t="s">
        <v>59</v>
      </c>
      <c r="P38" s="9">
        <v>42769.364583333336</v>
      </c>
      <c r="Q38" s="9">
        <v>42769.704861111109</v>
      </c>
      <c r="R38" s="12" t="str">
        <f>IF(A38="WEB","Integration_CallMe User",IFERROR(VLOOKUP(J38,MAP!$C:$D,2,0),"-"))</f>
        <v>Edilson Nunes De Souza</v>
      </c>
      <c r="S38" s="12" t="str">
        <f>IFERROR(VLOOKUP(K38,MAP!$C:$D,2,0),"-")</f>
        <v>Ivanildo Cavalcante De Souza Junior</v>
      </c>
      <c r="T38" s="10">
        <f t="shared" ca="1" si="2"/>
        <v>689.63541666666424</v>
      </c>
      <c r="U38" s="10">
        <f t="shared" ca="1" si="3"/>
        <v>689.29513888889051</v>
      </c>
      <c r="V38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8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8" s="10" t="str">
        <f>IFERROR(VLOOKUP(N38,MAP!$H:$I,2,0),"-")</f>
        <v>IPG</v>
      </c>
      <c r="Y38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39" spans="1:25" x14ac:dyDescent="0.3">
      <c r="A39" s="10" t="str">
        <f>IF(BACKLOG_BASE[[#This Row],[Origem do caso]]="","",IF(BACKLOG_BASE[[#This Row],[Origem do caso]]&lt;&gt;"Telefone","WEB","Telefone"))</f>
        <v>Telefone</v>
      </c>
      <c r="B39" s="8" t="s">
        <v>57</v>
      </c>
      <c r="C39" s="8" t="s">
        <v>954</v>
      </c>
      <c r="D39" s="8" t="s">
        <v>955</v>
      </c>
      <c r="E39" s="8" t="s">
        <v>956</v>
      </c>
      <c r="F39" s="8" t="s">
        <v>957</v>
      </c>
      <c r="G39" s="8"/>
      <c r="H39" s="8" t="s">
        <v>3</v>
      </c>
      <c r="I39" s="8" t="s">
        <v>958</v>
      </c>
      <c r="J39" s="8" t="s">
        <v>714</v>
      </c>
      <c r="K39" s="8" t="s">
        <v>809</v>
      </c>
      <c r="L39" s="8" t="s">
        <v>821</v>
      </c>
      <c r="M39" s="8" t="s">
        <v>959</v>
      </c>
      <c r="N39" s="8" t="s">
        <v>56</v>
      </c>
      <c r="O39" s="8" t="s">
        <v>59</v>
      </c>
      <c r="P39" s="9">
        <v>42769.397916666669</v>
      </c>
      <c r="Q39" s="9">
        <v>42769.643055555556</v>
      </c>
      <c r="R39" s="12" t="str">
        <f>IF(A39="WEB","Integration_CallMe User",IFERROR(VLOOKUP(J39,MAP!$C:$D,2,0),"-"))</f>
        <v>Denyse Souza Santos</v>
      </c>
      <c r="S39" s="12" t="str">
        <f>IFERROR(VLOOKUP(K39,MAP!$C:$D,2,0),"-")</f>
        <v>Ivanildo Cavalcante De Souza Junior</v>
      </c>
      <c r="T39" s="10">
        <f t="shared" ca="1" si="2"/>
        <v>689.60208333333139</v>
      </c>
      <c r="U39" s="10">
        <f t="shared" ca="1" si="3"/>
        <v>689.3569444444438</v>
      </c>
      <c r="V39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39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39" s="10" t="str">
        <f>IFERROR(VLOOKUP(N39,MAP!$H:$I,2,0),"-")</f>
        <v>PSG</v>
      </c>
      <c r="Y39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0" spans="1:25" x14ac:dyDescent="0.3">
      <c r="A40" s="10" t="str">
        <f>IF(BACKLOG_BASE[[#This Row],[Origem do caso]]="","",IF(BACKLOG_BASE[[#This Row],[Origem do caso]]&lt;&gt;"Telefone","WEB","Telefone"))</f>
        <v>Telefone</v>
      </c>
      <c r="B40" s="8" t="s">
        <v>57</v>
      </c>
      <c r="C40" s="8" t="s">
        <v>960</v>
      </c>
      <c r="D40" s="8" t="s">
        <v>961</v>
      </c>
      <c r="E40" s="8" t="s">
        <v>962</v>
      </c>
      <c r="F40" s="8" t="s">
        <v>963</v>
      </c>
      <c r="G40" s="8"/>
      <c r="H40" s="8" t="s">
        <v>2</v>
      </c>
      <c r="I40" s="8" t="s">
        <v>964</v>
      </c>
      <c r="J40" s="8" t="s">
        <v>721</v>
      </c>
      <c r="K40" s="8" t="s">
        <v>721</v>
      </c>
      <c r="L40" s="8" t="s">
        <v>797</v>
      </c>
      <c r="M40" s="8" t="s">
        <v>761</v>
      </c>
      <c r="N40" s="8" t="s">
        <v>55</v>
      </c>
      <c r="O40" s="8" t="s">
        <v>59</v>
      </c>
      <c r="P40" s="9">
        <v>42769.406944444447</v>
      </c>
      <c r="Q40" s="9">
        <v>42769.640277777777</v>
      </c>
      <c r="R40" s="12" t="str">
        <f>IF(A40="WEB","Integration_CallMe User",IFERROR(VLOOKUP(J40,MAP!$C:$D,2,0),"-"))</f>
        <v>Jesse Prates Martins</v>
      </c>
      <c r="S40" s="12" t="str">
        <f>IFERROR(VLOOKUP(K40,MAP!$C:$D,2,0),"-")</f>
        <v>Jesse Prates Martins</v>
      </c>
      <c r="T40" s="10">
        <f t="shared" ca="1" si="2"/>
        <v>689.59305555555329</v>
      </c>
      <c r="U40" s="10">
        <f t="shared" ca="1" si="3"/>
        <v>689.35972222222335</v>
      </c>
      <c r="V40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0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0" s="10" t="str">
        <f>IFERROR(VLOOKUP(N40,MAP!$H:$I,2,0),"-")</f>
        <v>IPG</v>
      </c>
      <c r="Y40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41" spans="1:25" x14ac:dyDescent="0.3">
      <c r="A41" s="10" t="str">
        <f>IF(BACKLOG_BASE[[#This Row],[Origem do caso]]="","",IF(BACKLOG_BASE[[#This Row],[Origem do caso]]&lt;&gt;"Telefone","WEB","Telefone"))</f>
        <v>Telefone</v>
      </c>
      <c r="B41" s="8" t="s">
        <v>57</v>
      </c>
      <c r="C41" s="8" t="s">
        <v>965</v>
      </c>
      <c r="D41" s="8" t="s">
        <v>966</v>
      </c>
      <c r="E41" s="8" t="s">
        <v>967</v>
      </c>
      <c r="F41" s="8" t="s">
        <v>968</v>
      </c>
      <c r="G41" s="8" t="s">
        <v>969</v>
      </c>
      <c r="H41" s="8" t="s">
        <v>4</v>
      </c>
      <c r="I41" s="8" t="s">
        <v>910</v>
      </c>
      <c r="J41" s="8" t="s">
        <v>721</v>
      </c>
      <c r="K41" s="8" t="s">
        <v>721</v>
      </c>
      <c r="L41" s="8" t="s">
        <v>796</v>
      </c>
      <c r="M41" s="8" t="s">
        <v>970</v>
      </c>
      <c r="N41" s="8" t="s">
        <v>53</v>
      </c>
      <c r="O41" s="8" t="s">
        <v>58</v>
      </c>
      <c r="P41" s="9">
        <v>42769.473611111112</v>
      </c>
      <c r="Q41" s="9">
        <v>42769.482638888891</v>
      </c>
      <c r="R41" s="12" t="str">
        <f>IF(A41="WEB","Integration_CallMe User",IFERROR(VLOOKUP(J41,MAP!$C:$D,2,0),"-"))</f>
        <v>Jesse Prates Martins</v>
      </c>
      <c r="S41" s="12" t="str">
        <f>IFERROR(VLOOKUP(K41,MAP!$C:$D,2,0),"-")</f>
        <v>Jesse Prates Martins</v>
      </c>
      <c r="T41" s="10">
        <f t="shared" ca="1" si="2"/>
        <v>689.5263888888876</v>
      </c>
      <c r="U41" s="10">
        <f t="shared" ca="1" si="3"/>
        <v>689.51736111110949</v>
      </c>
      <c r="V41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1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1" s="10" t="str">
        <f>IFERROR(VLOOKUP(N41,MAP!$H:$I,2,0),"-")</f>
        <v>PSG</v>
      </c>
      <c r="Y41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42" spans="1:25" x14ac:dyDescent="0.3">
      <c r="A42" s="10" t="str">
        <f>IF(BACKLOG_BASE[[#This Row],[Origem do caso]]="","",IF(BACKLOG_BASE[[#This Row],[Origem do caso]]&lt;&gt;"Telefone","WEB","Telefone"))</f>
        <v>Telefone</v>
      </c>
      <c r="B42" s="8" t="s">
        <v>57</v>
      </c>
      <c r="C42" s="8" t="s">
        <v>971</v>
      </c>
      <c r="D42" s="8" t="s">
        <v>972</v>
      </c>
      <c r="E42" s="8" t="s">
        <v>973</v>
      </c>
      <c r="F42" s="8" t="s">
        <v>974</v>
      </c>
      <c r="G42" s="8"/>
      <c r="H42" s="8" t="s">
        <v>3</v>
      </c>
      <c r="I42" s="8" t="s">
        <v>975</v>
      </c>
      <c r="J42" s="8" t="s">
        <v>723</v>
      </c>
      <c r="K42" s="8" t="s">
        <v>809</v>
      </c>
      <c r="L42" s="8" t="s">
        <v>821</v>
      </c>
      <c r="M42" s="8" t="s">
        <v>976</v>
      </c>
      <c r="N42" s="8" t="s">
        <v>56</v>
      </c>
      <c r="O42" s="8" t="s">
        <v>59</v>
      </c>
      <c r="P42" s="9">
        <v>42769.478472222225</v>
      </c>
      <c r="Q42" s="9">
        <v>42769.705555555556</v>
      </c>
      <c r="R42" s="12" t="str">
        <f>IF(A42="WEB","Integration_CallMe User",IFERROR(VLOOKUP(J42,MAP!$C:$D,2,0),"-"))</f>
        <v>Edilson Nunes De Souza</v>
      </c>
      <c r="S42" s="12" t="str">
        <f>IFERROR(VLOOKUP(K42,MAP!$C:$D,2,0),"-")</f>
        <v>Ivanildo Cavalcante De Souza Junior</v>
      </c>
      <c r="T42" s="10">
        <f t="shared" ca="1" si="2"/>
        <v>689.52152777777519</v>
      </c>
      <c r="U42" s="10">
        <f t="shared" ca="1" si="3"/>
        <v>689.2944444444438</v>
      </c>
      <c r="V42" s="11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2" s="11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2" s="10" t="str">
        <f>IFERROR(VLOOKUP(N42,MAP!$H:$I,2,0),"-")</f>
        <v>PSG</v>
      </c>
      <c r="Y42" s="10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3" spans="1:25" x14ac:dyDescent="0.3">
      <c r="A43" s="4" t="str">
        <f>IF(BACKLOG_BASE[[#This Row],[Origem do caso]]="","",IF(BACKLOG_BASE[[#This Row],[Origem do caso]]&lt;&gt;"Telefone","WEB","Telefone"))</f>
        <v>Telefone</v>
      </c>
      <c r="B43" s="69" t="s">
        <v>57</v>
      </c>
      <c r="C43" s="69" t="s">
        <v>977</v>
      </c>
      <c r="D43" s="69" t="s">
        <v>978</v>
      </c>
      <c r="E43" s="69" t="s">
        <v>979</v>
      </c>
      <c r="F43" s="69" t="s">
        <v>980</v>
      </c>
      <c r="G43" s="69"/>
      <c r="H43" s="69" t="s">
        <v>3</v>
      </c>
      <c r="I43" s="69" t="s">
        <v>981</v>
      </c>
      <c r="J43" s="69" t="s">
        <v>714</v>
      </c>
      <c r="K43" s="69" t="s">
        <v>809</v>
      </c>
      <c r="L43" s="69" t="s">
        <v>821</v>
      </c>
      <c r="M43" s="69" t="s">
        <v>982</v>
      </c>
      <c r="N43" s="69" t="s">
        <v>52</v>
      </c>
      <c r="O43" s="8" t="s">
        <v>59</v>
      </c>
      <c r="P43" s="70">
        <v>42769.507638888892</v>
      </c>
      <c r="Q43" s="70">
        <v>42769.642361111109</v>
      </c>
      <c r="R43" s="19" t="str">
        <f>IF(A43="WEB","Integration_CallMe User",IFERROR(VLOOKUP(J43,MAP!$C:$D,2,0),"-"))</f>
        <v>Denyse Souza Santos</v>
      </c>
      <c r="S43" s="19" t="str">
        <f>IFERROR(VLOOKUP(K43,MAP!$C:$D,2,0),"-")</f>
        <v>Ivanildo Cavalcante De Souza Junior</v>
      </c>
      <c r="T43" s="4">
        <f t="shared" ca="1" si="2"/>
        <v>689.49236111110804</v>
      </c>
      <c r="U43" s="4">
        <f t="shared" ca="1" si="3"/>
        <v>689.35763888889051</v>
      </c>
      <c r="V43" s="7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3" s="7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3" s="4" t="str">
        <f>IFERROR(VLOOKUP(N43,MAP!$H:$I,2,0),"-")</f>
        <v>IPG</v>
      </c>
      <c r="Y43" s="4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4" spans="1:25" x14ac:dyDescent="0.3">
      <c r="A44" s="4" t="str">
        <f>IF(BACKLOG_BASE[[#This Row],[Origem do caso]]="","",IF(BACKLOG_BASE[[#This Row],[Origem do caso]]&lt;&gt;"Telefone","WEB","Telefone"))</f>
        <v>Telefone</v>
      </c>
      <c r="B44" s="69" t="s">
        <v>57</v>
      </c>
      <c r="C44" s="69" t="s">
        <v>983</v>
      </c>
      <c r="D44" s="69" t="s">
        <v>984</v>
      </c>
      <c r="E44" s="69" t="s">
        <v>985</v>
      </c>
      <c r="F44" s="69" t="s">
        <v>986</v>
      </c>
      <c r="G44" s="69" t="s">
        <v>987</v>
      </c>
      <c r="H44" s="69" t="s">
        <v>3</v>
      </c>
      <c r="I44" s="69" t="s">
        <v>988</v>
      </c>
      <c r="J44" s="69" t="s">
        <v>712</v>
      </c>
      <c r="K44" s="69" t="s">
        <v>809</v>
      </c>
      <c r="L44" s="69" t="s">
        <v>821</v>
      </c>
      <c r="M44" s="69" t="s">
        <v>731</v>
      </c>
      <c r="N44" s="69" t="s">
        <v>56</v>
      </c>
      <c r="O44" s="8" t="s">
        <v>59</v>
      </c>
      <c r="P44" s="70">
        <v>42769.510416666664</v>
      </c>
      <c r="Q44" s="70">
        <v>42769.704861111109</v>
      </c>
      <c r="R44" s="19" t="str">
        <f>IF(A44="WEB","Integration_CallMe User",IFERROR(VLOOKUP(J44,MAP!$C:$D,2,0),"-"))</f>
        <v>Vinicius Marques Ferreira Silva</v>
      </c>
      <c r="S44" s="19" t="str">
        <f>IFERROR(VLOOKUP(K44,MAP!$C:$D,2,0),"-")</f>
        <v>Ivanildo Cavalcante De Souza Junior</v>
      </c>
      <c r="T44" s="4">
        <f t="shared" ref="T44:T46" ca="1" si="4">IF(P44="", "-", TODAY() -P44)</f>
        <v>689.48958333333576</v>
      </c>
      <c r="U44" s="4">
        <f t="shared" ref="U44:U46" ca="1" si="5">IF(Q44="", "-", TODAY() -Q44)</f>
        <v>689.29513888889051</v>
      </c>
      <c r="V44" s="7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4" s="7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4" s="4" t="str">
        <f>IFERROR(VLOOKUP(N44,MAP!$H:$I,2,0),"-")</f>
        <v>PSG</v>
      </c>
      <c r="Y44" s="4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5" spans="1:25" x14ac:dyDescent="0.3">
      <c r="A45" s="4" t="str">
        <f>IF(BACKLOG_BASE[[#This Row],[Origem do caso]]="","",IF(BACKLOG_BASE[[#This Row],[Origem do caso]]&lt;&gt;"Telefone","WEB","Telefone"))</f>
        <v>Telefone</v>
      </c>
      <c r="B45" s="69" t="s">
        <v>57</v>
      </c>
      <c r="C45" s="69" t="s">
        <v>989</v>
      </c>
      <c r="D45" s="69" t="s">
        <v>990</v>
      </c>
      <c r="E45" s="69" t="s">
        <v>991</v>
      </c>
      <c r="F45" s="69" t="s">
        <v>992</v>
      </c>
      <c r="G45" s="69"/>
      <c r="H45" s="69" t="s">
        <v>4</v>
      </c>
      <c r="I45" s="69" t="s">
        <v>993</v>
      </c>
      <c r="J45" s="69" t="s">
        <v>721</v>
      </c>
      <c r="K45" s="69" t="s">
        <v>994</v>
      </c>
      <c r="L45" s="69" t="s">
        <v>995</v>
      </c>
      <c r="M45" s="69" t="s">
        <v>725</v>
      </c>
      <c r="N45" s="69" t="s">
        <v>52</v>
      </c>
      <c r="O45" s="8" t="s">
        <v>58</v>
      </c>
      <c r="P45" s="70">
        <v>42769.631249999999</v>
      </c>
      <c r="Q45" s="70">
        <v>42769.659722222219</v>
      </c>
      <c r="R45" s="19" t="str">
        <f>IF(A45="WEB","Integration_CallMe User",IFERROR(VLOOKUP(J45,MAP!$C:$D,2,0),"-"))</f>
        <v>Jesse Prates Martins</v>
      </c>
      <c r="S45" s="19" t="str">
        <f>IFERROR(VLOOKUP(K45,MAP!$C:$D,2,0),"-")</f>
        <v>Rosangela Cosmo De Souza</v>
      </c>
      <c r="T45" s="4">
        <f t="shared" ca="1" si="4"/>
        <v>689.36875000000146</v>
      </c>
      <c r="U45" s="4">
        <f t="shared" ca="1" si="5"/>
        <v>689.34027777778101</v>
      </c>
      <c r="V45" s="7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5" s="7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5" s="4" t="str">
        <f>IFERROR(VLOOKUP(N45,MAP!$H:$I,2,0),"-")</f>
        <v>IPG</v>
      </c>
      <c r="Y45" s="4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  <row r="46" spans="1:25" x14ac:dyDescent="0.3">
      <c r="A46" s="4" t="str">
        <f>IF(BACKLOG_BASE[[#This Row],[Origem do caso]]="","",IF(BACKLOG_BASE[[#This Row],[Origem do caso]]&lt;&gt;"Telefone","WEB","Telefone"))</f>
        <v>Telefone</v>
      </c>
      <c r="B46" s="69" t="s">
        <v>57</v>
      </c>
      <c r="C46" s="69" t="s">
        <v>996</v>
      </c>
      <c r="D46" s="69" t="s">
        <v>997</v>
      </c>
      <c r="E46" s="69" t="s">
        <v>998</v>
      </c>
      <c r="F46" s="69" t="s">
        <v>999</v>
      </c>
      <c r="G46" s="69" t="s">
        <v>1000</v>
      </c>
      <c r="H46" s="69" t="s">
        <v>3</v>
      </c>
      <c r="I46" s="69" t="s">
        <v>1001</v>
      </c>
      <c r="J46" s="69" t="s">
        <v>822</v>
      </c>
      <c r="K46" s="69" t="s">
        <v>809</v>
      </c>
      <c r="L46" s="69" t="s">
        <v>821</v>
      </c>
      <c r="M46" s="69" t="s">
        <v>785</v>
      </c>
      <c r="N46" s="69" t="s">
        <v>55</v>
      </c>
      <c r="O46" s="8" t="s">
        <v>59</v>
      </c>
      <c r="P46" s="70">
        <v>42769.661111111112</v>
      </c>
      <c r="Q46" s="70">
        <v>42769.705555555556</v>
      </c>
      <c r="R46" s="19" t="str">
        <f>IF(A46="WEB","Integration_CallMe User",IFERROR(VLOOKUP(J46,MAP!$C:$D,2,0),"-"))</f>
        <v>Wendrey Schumaher Lara</v>
      </c>
      <c r="S46" s="19" t="str">
        <f>IFERROR(VLOOKUP(K46,MAP!$C:$D,2,0),"-")</f>
        <v>Ivanildo Cavalcante De Souza Junior</v>
      </c>
      <c r="T46" s="4">
        <f t="shared" ca="1" si="4"/>
        <v>689.3388888888876</v>
      </c>
      <c r="U46" s="4">
        <f t="shared" ca="1" si="5"/>
        <v>689.2944444444438</v>
      </c>
      <c r="V46" s="7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6" s="7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6" s="4" t="str">
        <f>IFERROR(VLOOKUP(N46,MAP!$H:$I,2,0),"-")</f>
        <v>IPG</v>
      </c>
      <c r="Y46" s="4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>SEM TRATATIVA</v>
      </c>
    </row>
    <row r="47" spans="1:25" x14ac:dyDescent="0.3">
      <c r="A47" s="4" t="str">
        <f>IF(BACKLOG_BASE[[#This Row],[Origem do caso]]="","",IF(BACKLOG_BASE[[#This Row],[Origem do caso]]&lt;&gt;"Telefone","WEB","Telefone"))</f>
        <v>WEB</v>
      </c>
      <c r="B47" s="69" t="s">
        <v>934</v>
      </c>
      <c r="C47" s="69" t="s">
        <v>935</v>
      </c>
      <c r="D47" s="69" t="s">
        <v>936</v>
      </c>
      <c r="E47" s="69"/>
      <c r="F47" s="69" t="s">
        <v>937</v>
      </c>
      <c r="G47" s="69" t="s">
        <v>938</v>
      </c>
      <c r="H47" s="69" t="s">
        <v>2</v>
      </c>
      <c r="I47" s="69" t="s">
        <v>864</v>
      </c>
      <c r="J47" s="69"/>
      <c r="K47" s="69" t="s">
        <v>822</v>
      </c>
      <c r="L47" s="69" t="s">
        <v>838</v>
      </c>
      <c r="M47" s="69" t="s">
        <v>742</v>
      </c>
      <c r="N47" s="69" t="s">
        <v>52</v>
      </c>
      <c r="O47" s="8" t="s">
        <v>59</v>
      </c>
      <c r="P47" s="70">
        <v>42768.570138888892</v>
      </c>
      <c r="Q47" s="70">
        <v>42768.582638888889</v>
      </c>
      <c r="R47" s="19" t="str">
        <f>IF(A47="WEB","Integration_CallMe User",IFERROR(VLOOKUP(J47,MAP!$C:$D,2,0),"-"))</f>
        <v>Integration_CallMe User</v>
      </c>
      <c r="S47" s="19" t="str">
        <f>IFERROR(VLOOKUP(K47,MAP!$C:$D,2,0),"-")</f>
        <v>Wendrey Schumaher Lara</v>
      </c>
      <c r="T47" s="4">
        <f t="shared" ref="T47" ca="1" si="6">IF(P47="", "-", TODAY() -P47)</f>
        <v>690.42986111110804</v>
      </c>
      <c r="U47" s="4">
        <f t="shared" ref="U47" ca="1" si="7">IF(Q47="", "-", TODAY() -Q47)</f>
        <v>690.41736111111095</v>
      </c>
      <c r="V47" s="7" t="str">
        <f>IFERROR(IFERROR(INDEX(CALLBACK_BASE[],MATCH(BACKLOG_BASE[[#This Row],[Número do caso]]+0,CALLBACK_BASE[Caso: Número do caso],0),MATCH(BACKLOG_BASE[[#Headers],[Nome callback]],CALLBACK_BASE[#Headers],0)),INDEX(CALLBACK_BASE[],MATCH(BACKLOG_BASE[[#This Row],[Número do caso]]&amp;"",CALLBACK_BASE[Caso: Número do caso],0),MATCH(BACKLOG_BASE[[#Headers],[Nome callback]],CALLBACK_BASE[#Headers],0))),"-")</f>
        <v>-</v>
      </c>
      <c r="W47" s="7" t="str">
        <f>IFERROR(IFERROR(INDEX(CALLBACK_BASE[],MATCH(BACKLOG_BASE[[#This Row],[Número do caso]]+0,CALLBACK_BASE[Caso: Número do caso],0),MATCH(BACKLOG_BASE[[#Headers],[Callback Tempo Programado (Agente)]],CALLBACK_BASE[#Headers],0)),INDEX(CALLBACK_BASE[],MATCH(BACKLOG_BASE[[#This Row],[Número do caso]]&amp;"",CALLBACK_BASE[Caso: Número do caso],0),MATCH(BACKLOG_BASE[[#Headers],[Callback Tempo Programado (Agente)]],CALLBACK_BASE[#Headers],0))),"-")</f>
        <v>-</v>
      </c>
      <c r="X47" s="4" t="str">
        <f>IFERROR(VLOOKUP(N47,MAP!$H:$I,2,0),"-")</f>
        <v>IPG</v>
      </c>
      <c r="Y47" s="4" t="str">
        <f>IF(IFERROR(IFERROR(IFERROR(INDEX(CASOS_FUPO[],MATCH(BACKLOG_BASE[Número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ATUAL]],CASOS_FUPO[#Headers],0))),""),"")=0,"SEM TRATATIVA",IFERROR(IFERROR(IFERROR(INDEX(CASOS_FUPO[],MATCH(BACKLOG_BASE[Número do caso]+0,CASOS_FUPO[CASE ID],0),MATCH(BACKLOG_BASE[[#Headers],[STATUS ATUAL]],CASOS_FUPO[#Headers],0)),INDEX(CASOS_FUPO[],MATCH(BACKLOG_BASE[Número do caso]&amp;"",CASOS_FUPO[CASE ID],0),MATCH(BACKLOG_BASE[[#Headers],[STATUS ATUAL]],CASOS_FUPO[#Headers],0))),""),""))</f>
        <v/>
      </c>
    </row>
  </sheetData>
  <protectedRanges>
    <protectedRange sqref="Y1" name="Intervalo1" securityDescriptor="O:WDG:WDD:(A;;CC;;;S-1-5-21-304873397-1514062539-1847029797-63266)"/>
  </protectedRanges>
  <conditionalFormatting sqref="O2:O47">
    <cfRule type="expression" dxfId="93" priority="357">
      <formula>O2=#REF!</formula>
    </cfRule>
    <cfRule type="expression" dxfId="92" priority="358">
      <formula>O2=#REF!</formula>
    </cfRule>
    <cfRule type="expression" dxfId="91" priority="359">
      <formula>O2=#REF!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P7"/>
  <sheetViews>
    <sheetView showGridLines="0" zoomScale="90" zoomScaleNormal="90" workbookViewId="0"/>
  </sheetViews>
  <sheetFormatPr defaultColWidth="20.42578125" defaultRowHeight="15" x14ac:dyDescent="0.3"/>
  <cols>
    <col min="1" max="1" width="26.140625" style="2" bestFit="1" customWidth="1"/>
    <col min="2" max="2" width="31.85546875" style="2" bestFit="1" customWidth="1"/>
    <col min="3" max="3" width="20.140625" style="3" bestFit="1" customWidth="1"/>
    <col min="4" max="4" width="31.140625" style="3" bestFit="1" customWidth="1"/>
    <col min="5" max="5" width="19.28515625" style="2" bestFit="1" customWidth="1"/>
    <col min="6" max="6" width="40.5703125" style="6" bestFit="1" customWidth="1"/>
    <col min="7" max="7" width="31.42578125" style="2" bestFit="1" customWidth="1"/>
    <col min="8" max="8" width="46.140625" style="2" bestFit="1" customWidth="1"/>
    <col min="9" max="9" width="74.7109375" style="2" bestFit="1" customWidth="1"/>
    <col min="10" max="10" width="33.140625" style="2" bestFit="1" customWidth="1"/>
    <col min="11" max="11" width="46.28515625" style="2" bestFit="1" customWidth="1"/>
    <col min="12" max="12" width="50.5703125" style="2" bestFit="1" customWidth="1"/>
    <col min="13" max="13" width="33.85546875" style="2" bestFit="1" customWidth="1"/>
    <col min="14" max="14" width="30.42578125" style="18" bestFit="1" customWidth="1"/>
    <col min="15" max="15" width="47.85546875" style="19" bestFit="1" customWidth="1"/>
    <col min="16" max="16" width="16.7109375" style="20" bestFit="1" customWidth="1"/>
    <col min="17" max="16384" width="20.42578125" style="2"/>
  </cols>
  <sheetData>
    <row r="1" spans="1:16" x14ac:dyDescent="0.3">
      <c r="A1" s="15" t="s">
        <v>39</v>
      </c>
      <c r="B1" s="15" t="s">
        <v>40</v>
      </c>
      <c r="C1" s="15" t="s">
        <v>41</v>
      </c>
      <c r="D1" s="15" t="s">
        <v>33</v>
      </c>
      <c r="E1" s="15" t="s">
        <v>42</v>
      </c>
      <c r="F1" s="15" t="s">
        <v>38</v>
      </c>
      <c r="G1" s="15" t="s">
        <v>43</v>
      </c>
      <c r="H1" s="15" t="s">
        <v>26</v>
      </c>
      <c r="I1" s="15" t="s">
        <v>44</v>
      </c>
      <c r="J1" s="15" t="s">
        <v>45</v>
      </c>
      <c r="K1" s="15" t="s">
        <v>46</v>
      </c>
      <c r="L1" s="15" t="s">
        <v>47</v>
      </c>
      <c r="M1" s="15" t="s">
        <v>48</v>
      </c>
      <c r="N1" s="16" t="s">
        <v>49</v>
      </c>
      <c r="O1" s="16" t="s">
        <v>50</v>
      </c>
      <c r="P1" s="16" t="s">
        <v>51</v>
      </c>
    </row>
    <row r="2" spans="1:16" x14ac:dyDescent="0.3">
      <c r="A2" s="21" t="s">
        <v>1002</v>
      </c>
      <c r="B2" s="21" t="s">
        <v>3</v>
      </c>
      <c r="C2" s="3">
        <v>42768</v>
      </c>
      <c r="D2" s="3">
        <v>42768</v>
      </c>
      <c r="E2" s="21" t="s">
        <v>840</v>
      </c>
      <c r="F2" s="22">
        <v>42769.479166666664</v>
      </c>
      <c r="G2" s="21" t="s">
        <v>841</v>
      </c>
      <c r="H2" s="21" t="s">
        <v>712</v>
      </c>
      <c r="I2" s="21" t="s">
        <v>712</v>
      </c>
      <c r="J2" s="21" t="s">
        <v>821</v>
      </c>
      <c r="K2" s="21" t="s">
        <v>821</v>
      </c>
      <c r="L2" s="21" t="s">
        <v>760</v>
      </c>
      <c r="M2" s="21" t="s">
        <v>55</v>
      </c>
      <c r="N2" s="23" t="str">
        <f>IFERROR(VLOOKUP(CALLBACK_BASE[[#This Row],[Criado por: Agente Número do Funcionário]],tblMAP[[#All],[Login Astro]:[Nome]],2,0),"-")</f>
        <v>Vinicius Marques Ferreira Silva</v>
      </c>
      <c r="O2" s="19" t="str">
        <f>IFERROR(VLOOKUP(CALLBACK_BASE[[#This Row],[Caso: Modificado por último pelo Agente: Agente Número do Funcionário]],tblMAP[[#All],[Login Astro]:[Nome]],2,0),"-")</f>
        <v>Vinicius Marques Ferreira Silva</v>
      </c>
      <c r="P2" s="20" t="str">
        <f>IFERROR(VLOOKUP(CALLBACK_BASE[[#This Row],[Caso: Ativo: Linha de produto]],MAP!$H:$I,2,0),"-")</f>
        <v>IPG</v>
      </c>
    </row>
    <row r="3" spans="1:16" x14ac:dyDescent="0.3">
      <c r="A3" s="21" t="s">
        <v>1002</v>
      </c>
      <c r="B3" s="21" t="s">
        <v>3</v>
      </c>
      <c r="C3" s="3">
        <v>42768</v>
      </c>
      <c r="D3" s="3">
        <v>42768</v>
      </c>
      <c r="E3" s="21" t="s">
        <v>842</v>
      </c>
      <c r="F3" s="22">
        <v>42769.479166666664</v>
      </c>
      <c r="G3" s="21" t="s">
        <v>843</v>
      </c>
      <c r="H3" s="21" t="s">
        <v>712</v>
      </c>
      <c r="I3" s="21" t="s">
        <v>712</v>
      </c>
      <c r="J3" s="21" t="s">
        <v>821</v>
      </c>
      <c r="K3" s="21" t="s">
        <v>821</v>
      </c>
      <c r="L3" s="21" t="s">
        <v>760</v>
      </c>
      <c r="M3" s="21" t="s">
        <v>55</v>
      </c>
      <c r="N3" s="23" t="str">
        <f>IFERROR(VLOOKUP(CALLBACK_BASE[[#This Row],[Criado por: Agente Número do Funcionário]],tblMAP[[#All],[Login Astro]:[Nome]],2,0),"-")</f>
        <v>Vinicius Marques Ferreira Silva</v>
      </c>
      <c r="O3" s="19" t="str">
        <f>IFERROR(VLOOKUP(CALLBACK_BASE[[#This Row],[Caso: Modificado por último pelo Agente: Agente Número do Funcionário]],tblMAP[[#All],[Login Astro]:[Nome]],2,0),"-")</f>
        <v>Vinicius Marques Ferreira Silva</v>
      </c>
      <c r="P3" s="20" t="str">
        <f>IFERROR(VLOOKUP(CALLBACK_BASE[[#This Row],[Caso: Ativo: Linha de produto]],MAP!$H:$I,2,0),"-")</f>
        <v>IPG</v>
      </c>
    </row>
    <row r="4" spans="1:16" x14ac:dyDescent="0.3">
      <c r="A4" s="21" t="s">
        <v>1002</v>
      </c>
      <c r="B4" s="21" t="s">
        <v>3</v>
      </c>
      <c r="C4" s="3">
        <v>42768</v>
      </c>
      <c r="D4" s="3">
        <v>42768</v>
      </c>
      <c r="E4" s="21" t="s">
        <v>844</v>
      </c>
      <c r="F4" s="22">
        <v>42769.5</v>
      </c>
      <c r="G4" s="21" t="s">
        <v>747</v>
      </c>
      <c r="H4" s="21" t="s">
        <v>723</v>
      </c>
      <c r="I4" s="21" t="s">
        <v>723</v>
      </c>
      <c r="J4" s="21" t="s">
        <v>821</v>
      </c>
      <c r="K4" s="21" t="s">
        <v>821</v>
      </c>
      <c r="L4" s="21" t="s">
        <v>742</v>
      </c>
      <c r="M4" s="21" t="s">
        <v>52</v>
      </c>
      <c r="N4" s="23" t="str">
        <f>IFERROR(VLOOKUP(CALLBACK_BASE[[#This Row],[Criado por: Agente Número do Funcionário]],tblMAP[[#All],[Login Astro]:[Nome]],2,0),"-")</f>
        <v>Edilson Nunes De Souza</v>
      </c>
      <c r="O4" s="19" t="str">
        <f>IFERROR(VLOOKUP(CALLBACK_BASE[[#This Row],[Caso: Modificado por último pelo Agente: Agente Número do Funcionário]],tblMAP[[#All],[Login Astro]:[Nome]],2,0),"-")</f>
        <v>Edilson Nunes De Souza</v>
      </c>
      <c r="P4" s="20" t="str">
        <f>IFERROR(VLOOKUP(CALLBACK_BASE[[#This Row],[Caso: Ativo: Linha de produto]],MAP!$H:$I,2,0),"-")</f>
        <v>IPG</v>
      </c>
    </row>
    <row r="5" spans="1:16" x14ac:dyDescent="0.3">
      <c r="A5" s="21" t="s">
        <v>1002</v>
      </c>
      <c r="B5" s="21" t="s">
        <v>3</v>
      </c>
      <c r="C5" s="3">
        <v>42768</v>
      </c>
      <c r="D5" s="3">
        <v>42768</v>
      </c>
      <c r="E5" s="21" t="s">
        <v>846</v>
      </c>
      <c r="F5" s="22">
        <v>42769.5</v>
      </c>
      <c r="G5" s="21" t="s">
        <v>747</v>
      </c>
      <c r="H5" s="21" t="s">
        <v>653</v>
      </c>
      <c r="I5" s="21" t="s">
        <v>653</v>
      </c>
      <c r="J5" s="21" t="s">
        <v>821</v>
      </c>
      <c r="K5" s="21" t="s">
        <v>847</v>
      </c>
      <c r="L5" s="21" t="s">
        <v>831</v>
      </c>
      <c r="M5" s="21" t="s">
        <v>54</v>
      </c>
      <c r="N5" s="23" t="str">
        <f>IFERROR(VLOOKUP(CALLBACK_BASE[[#This Row],[Criado por: Agente Número do Funcionário]],tblMAP[[#All],[Login Astro]:[Nome]],2,0),"-")</f>
        <v>Zaelly Suerfia Ferreira da Costa</v>
      </c>
      <c r="O5" s="19" t="str">
        <f>IFERROR(VLOOKUP(CALLBACK_BASE[[#This Row],[Caso: Modificado por último pelo Agente: Agente Número do Funcionário]],tblMAP[[#All],[Login Astro]:[Nome]],2,0),"-")</f>
        <v>Zaelly Suerfia Ferreira da Costa</v>
      </c>
      <c r="P5" s="20" t="str">
        <f>IFERROR(VLOOKUP(CALLBACK_BASE[[#This Row],[Caso: Ativo: Linha de produto]],MAP!$H:$I,2,0),"-")</f>
        <v>IPG</v>
      </c>
    </row>
    <row r="6" spans="1:16" x14ac:dyDescent="0.3">
      <c r="A6" s="21" t="s">
        <v>1002</v>
      </c>
      <c r="B6" s="21" t="s">
        <v>3</v>
      </c>
      <c r="C6" s="3">
        <v>42768</v>
      </c>
      <c r="D6" s="3">
        <v>42768</v>
      </c>
      <c r="E6" s="21" t="s">
        <v>849</v>
      </c>
      <c r="F6" s="22">
        <v>42769.583333333336</v>
      </c>
      <c r="G6" s="21" t="s">
        <v>850</v>
      </c>
      <c r="H6" s="21" t="s">
        <v>714</v>
      </c>
      <c r="I6" s="21" t="s">
        <v>712</v>
      </c>
      <c r="J6" s="21" t="s">
        <v>821</v>
      </c>
      <c r="K6" s="21" t="s">
        <v>808</v>
      </c>
      <c r="L6" s="21" t="s">
        <v>760</v>
      </c>
      <c r="M6" s="21" t="s">
        <v>55</v>
      </c>
      <c r="N6" s="23" t="str">
        <f>IFERROR(VLOOKUP(CALLBACK_BASE[[#This Row],[Criado por: Agente Número do Funcionário]],tblMAP[[#All],[Login Astro]:[Nome]],2,0),"-")</f>
        <v>Denyse Souza Santos</v>
      </c>
      <c r="O6" s="19" t="str">
        <f>IFERROR(VLOOKUP(CALLBACK_BASE[[#This Row],[Caso: Modificado por último pelo Agente: Agente Número do Funcionário]],tblMAP[[#All],[Login Astro]:[Nome]],2,0),"-")</f>
        <v>Vinicius Marques Ferreira Silva</v>
      </c>
      <c r="P6" s="20" t="str">
        <f>IFERROR(VLOOKUP(CALLBACK_BASE[[#This Row],[Caso: Ativo: Linha de produto]],MAP!$H:$I,2,0),"-")</f>
        <v>IPG</v>
      </c>
    </row>
    <row r="7" spans="1:16" x14ac:dyDescent="0.3">
      <c r="A7" s="21" t="s">
        <v>1002</v>
      </c>
      <c r="B7" s="21" t="s">
        <v>3</v>
      </c>
      <c r="C7" s="3">
        <v>42768</v>
      </c>
      <c r="D7" s="3">
        <v>42768</v>
      </c>
      <c r="E7" s="21" t="s">
        <v>852</v>
      </c>
      <c r="F7" s="22">
        <v>42769.583333333336</v>
      </c>
      <c r="G7" s="21" t="s">
        <v>853</v>
      </c>
      <c r="H7" s="21" t="s">
        <v>653</v>
      </c>
      <c r="I7" s="21" t="s">
        <v>653</v>
      </c>
      <c r="J7" s="21" t="s">
        <v>821</v>
      </c>
      <c r="K7" s="21" t="s">
        <v>821</v>
      </c>
      <c r="L7" s="21" t="s">
        <v>760</v>
      </c>
      <c r="M7" s="21" t="s">
        <v>55</v>
      </c>
      <c r="N7" s="23" t="str">
        <f>IFERROR(VLOOKUP(CALLBACK_BASE[[#This Row],[Criado por: Agente Número do Funcionário]],tblMAP[[#All],[Login Astro]:[Nome]],2,0),"-")</f>
        <v>Zaelly Suerfia Ferreira da Costa</v>
      </c>
      <c r="O7" s="19" t="str">
        <f>IFERROR(VLOOKUP(CALLBACK_BASE[[#This Row],[Caso: Modificado por último pelo Agente: Agente Número do Funcionário]],tblMAP[[#All],[Login Astro]:[Nome]],2,0),"-")</f>
        <v>Zaelly Suerfia Ferreira da Costa</v>
      </c>
      <c r="P7" s="20" t="str">
        <f>IFERROR(VLOOKUP(CALLBACK_BASE[[#This Row],[Caso: Ativo: Linha de produto]],MAP!$H:$I,2,0),"-")</f>
        <v>IPG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I289"/>
  <sheetViews>
    <sheetView showGridLines="0" zoomScaleNormal="100" workbookViewId="0"/>
  </sheetViews>
  <sheetFormatPr defaultColWidth="9.28515625" defaultRowHeight="15" x14ac:dyDescent="0.3"/>
  <cols>
    <col min="1" max="1" width="14.28515625" style="28" bestFit="1" customWidth="1"/>
    <col min="2" max="2" width="13.7109375" style="28" bestFit="1" customWidth="1"/>
    <col min="3" max="3" width="16" style="28" bestFit="1" customWidth="1"/>
    <col min="4" max="4" width="37" style="28" bestFit="1" customWidth="1"/>
    <col min="5" max="5" width="30.42578125" style="28" bestFit="1" customWidth="1"/>
    <col min="6" max="6" width="32.28515625" style="28" bestFit="1" customWidth="1"/>
    <col min="7" max="7" width="11.7109375" style="28" bestFit="1" customWidth="1"/>
    <col min="8" max="8" width="8.42578125" style="28" bestFit="1" customWidth="1"/>
    <col min="9" max="9" width="10.28515625" style="28" bestFit="1" customWidth="1"/>
    <col min="10" max="16384" width="9.28515625" style="28"/>
  </cols>
  <sheetData>
    <row r="1" spans="1:9" x14ac:dyDescent="0.3">
      <c r="A1" s="28" t="s">
        <v>656</v>
      </c>
      <c r="B1" s="28" t="s">
        <v>657</v>
      </c>
      <c r="C1" s="28" t="s">
        <v>658</v>
      </c>
      <c r="D1" s="28" t="s">
        <v>659</v>
      </c>
      <c r="E1" s="28" t="s">
        <v>660</v>
      </c>
      <c r="F1" s="28" t="s">
        <v>661</v>
      </c>
      <c r="G1" s="28" t="s">
        <v>24</v>
      </c>
      <c r="H1" s="28" t="s">
        <v>670</v>
      </c>
      <c r="I1" s="28" t="s">
        <v>647</v>
      </c>
    </row>
    <row r="2" spans="1:9" x14ac:dyDescent="0.3">
      <c r="A2" s="28">
        <v>22053</v>
      </c>
      <c r="B2" s="28">
        <v>12408</v>
      </c>
      <c r="C2" s="28" t="s">
        <v>66</v>
      </c>
      <c r="D2" s="28" t="s">
        <v>60</v>
      </c>
      <c r="E2" s="28" t="s">
        <v>61</v>
      </c>
      <c r="F2" s="28" t="s">
        <v>63</v>
      </c>
      <c r="G2" s="28" t="s">
        <v>62</v>
      </c>
      <c r="H2" s="28" t="s">
        <v>671</v>
      </c>
      <c r="I2" s="28" t="s">
        <v>14</v>
      </c>
    </row>
    <row r="3" spans="1:9" x14ac:dyDescent="0.3">
      <c r="A3" s="28">
        <v>22947</v>
      </c>
      <c r="B3" s="28">
        <v>12650</v>
      </c>
      <c r="C3" s="28" t="s">
        <v>68</v>
      </c>
      <c r="D3" s="28" t="s">
        <v>67</v>
      </c>
      <c r="E3" s="28" t="s">
        <v>61</v>
      </c>
      <c r="F3" s="28" t="s">
        <v>63</v>
      </c>
      <c r="G3" s="28" t="s">
        <v>62</v>
      </c>
      <c r="H3" s="28" t="s">
        <v>672</v>
      </c>
      <c r="I3" s="28" t="s">
        <v>14</v>
      </c>
    </row>
    <row r="4" spans="1:9" x14ac:dyDescent="0.3">
      <c r="A4" s="28">
        <v>18716</v>
      </c>
      <c r="B4" s="28">
        <v>12259</v>
      </c>
      <c r="C4" s="28" t="s">
        <v>70</v>
      </c>
      <c r="D4" s="28" t="s">
        <v>69</v>
      </c>
      <c r="E4" s="28" t="s">
        <v>61</v>
      </c>
      <c r="F4" s="28" t="s">
        <v>63</v>
      </c>
      <c r="G4" s="28" t="s">
        <v>62</v>
      </c>
      <c r="H4" s="28">
        <v>83</v>
      </c>
      <c r="I4" s="28" t="s">
        <v>14</v>
      </c>
    </row>
    <row r="5" spans="1:9" x14ac:dyDescent="0.3">
      <c r="A5" s="28">
        <v>23412</v>
      </c>
      <c r="B5" s="28">
        <v>12320</v>
      </c>
      <c r="C5" s="28" t="s">
        <v>72</v>
      </c>
      <c r="D5" s="28" t="s">
        <v>71</v>
      </c>
      <c r="E5" s="28" t="s">
        <v>61</v>
      </c>
      <c r="F5" s="28" t="s">
        <v>63</v>
      </c>
      <c r="G5" s="28" t="s">
        <v>62</v>
      </c>
      <c r="H5" s="28" t="s">
        <v>673</v>
      </c>
      <c r="I5" s="28" t="s">
        <v>14</v>
      </c>
    </row>
    <row r="6" spans="1:9" x14ac:dyDescent="0.3">
      <c r="A6" s="28">
        <v>18202</v>
      </c>
      <c r="B6" s="28">
        <v>12477</v>
      </c>
      <c r="C6" s="28" t="s">
        <v>75</v>
      </c>
      <c r="D6" s="28" t="s">
        <v>73</v>
      </c>
      <c r="E6" s="28" t="s">
        <v>61</v>
      </c>
      <c r="F6" s="28" t="s">
        <v>63</v>
      </c>
      <c r="G6" s="28" t="s">
        <v>74</v>
      </c>
      <c r="H6" s="28" t="s">
        <v>674</v>
      </c>
      <c r="I6" s="28" t="s">
        <v>14</v>
      </c>
    </row>
    <row r="7" spans="1:9" x14ac:dyDescent="0.3">
      <c r="A7" s="28">
        <v>13396</v>
      </c>
      <c r="B7" s="28">
        <v>12480</v>
      </c>
      <c r="C7" s="28" t="s">
        <v>79</v>
      </c>
      <c r="D7" s="28" t="s">
        <v>76</v>
      </c>
      <c r="E7" s="28" t="s">
        <v>77</v>
      </c>
      <c r="F7" s="28" t="s">
        <v>78</v>
      </c>
      <c r="G7" s="28" t="s">
        <v>62</v>
      </c>
      <c r="H7" s="28" t="s">
        <v>55</v>
      </c>
      <c r="I7" s="28" t="s">
        <v>14</v>
      </c>
    </row>
    <row r="8" spans="1:9" x14ac:dyDescent="0.3">
      <c r="A8" s="28">
        <v>23288</v>
      </c>
      <c r="B8" s="28">
        <v>12754</v>
      </c>
      <c r="C8" s="28" t="s">
        <v>81</v>
      </c>
      <c r="D8" s="28" t="s">
        <v>80</v>
      </c>
      <c r="E8" s="31" t="s">
        <v>77</v>
      </c>
      <c r="F8" s="28" t="s">
        <v>78</v>
      </c>
      <c r="G8" s="28" t="s">
        <v>62</v>
      </c>
      <c r="H8" s="28" t="s">
        <v>675</v>
      </c>
      <c r="I8" s="28" t="s">
        <v>14</v>
      </c>
    </row>
    <row r="9" spans="1:9" x14ac:dyDescent="0.3">
      <c r="A9" s="28">
        <v>20732</v>
      </c>
      <c r="B9" s="28">
        <v>12553</v>
      </c>
      <c r="C9" s="28" t="s">
        <v>83</v>
      </c>
      <c r="D9" s="28" t="s">
        <v>82</v>
      </c>
      <c r="E9" s="28" t="s">
        <v>77</v>
      </c>
      <c r="F9" s="28" t="s">
        <v>78</v>
      </c>
      <c r="G9" s="28" t="s">
        <v>242</v>
      </c>
      <c r="H9" s="28" t="s">
        <v>676</v>
      </c>
      <c r="I9" s="28" t="s">
        <v>14</v>
      </c>
    </row>
    <row r="10" spans="1:9" x14ac:dyDescent="0.3">
      <c r="A10" s="28">
        <v>15491</v>
      </c>
      <c r="B10" s="28">
        <v>12430</v>
      </c>
      <c r="C10" s="28" t="s">
        <v>85</v>
      </c>
      <c r="D10" s="28" t="s">
        <v>84</v>
      </c>
      <c r="E10" s="28" t="s">
        <v>77</v>
      </c>
      <c r="F10" s="28" t="s">
        <v>78</v>
      </c>
      <c r="G10" s="28" t="s">
        <v>242</v>
      </c>
      <c r="H10" s="28" t="s">
        <v>52</v>
      </c>
      <c r="I10" s="28" t="s">
        <v>14</v>
      </c>
    </row>
    <row r="11" spans="1:9" x14ac:dyDescent="0.3">
      <c r="A11" s="28">
        <v>12959</v>
      </c>
      <c r="B11" s="28">
        <v>12588</v>
      </c>
      <c r="C11" s="28" t="s">
        <v>87</v>
      </c>
      <c r="D11" s="28" t="s">
        <v>86</v>
      </c>
      <c r="E11" s="28" t="s">
        <v>77</v>
      </c>
      <c r="F11" s="28" t="s">
        <v>78</v>
      </c>
      <c r="G11" s="28" t="s">
        <v>62</v>
      </c>
      <c r="H11" s="28" t="s">
        <v>677</v>
      </c>
      <c r="I11" s="28" t="s">
        <v>14</v>
      </c>
    </row>
    <row r="12" spans="1:9" x14ac:dyDescent="0.3">
      <c r="A12" s="28">
        <v>28283</v>
      </c>
      <c r="B12" s="28">
        <v>12587</v>
      </c>
      <c r="C12" s="28" t="s">
        <v>89</v>
      </c>
      <c r="D12" s="28" t="s">
        <v>88</v>
      </c>
      <c r="E12" s="28" t="s">
        <v>77</v>
      </c>
      <c r="F12" s="28" t="s">
        <v>78</v>
      </c>
      <c r="G12" s="28" t="s">
        <v>62</v>
      </c>
      <c r="H12" s="28" t="s">
        <v>678</v>
      </c>
      <c r="I12" s="28" t="s">
        <v>14</v>
      </c>
    </row>
    <row r="13" spans="1:9" x14ac:dyDescent="0.3">
      <c r="A13" s="28">
        <v>29317</v>
      </c>
      <c r="B13" s="28">
        <v>12338</v>
      </c>
      <c r="C13" s="28" t="s">
        <v>91</v>
      </c>
      <c r="D13" s="28" t="s">
        <v>90</v>
      </c>
      <c r="E13" s="28" t="s">
        <v>77</v>
      </c>
      <c r="F13" s="28" t="s">
        <v>78</v>
      </c>
      <c r="G13" s="28" t="s">
        <v>62</v>
      </c>
      <c r="H13" s="28" t="s">
        <v>54</v>
      </c>
      <c r="I13" s="28" t="s">
        <v>14</v>
      </c>
    </row>
    <row r="14" spans="1:9" x14ac:dyDescent="0.3">
      <c r="A14" s="28">
        <v>30465</v>
      </c>
      <c r="B14" s="28">
        <v>12812</v>
      </c>
      <c r="C14" s="28" t="s">
        <v>93</v>
      </c>
      <c r="D14" s="28" t="s">
        <v>92</v>
      </c>
      <c r="E14" s="28" t="s">
        <v>77</v>
      </c>
      <c r="F14" s="28" t="s">
        <v>78</v>
      </c>
      <c r="G14" s="28" t="s">
        <v>62</v>
      </c>
      <c r="H14" s="28" t="s">
        <v>679</v>
      </c>
      <c r="I14" s="28" t="s">
        <v>14</v>
      </c>
    </row>
    <row r="15" spans="1:9" x14ac:dyDescent="0.3">
      <c r="A15" s="28">
        <v>27124</v>
      </c>
      <c r="B15" s="28">
        <v>12974</v>
      </c>
      <c r="C15" s="28" t="s">
        <v>97</v>
      </c>
      <c r="D15" s="28" t="s">
        <v>96</v>
      </c>
      <c r="E15" s="28" t="s">
        <v>77</v>
      </c>
      <c r="F15" s="28" t="s">
        <v>78</v>
      </c>
      <c r="G15" s="28" t="s">
        <v>62</v>
      </c>
      <c r="H15" s="28" t="s">
        <v>680</v>
      </c>
      <c r="I15" s="28" t="s">
        <v>14</v>
      </c>
    </row>
    <row r="16" spans="1:9" x14ac:dyDescent="0.3">
      <c r="A16" s="28">
        <v>16940</v>
      </c>
      <c r="B16" s="28">
        <v>17059</v>
      </c>
      <c r="C16" s="28" t="s">
        <v>99</v>
      </c>
      <c r="D16" s="28" t="s">
        <v>98</v>
      </c>
      <c r="E16" s="28" t="s">
        <v>77</v>
      </c>
      <c r="F16" s="28" t="s">
        <v>78</v>
      </c>
      <c r="G16" s="28" t="s">
        <v>62</v>
      </c>
      <c r="H16" s="28" t="s">
        <v>681</v>
      </c>
      <c r="I16" s="28" t="s">
        <v>14</v>
      </c>
    </row>
    <row r="17" spans="1:9" x14ac:dyDescent="0.3">
      <c r="A17" s="28">
        <v>27398</v>
      </c>
      <c r="B17" s="28">
        <v>12591</v>
      </c>
      <c r="C17" s="28" t="s">
        <v>95</v>
      </c>
      <c r="D17" s="28" t="s">
        <v>94</v>
      </c>
      <c r="E17" s="28" t="s">
        <v>77</v>
      </c>
      <c r="F17" s="28" t="s">
        <v>78</v>
      </c>
      <c r="G17" s="28" t="s">
        <v>62</v>
      </c>
      <c r="H17" s="28" t="s">
        <v>682</v>
      </c>
      <c r="I17" s="28" t="s">
        <v>15</v>
      </c>
    </row>
    <row r="18" spans="1:9" x14ac:dyDescent="0.3">
      <c r="A18" s="28">
        <v>25803</v>
      </c>
      <c r="B18" s="28">
        <v>12292</v>
      </c>
      <c r="C18" s="28" t="s">
        <v>101</v>
      </c>
      <c r="D18" s="28" t="s">
        <v>100</v>
      </c>
      <c r="E18" s="28" t="s">
        <v>77</v>
      </c>
      <c r="F18" s="28" t="s">
        <v>78</v>
      </c>
      <c r="G18" s="28" t="s">
        <v>62</v>
      </c>
      <c r="H18" s="28" t="s">
        <v>683</v>
      </c>
      <c r="I18" s="28" t="s">
        <v>15</v>
      </c>
    </row>
    <row r="19" spans="1:9" x14ac:dyDescent="0.3">
      <c r="A19" s="28">
        <v>28116</v>
      </c>
      <c r="B19" s="28">
        <v>12665</v>
      </c>
      <c r="C19" s="28" t="s">
        <v>104</v>
      </c>
      <c r="D19" s="28" t="s">
        <v>102</v>
      </c>
      <c r="E19" s="28" t="s">
        <v>61</v>
      </c>
      <c r="F19" s="28" t="s">
        <v>103</v>
      </c>
      <c r="G19" s="28" t="s">
        <v>242</v>
      </c>
      <c r="H19" s="28" t="s">
        <v>53</v>
      </c>
      <c r="I19" s="28" t="s">
        <v>15</v>
      </c>
    </row>
    <row r="20" spans="1:9" x14ac:dyDescent="0.3">
      <c r="A20" s="28">
        <v>30475</v>
      </c>
      <c r="B20" s="28">
        <v>17002</v>
      </c>
      <c r="C20" s="28" t="s">
        <v>106</v>
      </c>
      <c r="D20" s="28" t="s">
        <v>105</v>
      </c>
      <c r="E20" s="28" t="s">
        <v>61</v>
      </c>
      <c r="F20" s="28" t="s">
        <v>103</v>
      </c>
      <c r="G20" s="28" t="s">
        <v>62</v>
      </c>
      <c r="H20" s="28" t="s">
        <v>684</v>
      </c>
      <c r="I20" s="28" t="s">
        <v>15</v>
      </c>
    </row>
    <row r="21" spans="1:9" x14ac:dyDescent="0.3">
      <c r="A21" s="28">
        <v>27197</v>
      </c>
      <c r="B21" s="28">
        <v>12644</v>
      </c>
      <c r="C21" s="28" t="s">
        <v>109</v>
      </c>
      <c r="D21" s="28" t="s">
        <v>108</v>
      </c>
      <c r="E21" s="28" t="s">
        <v>61</v>
      </c>
      <c r="F21" s="28" t="s">
        <v>103</v>
      </c>
      <c r="G21" s="28" t="s">
        <v>62</v>
      </c>
      <c r="H21" s="28" t="s">
        <v>56</v>
      </c>
      <c r="I21" s="28" t="s">
        <v>15</v>
      </c>
    </row>
    <row r="22" spans="1:9" x14ac:dyDescent="0.3">
      <c r="A22" s="28">
        <v>31191</v>
      </c>
      <c r="B22" s="28">
        <v>12012</v>
      </c>
      <c r="C22" s="28" t="s">
        <v>111</v>
      </c>
      <c r="D22" s="28" t="s">
        <v>110</v>
      </c>
      <c r="E22" s="28" t="s">
        <v>61</v>
      </c>
      <c r="F22" s="28" t="s">
        <v>103</v>
      </c>
      <c r="G22" s="28" t="s">
        <v>62</v>
      </c>
      <c r="H22" s="28" t="s">
        <v>685</v>
      </c>
      <c r="I22" s="28" t="s">
        <v>14</v>
      </c>
    </row>
    <row r="23" spans="1:9" x14ac:dyDescent="0.3">
      <c r="A23" s="28">
        <v>22161</v>
      </c>
      <c r="B23" s="28">
        <v>12545</v>
      </c>
      <c r="C23" s="28" t="s">
        <v>113</v>
      </c>
      <c r="D23" s="28" t="s">
        <v>112</v>
      </c>
      <c r="E23" s="28" t="s">
        <v>61</v>
      </c>
      <c r="F23" s="28" t="s">
        <v>103</v>
      </c>
      <c r="G23" s="28" t="s">
        <v>62</v>
      </c>
      <c r="H23" s="28" t="s">
        <v>686</v>
      </c>
      <c r="I23" s="28" t="s">
        <v>14</v>
      </c>
    </row>
    <row r="24" spans="1:9" x14ac:dyDescent="0.3">
      <c r="A24" s="28">
        <v>27230</v>
      </c>
      <c r="B24" s="28">
        <v>12415</v>
      </c>
      <c r="C24" s="28" t="s">
        <v>116</v>
      </c>
      <c r="D24" s="28" t="s">
        <v>114</v>
      </c>
      <c r="E24" s="28" t="s">
        <v>61</v>
      </c>
      <c r="F24" s="28" t="s">
        <v>115</v>
      </c>
      <c r="G24" s="28" t="s">
        <v>62</v>
      </c>
      <c r="H24" s="28" t="s">
        <v>687</v>
      </c>
      <c r="I24" s="28" t="s">
        <v>14</v>
      </c>
    </row>
    <row r="25" spans="1:9" x14ac:dyDescent="0.3">
      <c r="A25" s="28">
        <v>26049</v>
      </c>
      <c r="B25" s="28">
        <v>12406</v>
      </c>
      <c r="C25" s="28" t="s">
        <v>119</v>
      </c>
      <c r="D25" s="28" t="s">
        <v>117</v>
      </c>
      <c r="E25" s="28" t="s">
        <v>61</v>
      </c>
      <c r="F25" s="28" t="s">
        <v>115</v>
      </c>
      <c r="G25" s="28" t="s">
        <v>62</v>
      </c>
      <c r="H25" s="28" t="s">
        <v>688</v>
      </c>
      <c r="I25" s="28" t="s">
        <v>15</v>
      </c>
    </row>
    <row r="26" spans="1:9" x14ac:dyDescent="0.3">
      <c r="A26" s="28">
        <v>30448</v>
      </c>
      <c r="B26" s="28">
        <v>12544</v>
      </c>
      <c r="C26" s="28" t="s">
        <v>126</v>
      </c>
      <c r="D26" s="28" t="s">
        <v>124</v>
      </c>
      <c r="E26" s="28" t="s">
        <v>125</v>
      </c>
      <c r="F26" s="28" t="s">
        <v>121</v>
      </c>
      <c r="G26" s="28" t="s">
        <v>62</v>
      </c>
      <c r="H26" s="28" t="s">
        <v>689</v>
      </c>
      <c r="I26" s="28" t="s">
        <v>15</v>
      </c>
    </row>
    <row r="27" spans="1:9" x14ac:dyDescent="0.3">
      <c r="A27" s="28">
        <v>31392</v>
      </c>
      <c r="B27" s="28">
        <v>12278</v>
      </c>
      <c r="C27" s="28" t="s">
        <v>129</v>
      </c>
      <c r="D27" s="28" t="s">
        <v>127</v>
      </c>
      <c r="E27" s="28" t="s">
        <v>131</v>
      </c>
      <c r="F27" s="28" t="s">
        <v>121</v>
      </c>
      <c r="G27" s="28" t="s">
        <v>62</v>
      </c>
      <c r="H27" s="28" t="s">
        <v>690</v>
      </c>
      <c r="I27" s="28" t="s">
        <v>15</v>
      </c>
    </row>
    <row r="28" spans="1:9" x14ac:dyDescent="0.3">
      <c r="A28" s="28">
        <v>31437</v>
      </c>
      <c r="B28" s="28">
        <v>17105</v>
      </c>
      <c r="C28" s="28" t="s">
        <v>189</v>
      </c>
      <c r="D28" s="28" t="s">
        <v>188</v>
      </c>
      <c r="E28" s="28" t="s">
        <v>118</v>
      </c>
      <c r="F28" s="28" t="s">
        <v>121</v>
      </c>
      <c r="G28" s="28" t="s">
        <v>62</v>
      </c>
      <c r="H28" s="28" t="s">
        <v>691</v>
      </c>
      <c r="I28" s="28" t="s">
        <v>15</v>
      </c>
    </row>
    <row r="29" spans="1:9" x14ac:dyDescent="0.3">
      <c r="A29" s="28">
        <v>30190</v>
      </c>
      <c r="B29" s="28">
        <v>12301</v>
      </c>
      <c r="C29" s="28" t="s">
        <v>132</v>
      </c>
      <c r="D29" s="28" t="s">
        <v>130</v>
      </c>
      <c r="E29" s="28" t="s">
        <v>134</v>
      </c>
      <c r="F29" s="28" t="s">
        <v>121</v>
      </c>
      <c r="G29" s="28" t="s">
        <v>62</v>
      </c>
      <c r="H29" s="28" t="s">
        <v>692</v>
      </c>
      <c r="I29" s="28" t="s">
        <v>15</v>
      </c>
    </row>
    <row r="30" spans="1:9" x14ac:dyDescent="0.3">
      <c r="A30" s="28">
        <v>29866</v>
      </c>
      <c r="B30" s="28">
        <v>12694</v>
      </c>
      <c r="C30" s="28" t="s">
        <v>138</v>
      </c>
      <c r="D30" s="28" t="s">
        <v>137</v>
      </c>
      <c r="E30" s="28" t="s">
        <v>128</v>
      </c>
      <c r="F30" s="28" t="s">
        <v>121</v>
      </c>
      <c r="G30" s="28" t="s">
        <v>62</v>
      </c>
      <c r="H30" s="28" t="s">
        <v>662</v>
      </c>
      <c r="I30" s="28" t="s">
        <v>14</v>
      </c>
    </row>
    <row r="31" spans="1:9" x14ac:dyDescent="0.3">
      <c r="A31" s="28">
        <v>31202</v>
      </c>
      <c r="B31" s="28">
        <v>17162</v>
      </c>
      <c r="C31" s="28" t="s">
        <v>123</v>
      </c>
      <c r="D31" s="28" t="s">
        <v>122</v>
      </c>
      <c r="E31" s="28" t="s">
        <v>134</v>
      </c>
      <c r="F31" s="28" t="s">
        <v>121</v>
      </c>
      <c r="G31" s="28" t="s">
        <v>62</v>
      </c>
      <c r="H31" s="28" t="s">
        <v>693</v>
      </c>
      <c r="I31" s="28" t="s">
        <v>15</v>
      </c>
    </row>
    <row r="32" spans="1:9" x14ac:dyDescent="0.3">
      <c r="A32" s="28">
        <v>31394</v>
      </c>
      <c r="B32" s="28">
        <v>12275</v>
      </c>
      <c r="C32" s="28" t="s">
        <v>140</v>
      </c>
      <c r="D32" s="28" t="s">
        <v>139</v>
      </c>
      <c r="E32" s="28" t="s">
        <v>125</v>
      </c>
      <c r="F32" s="28" t="s">
        <v>14</v>
      </c>
      <c r="G32" s="28" t="s">
        <v>62</v>
      </c>
      <c r="H32" s="28" t="s">
        <v>694</v>
      </c>
      <c r="I32" s="28" t="s">
        <v>15</v>
      </c>
    </row>
    <row r="33" spans="1:9" x14ac:dyDescent="0.3">
      <c r="A33" s="28">
        <v>31056</v>
      </c>
      <c r="B33" s="28">
        <v>17097</v>
      </c>
      <c r="C33" s="28" t="s">
        <v>142</v>
      </c>
      <c r="D33" s="28" t="s">
        <v>141</v>
      </c>
      <c r="E33" s="28" t="s">
        <v>125</v>
      </c>
      <c r="F33" s="28" t="s">
        <v>14</v>
      </c>
      <c r="G33" s="28" t="s">
        <v>62</v>
      </c>
      <c r="H33" s="28" t="s">
        <v>695</v>
      </c>
      <c r="I33" s="28" t="s">
        <v>15</v>
      </c>
    </row>
    <row r="34" spans="1:9" x14ac:dyDescent="0.3">
      <c r="A34" s="28">
        <v>30175</v>
      </c>
      <c r="B34" s="28">
        <v>17047</v>
      </c>
      <c r="C34" s="28" t="s">
        <v>144</v>
      </c>
      <c r="D34" s="28" t="s">
        <v>143</v>
      </c>
      <c r="E34" s="28" t="s">
        <v>125</v>
      </c>
      <c r="F34" s="28" t="s">
        <v>14</v>
      </c>
      <c r="G34" s="28" t="s">
        <v>62</v>
      </c>
      <c r="H34" s="28" t="s">
        <v>696</v>
      </c>
      <c r="I34" s="28" t="s">
        <v>14</v>
      </c>
    </row>
    <row r="35" spans="1:9" x14ac:dyDescent="0.3">
      <c r="A35" s="28">
        <v>31433</v>
      </c>
      <c r="B35" s="28">
        <v>17093</v>
      </c>
      <c r="C35" s="28" t="s">
        <v>146</v>
      </c>
      <c r="D35" s="28" t="s">
        <v>145</v>
      </c>
      <c r="E35" s="28" t="s">
        <v>125</v>
      </c>
      <c r="F35" s="28" t="s">
        <v>14</v>
      </c>
      <c r="G35" s="28" t="s">
        <v>62</v>
      </c>
      <c r="H35" s="28" t="s">
        <v>697</v>
      </c>
      <c r="I35" s="28" t="s">
        <v>14</v>
      </c>
    </row>
    <row r="36" spans="1:9" x14ac:dyDescent="0.3">
      <c r="A36" s="28">
        <v>30609</v>
      </c>
      <c r="B36" s="28">
        <v>12792</v>
      </c>
      <c r="C36" s="28" t="s">
        <v>148</v>
      </c>
      <c r="D36" s="28" t="s">
        <v>147</v>
      </c>
      <c r="E36" s="28" t="s">
        <v>125</v>
      </c>
      <c r="F36" s="28" t="s">
        <v>14</v>
      </c>
      <c r="G36" s="28" t="s">
        <v>62</v>
      </c>
      <c r="H36" s="28" t="s">
        <v>698</v>
      </c>
      <c r="I36" s="28" t="s">
        <v>14</v>
      </c>
    </row>
    <row r="37" spans="1:9" x14ac:dyDescent="0.3">
      <c r="A37" s="28">
        <v>32620</v>
      </c>
      <c r="B37" s="28">
        <v>17183</v>
      </c>
      <c r="C37" s="28" t="s">
        <v>167</v>
      </c>
      <c r="D37" s="28" t="s">
        <v>166</v>
      </c>
      <c r="E37" s="28" t="s">
        <v>125</v>
      </c>
      <c r="F37" s="28" t="s">
        <v>14</v>
      </c>
      <c r="G37" s="28" t="s">
        <v>62</v>
      </c>
      <c r="H37" s="28" t="s">
        <v>699</v>
      </c>
      <c r="I37" s="28" t="s">
        <v>14</v>
      </c>
    </row>
    <row r="38" spans="1:9" x14ac:dyDescent="0.3">
      <c r="A38" s="28">
        <v>32627</v>
      </c>
      <c r="B38" s="28">
        <v>17190</v>
      </c>
      <c r="C38" s="28" t="s">
        <v>209</v>
      </c>
      <c r="D38" s="28" t="s">
        <v>208</v>
      </c>
      <c r="E38" s="28" t="s">
        <v>125</v>
      </c>
      <c r="F38" s="28" t="s">
        <v>14</v>
      </c>
      <c r="G38" s="28" t="s">
        <v>62</v>
      </c>
      <c r="H38" s="28" t="s">
        <v>700</v>
      </c>
      <c r="I38" s="28" t="s">
        <v>14</v>
      </c>
    </row>
    <row r="39" spans="1:9" x14ac:dyDescent="0.3">
      <c r="A39" s="28">
        <v>33993</v>
      </c>
      <c r="B39" s="28">
        <v>17000</v>
      </c>
      <c r="C39" s="28" t="s">
        <v>64</v>
      </c>
      <c r="D39" s="28" t="s">
        <v>667</v>
      </c>
      <c r="E39" s="28" t="s">
        <v>131</v>
      </c>
      <c r="F39" s="28" t="s">
        <v>14</v>
      </c>
      <c r="G39" s="28" t="s">
        <v>668</v>
      </c>
      <c r="H39" s="28" t="s">
        <v>701</v>
      </c>
      <c r="I39" s="28" t="s">
        <v>14</v>
      </c>
    </row>
    <row r="40" spans="1:9" x14ac:dyDescent="0.3">
      <c r="A40" s="28">
        <v>33992</v>
      </c>
      <c r="B40" s="28">
        <v>17001</v>
      </c>
      <c r="C40" s="28" t="s">
        <v>64</v>
      </c>
      <c r="D40" s="28" t="s">
        <v>669</v>
      </c>
      <c r="E40" s="28" t="s">
        <v>131</v>
      </c>
      <c r="F40" s="28" t="s">
        <v>14</v>
      </c>
      <c r="G40" s="28" t="s">
        <v>668</v>
      </c>
      <c r="H40" s="28" t="s">
        <v>702</v>
      </c>
      <c r="I40" s="28" t="s">
        <v>14</v>
      </c>
    </row>
    <row r="41" spans="1:9" x14ac:dyDescent="0.3">
      <c r="A41" s="28">
        <v>29305</v>
      </c>
      <c r="B41" s="28">
        <v>17005</v>
      </c>
      <c r="C41" s="28" t="s">
        <v>151</v>
      </c>
      <c r="D41" s="28" t="s">
        <v>150</v>
      </c>
      <c r="E41" s="28" t="s">
        <v>125</v>
      </c>
      <c r="F41" s="28" t="s">
        <v>14</v>
      </c>
      <c r="G41" s="28" t="s">
        <v>62</v>
      </c>
      <c r="H41" s="28" t="s">
        <v>703</v>
      </c>
      <c r="I41" s="28" t="s">
        <v>15</v>
      </c>
    </row>
    <row r="42" spans="1:9" x14ac:dyDescent="0.3">
      <c r="A42" s="28">
        <v>27525</v>
      </c>
      <c r="B42" s="28">
        <v>17085</v>
      </c>
      <c r="C42" s="28" t="s">
        <v>153</v>
      </c>
      <c r="D42" s="28" t="s">
        <v>152</v>
      </c>
      <c r="E42" s="28" t="s">
        <v>131</v>
      </c>
      <c r="F42" s="28" t="s">
        <v>14</v>
      </c>
      <c r="G42" s="28" t="s">
        <v>62</v>
      </c>
      <c r="H42" s="28" t="s">
        <v>704</v>
      </c>
      <c r="I42" s="28" t="s">
        <v>14</v>
      </c>
    </row>
    <row r="43" spans="1:9" x14ac:dyDescent="0.3">
      <c r="A43" s="28">
        <v>29316</v>
      </c>
      <c r="B43" s="28">
        <v>12402</v>
      </c>
      <c r="C43" s="28" t="s">
        <v>157</v>
      </c>
      <c r="D43" s="28" t="s">
        <v>156</v>
      </c>
      <c r="E43" s="28" t="s">
        <v>131</v>
      </c>
      <c r="F43" s="28" t="s">
        <v>14</v>
      </c>
      <c r="G43" s="28" t="s">
        <v>62</v>
      </c>
      <c r="H43" s="28" t="s">
        <v>705</v>
      </c>
      <c r="I43" s="28" t="s">
        <v>14</v>
      </c>
    </row>
    <row r="44" spans="1:9" x14ac:dyDescent="0.3">
      <c r="A44" s="28">
        <v>29196</v>
      </c>
      <c r="B44" s="28">
        <v>17057</v>
      </c>
      <c r="C44" s="28" t="s">
        <v>159</v>
      </c>
      <c r="D44" s="28" t="s">
        <v>158</v>
      </c>
      <c r="E44" s="28" t="s">
        <v>125</v>
      </c>
      <c r="F44" s="28" t="s">
        <v>14</v>
      </c>
      <c r="G44" s="28" t="s">
        <v>62</v>
      </c>
      <c r="H44" s="28" t="s">
        <v>706</v>
      </c>
      <c r="I44" s="28" t="s">
        <v>15</v>
      </c>
    </row>
    <row r="45" spans="1:9" x14ac:dyDescent="0.3">
      <c r="A45" s="28">
        <v>28071</v>
      </c>
      <c r="B45" s="28">
        <v>17029</v>
      </c>
      <c r="C45" s="28" t="s">
        <v>161</v>
      </c>
      <c r="D45" s="28" t="s">
        <v>160</v>
      </c>
      <c r="E45" s="28" t="s">
        <v>125</v>
      </c>
      <c r="F45" s="28" t="s">
        <v>14</v>
      </c>
      <c r="G45" s="28" t="s">
        <v>62</v>
      </c>
      <c r="H45" s="28" t="s">
        <v>707</v>
      </c>
      <c r="I45" s="28" t="s">
        <v>14</v>
      </c>
    </row>
    <row r="46" spans="1:9" x14ac:dyDescent="0.3">
      <c r="A46" s="28">
        <v>30173</v>
      </c>
      <c r="B46" s="28">
        <v>17037</v>
      </c>
      <c r="C46" s="28" t="s">
        <v>163</v>
      </c>
      <c r="D46" s="28" t="s">
        <v>162</v>
      </c>
      <c r="E46" s="28" t="s">
        <v>125</v>
      </c>
      <c r="F46" s="28" t="s">
        <v>14</v>
      </c>
      <c r="G46" s="28" t="s">
        <v>62</v>
      </c>
      <c r="H46" s="28">
        <v>30</v>
      </c>
      <c r="I46" s="28" t="s">
        <v>14</v>
      </c>
    </row>
    <row r="47" spans="1:9" x14ac:dyDescent="0.3">
      <c r="A47" s="28">
        <v>32623</v>
      </c>
      <c r="B47" s="28">
        <v>17167</v>
      </c>
      <c r="C47" s="28" t="s">
        <v>171</v>
      </c>
      <c r="D47" s="28" t="s">
        <v>170</v>
      </c>
      <c r="E47" s="28" t="s">
        <v>125</v>
      </c>
      <c r="F47" s="28" t="s">
        <v>14</v>
      </c>
      <c r="G47" s="28" t="s">
        <v>62</v>
      </c>
      <c r="H47" s="28" t="s">
        <v>708</v>
      </c>
      <c r="I47" s="28" t="s">
        <v>14</v>
      </c>
    </row>
    <row r="48" spans="1:9" x14ac:dyDescent="0.3">
      <c r="A48" s="28">
        <v>30191</v>
      </c>
      <c r="B48" s="28">
        <v>12666</v>
      </c>
      <c r="C48" s="28" t="s">
        <v>181</v>
      </c>
      <c r="D48" s="28" t="s">
        <v>180</v>
      </c>
      <c r="E48" s="28" t="s">
        <v>125</v>
      </c>
      <c r="F48" s="28" t="s">
        <v>14</v>
      </c>
      <c r="G48" s="28" t="s">
        <v>149</v>
      </c>
      <c r="H48" s="28" t="s">
        <v>709</v>
      </c>
      <c r="I48" s="28" t="s">
        <v>14</v>
      </c>
    </row>
    <row r="49" spans="1:7" x14ac:dyDescent="0.3">
      <c r="A49" s="28">
        <v>24423</v>
      </c>
      <c r="B49" s="28">
        <v>12088</v>
      </c>
      <c r="C49" s="28" t="s">
        <v>173</v>
      </c>
      <c r="D49" s="28" t="s">
        <v>172</v>
      </c>
      <c r="E49" s="28" t="s">
        <v>131</v>
      </c>
      <c r="F49" s="28" t="s">
        <v>14</v>
      </c>
      <c r="G49" s="28" t="s">
        <v>62</v>
      </c>
    </row>
    <row r="50" spans="1:7" x14ac:dyDescent="0.3">
      <c r="A50" s="28">
        <v>28079</v>
      </c>
      <c r="B50" s="28">
        <v>12807</v>
      </c>
      <c r="C50" s="28" t="s">
        <v>165</v>
      </c>
      <c r="D50" s="28" t="s">
        <v>164</v>
      </c>
      <c r="E50" s="28" t="s">
        <v>125</v>
      </c>
      <c r="F50" s="28" t="s">
        <v>14</v>
      </c>
      <c r="G50" s="28" t="s">
        <v>62</v>
      </c>
    </row>
    <row r="51" spans="1:7" x14ac:dyDescent="0.3">
      <c r="A51" s="28">
        <v>26951</v>
      </c>
      <c r="B51" s="28">
        <v>12416</v>
      </c>
      <c r="C51" s="28" t="s">
        <v>169</v>
      </c>
      <c r="D51" s="28" t="s">
        <v>168</v>
      </c>
      <c r="E51" s="28" t="s">
        <v>125</v>
      </c>
      <c r="F51" s="28" t="s">
        <v>14</v>
      </c>
      <c r="G51" s="28" t="s">
        <v>242</v>
      </c>
    </row>
    <row r="52" spans="1:7" x14ac:dyDescent="0.3">
      <c r="A52" s="28">
        <v>31508</v>
      </c>
      <c r="B52" s="28">
        <v>17016</v>
      </c>
      <c r="C52" s="28" t="s">
        <v>179</v>
      </c>
      <c r="D52" s="28" t="s">
        <v>178</v>
      </c>
      <c r="E52" s="28" t="s">
        <v>125</v>
      </c>
      <c r="F52" s="28" t="s">
        <v>14</v>
      </c>
      <c r="G52" s="28" t="s">
        <v>62</v>
      </c>
    </row>
    <row r="53" spans="1:7" x14ac:dyDescent="0.3">
      <c r="A53" s="28">
        <v>20229</v>
      </c>
      <c r="B53" s="28">
        <v>12404</v>
      </c>
      <c r="C53" s="28" t="s">
        <v>175</v>
      </c>
      <c r="D53" s="28" t="s">
        <v>174</v>
      </c>
      <c r="E53" s="28" t="s">
        <v>125</v>
      </c>
      <c r="F53" s="28" t="s">
        <v>14</v>
      </c>
      <c r="G53" s="28" t="s">
        <v>74</v>
      </c>
    </row>
    <row r="54" spans="1:7" x14ac:dyDescent="0.3">
      <c r="A54" s="28">
        <v>15509</v>
      </c>
      <c r="B54" s="28">
        <v>12819</v>
      </c>
      <c r="C54" s="28" t="s">
        <v>177</v>
      </c>
      <c r="D54" s="28" t="s">
        <v>176</v>
      </c>
      <c r="E54" s="28" t="s">
        <v>128</v>
      </c>
      <c r="F54" s="28" t="s">
        <v>14</v>
      </c>
      <c r="G54" s="28" t="s">
        <v>74</v>
      </c>
    </row>
    <row r="55" spans="1:7" x14ac:dyDescent="0.3">
      <c r="A55" s="28">
        <v>28067</v>
      </c>
      <c r="B55" s="28">
        <v>17125</v>
      </c>
      <c r="C55" s="28" t="s">
        <v>183</v>
      </c>
      <c r="D55" s="28" t="s">
        <v>182</v>
      </c>
      <c r="E55" s="28" t="s">
        <v>128</v>
      </c>
      <c r="F55" s="28" t="s">
        <v>14</v>
      </c>
      <c r="G55" s="28" t="s">
        <v>62</v>
      </c>
    </row>
    <row r="56" spans="1:7" x14ac:dyDescent="0.3">
      <c r="A56" s="28">
        <v>31066</v>
      </c>
      <c r="B56" s="28">
        <v>12718</v>
      </c>
      <c r="C56" s="28" t="s">
        <v>155</v>
      </c>
      <c r="D56" s="28" t="s">
        <v>154</v>
      </c>
      <c r="E56" s="28" t="s">
        <v>131</v>
      </c>
      <c r="F56" s="28" t="s">
        <v>14</v>
      </c>
      <c r="G56" s="28" t="s">
        <v>62</v>
      </c>
    </row>
    <row r="57" spans="1:7" x14ac:dyDescent="0.3">
      <c r="A57" s="28">
        <v>30459</v>
      </c>
      <c r="B57" s="28">
        <v>12753</v>
      </c>
      <c r="C57" s="28" t="s">
        <v>135</v>
      </c>
      <c r="D57" s="28" t="s">
        <v>133</v>
      </c>
      <c r="E57" s="28" t="s">
        <v>134</v>
      </c>
      <c r="F57" s="28" t="s">
        <v>14</v>
      </c>
      <c r="G57" s="28" t="s">
        <v>62</v>
      </c>
    </row>
    <row r="58" spans="1:7" x14ac:dyDescent="0.3">
      <c r="A58" s="28">
        <v>30473</v>
      </c>
      <c r="B58" s="28">
        <v>17030</v>
      </c>
      <c r="C58" s="28" t="s">
        <v>185</v>
      </c>
      <c r="D58" s="28" t="s">
        <v>184</v>
      </c>
      <c r="E58" s="28" t="s">
        <v>134</v>
      </c>
      <c r="F58" s="28" t="s">
        <v>14</v>
      </c>
      <c r="G58" s="28" t="s">
        <v>62</v>
      </c>
    </row>
    <row r="59" spans="1:7" x14ac:dyDescent="0.3">
      <c r="A59" s="28">
        <v>28109</v>
      </c>
      <c r="B59" s="28">
        <v>12340</v>
      </c>
      <c r="C59" s="28" t="s">
        <v>187</v>
      </c>
      <c r="D59" s="28" t="s">
        <v>186</v>
      </c>
      <c r="E59" s="28" t="s">
        <v>134</v>
      </c>
      <c r="F59" s="28" t="s">
        <v>14</v>
      </c>
      <c r="G59" s="28" t="s">
        <v>62</v>
      </c>
    </row>
    <row r="60" spans="1:7" x14ac:dyDescent="0.3">
      <c r="A60" s="28">
        <v>31435</v>
      </c>
      <c r="B60" s="28">
        <v>17101</v>
      </c>
      <c r="C60" s="28" t="s">
        <v>191</v>
      </c>
      <c r="D60" s="28" t="s">
        <v>190</v>
      </c>
      <c r="E60" s="28" t="s">
        <v>134</v>
      </c>
      <c r="F60" s="28" t="s">
        <v>14</v>
      </c>
      <c r="G60" s="28" t="s">
        <v>62</v>
      </c>
    </row>
    <row r="61" spans="1:7" x14ac:dyDescent="0.3">
      <c r="A61" s="28">
        <v>29867</v>
      </c>
      <c r="B61" s="28">
        <v>12798</v>
      </c>
      <c r="C61" s="28" t="s">
        <v>193</v>
      </c>
      <c r="D61" s="28" t="s">
        <v>192</v>
      </c>
      <c r="E61" s="28" t="s">
        <v>134</v>
      </c>
      <c r="F61" s="28" t="s">
        <v>14</v>
      </c>
      <c r="G61" s="28" t="s">
        <v>62</v>
      </c>
    </row>
    <row r="62" spans="1:7" x14ac:dyDescent="0.3">
      <c r="A62" s="28">
        <v>29195</v>
      </c>
      <c r="B62" s="28">
        <v>17177</v>
      </c>
      <c r="C62" s="28" t="s">
        <v>195</v>
      </c>
      <c r="D62" s="28" t="s">
        <v>194</v>
      </c>
      <c r="E62" s="28" t="s">
        <v>134</v>
      </c>
      <c r="F62" s="28" t="s">
        <v>14</v>
      </c>
      <c r="G62" s="28" t="s">
        <v>62</v>
      </c>
    </row>
    <row r="63" spans="1:7" x14ac:dyDescent="0.3">
      <c r="A63" s="28">
        <v>29920</v>
      </c>
      <c r="B63" s="28">
        <v>17120</v>
      </c>
      <c r="C63" s="28" t="s">
        <v>197</v>
      </c>
      <c r="D63" s="28" t="s">
        <v>196</v>
      </c>
      <c r="E63" s="28" t="s">
        <v>134</v>
      </c>
      <c r="F63" s="28" t="s">
        <v>14</v>
      </c>
      <c r="G63" s="28" t="s">
        <v>149</v>
      </c>
    </row>
    <row r="64" spans="1:7" x14ac:dyDescent="0.3">
      <c r="A64" s="28">
        <v>24160</v>
      </c>
      <c r="B64" s="28">
        <v>12672</v>
      </c>
      <c r="C64" s="28" t="s">
        <v>199</v>
      </c>
      <c r="D64" s="28" t="s">
        <v>198</v>
      </c>
      <c r="E64" s="28" t="s">
        <v>134</v>
      </c>
      <c r="F64" s="28" t="s">
        <v>14</v>
      </c>
      <c r="G64" s="28" t="s">
        <v>74</v>
      </c>
    </row>
    <row r="65" spans="1:7" x14ac:dyDescent="0.3">
      <c r="A65" s="28">
        <v>31403</v>
      </c>
      <c r="B65" s="28">
        <v>17198</v>
      </c>
      <c r="C65" s="28" t="s">
        <v>203</v>
      </c>
      <c r="D65" s="28" t="s">
        <v>202</v>
      </c>
      <c r="E65" s="28" t="s">
        <v>134</v>
      </c>
      <c r="F65" s="28" t="s">
        <v>14</v>
      </c>
      <c r="G65" s="28" t="s">
        <v>62</v>
      </c>
    </row>
    <row r="66" spans="1:7" x14ac:dyDescent="0.3">
      <c r="A66" s="28">
        <v>31503</v>
      </c>
      <c r="B66" s="28">
        <v>17003</v>
      </c>
      <c r="C66" s="28" t="s">
        <v>205</v>
      </c>
      <c r="D66" s="28" t="s">
        <v>204</v>
      </c>
      <c r="E66" s="28" t="s">
        <v>134</v>
      </c>
      <c r="F66" s="28" t="s">
        <v>14</v>
      </c>
      <c r="G66" s="28" t="s">
        <v>62</v>
      </c>
    </row>
    <row r="67" spans="1:7" x14ac:dyDescent="0.3">
      <c r="A67" s="28">
        <v>31502</v>
      </c>
      <c r="B67" s="28">
        <v>12927</v>
      </c>
      <c r="C67" s="28" t="s">
        <v>207</v>
      </c>
      <c r="D67" s="28" t="s">
        <v>206</v>
      </c>
      <c r="E67" s="28" t="s">
        <v>134</v>
      </c>
      <c r="F67" s="28" t="s">
        <v>14</v>
      </c>
      <c r="G67" s="28" t="s">
        <v>62</v>
      </c>
    </row>
    <row r="68" spans="1:7" x14ac:dyDescent="0.3">
      <c r="A68" s="28">
        <v>31587</v>
      </c>
      <c r="B68" s="28">
        <v>17184</v>
      </c>
      <c r="C68" s="28" t="s">
        <v>211</v>
      </c>
      <c r="D68" s="28" t="s">
        <v>210</v>
      </c>
      <c r="E68" s="28" t="s">
        <v>134</v>
      </c>
      <c r="F68" s="28" t="s">
        <v>14</v>
      </c>
      <c r="G68" s="28" t="s">
        <v>62</v>
      </c>
    </row>
    <row r="69" spans="1:7" x14ac:dyDescent="0.3">
      <c r="A69" s="28">
        <v>22180</v>
      </c>
      <c r="B69" s="28">
        <v>17095</v>
      </c>
      <c r="C69" s="28" t="s">
        <v>213</v>
      </c>
      <c r="D69" s="28" t="s">
        <v>212</v>
      </c>
      <c r="E69" s="28" t="s">
        <v>128</v>
      </c>
      <c r="F69" s="28" t="s">
        <v>14</v>
      </c>
      <c r="G69" s="28" t="s">
        <v>74</v>
      </c>
    </row>
    <row r="70" spans="1:7" x14ac:dyDescent="0.3">
      <c r="A70" s="28">
        <v>31406</v>
      </c>
      <c r="B70" s="28">
        <v>12289</v>
      </c>
      <c r="C70" s="28" t="s">
        <v>201</v>
      </c>
      <c r="D70" s="28" t="s">
        <v>200</v>
      </c>
      <c r="E70" s="28" t="s">
        <v>134</v>
      </c>
      <c r="F70" s="28" t="s">
        <v>14</v>
      </c>
      <c r="G70" s="28" t="s">
        <v>62</v>
      </c>
    </row>
    <row r="71" spans="1:7" x14ac:dyDescent="0.3">
      <c r="A71" s="28">
        <v>31402</v>
      </c>
      <c r="B71" s="28">
        <v>12285</v>
      </c>
      <c r="C71" s="28" t="s">
        <v>215</v>
      </c>
      <c r="D71" s="28" t="s">
        <v>214</v>
      </c>
      <c r="E71" s="28" t="s">
        <v>134</v>
      </c>
      <c r="F71" s="28" t="s">
        <v>14</v>
      </c>
      <c r="G71" s="28" t="s">
        <v>62</v>
      </c>
    </row>
    <row r="72" spans="1:7" x14ac:dyDescent="0.3">
      <c r="A72" s="28">
        <v>31192</v>
      </c>
      <c r="B72" s="28">
        <v>17136</v>
      </c>
      <c r="C72" s="28" t="s">
        <v>217</v>
      </c>
      <c r="D72" s="28" t="s">
        <v>216</v>
      </c>
      <c r="E72" s="28" t="s">
        <v>134</v>
      </c>
      <c r="F72" s="28" t="s">
        <v>14</v>
      </c>
      <c r="G72" s="28" t="s">
        <v>62</v>
      </c>
    </row>
    <row r="73" spans="1:7" x14ac:dyDescent="0.3">
      <c r="A73" s="28">
        <v>30691</v>
      </c>
      <c r="B73" s="28">
        <v>17142</v>
      </c>
      <c r="C73" s="28" t="s">
        <v>219</v>
      </c>
      <c r="D73" s="28" t="s">
        <v>218</v>
      </c>
      <c r="E73" s="28" t="s">
        <v>134</v>
      </c>
      <c r="F73" s="28" t="s">
        <v>14</v>
      </c>
      <c r="G73" s="28" t="s">
        <v>62</v>
      </c>
    </row>
    <row r="74" spans="1:7" x14ac:dyDescent="0.3">
      <c r="A74" s="28">
        <v>24018</v>
      </c>
      <c r="B74" s="28">
        <v>17175</v>
      </c>
      <c r="C74" s="28" t="s">
        <v>221</v>
      </c>
      <c r="D74" s="28" t="s">
        <v>220</v>
      </c>
      <c r="E74" s="28" t="s">
        <v>134</v>
      </c>
      <c r="F74" s="28" t="s">
        <v>14</v>
      </c>
      <c r="G74" s="28" t="s">
        <v>62</v>
      </c>
    </row>
    <row r="75" spans="1:7" x14ac:dyDescent="0.3">
      <c r="A75" s="28">
        <v>22675</v>
      </c>
      <c r="B75" s="28">
        <v>12516</v>
      </c>
      <c r="C75" s="28" t="s">
        <v>223</v>
      </c>
      <c r="D75" s="28" t="s">
        <v>222</v>
      </c>
      <c r="E75" s="28" t="s">
        <v>125</v>
      </c>
      <c r="F75" s="28" t="s">
        <v>5</v>
      </c>
      <c r="G75" s="28" t="s">
        <v>62</v>
      </c>
    </row>
    <row r="76" spans="1:7" x14ac:dyDescent="0.3">
      <c r="A76" s="28">
        <v>19976</v>
      </c>
      <c r="B76" s="28">
        <v>12746</v>
      </c>
      <c r="C76" s="28" t="s">
        <v>225</v>
      </c>
      <c r="D76" s="28" t="s">
        <v>224</v>
      </c>
      <c r="E76" s="28" t="s">
        <v>77</v>
      </c>
      <c r="F76" s="28" t="s">
        <v>5</v>
      </c>
      <c r="G76" s="28" t="s">
        <v>62</v>
      </c>
    </row>
    <row r="77" spans="1:7" x14ac:dyDescent="0.3">
      <c r="A77" s="28">
        <v>23651</v>
      </c>
      <c r="B77" s="28">
        <v>12486</v>
      </c>
      <c r="C77" s="28" t="s">
        <v>227</v>
      </c>
      <c r="D77" s="28" t="s">
        <v>226</v>
      </c>
      <c r="E77" s="28" t="s">
        <v>131</v>
      </c>
      <c r="F77" s="28" t="s">
        <v>5</v>
      </c>
      <c r="G77" s="28" t="s">
        <v>62</v>
      </c>
    </row>
    <row r="78" spans="1:7" x14ac:dyDescent="0.3">
      <c r="A78" s="28">
        <v>21437</v>
      </c>
      <c r="B78" s="28">
        <v>12316</v>
      </c>
      <c r="C78" s="28" t="s">
        <v>229</v>
      </c>
      <c r="D78" s="28" t="s">
        <v>228</v>
      </c>
      <c r="E78" s="28" t="s">
        <v>134</v>
      </c>
      <c r="F78" s="28" t="s">
        <v>5</v>
      </c>
      <c r="G78" s="28" t="s">
        <v>242</v>
      </c>
    </row>
    <row r="79" spans="1:7" x14ac:dyDescent="0.3">
      <c r="A79" s="28">
        <v>17839</v>
      </c>
      <c r="B79" s="28">
        <v>12504</v>
      </c>
      <c r="C79" s="28" t="s">
        <v>231</v>
      </c>
      <c r="D79" s="28" t="s">
        <v>230</v>
      </c>
      <c r="E79" s="28" t="s">
        <v>128</v>
      </c>
      <c r="F79" s="28" t="s">
        <v>5</v>
      </c>
      <c r="G79" s="28" t="s">
        <v>62</v>
      </c>
    </row>
    <row r="80" spans="1:7" x14ac:dyDescent="0.3">
      <c r="A80" s="28">
        <v>14405</v>
      </c>
      <c r="B80" s="28">
        <v>12682</v>
      </c>
      <c r="C80" s="28" t="s">
        <v>234</v>
      </c>
      <c r="D80" s="28" t="s">
        <v>232</v>
      </c>
      <c r="E80" s="28" t="s">
        <v>65</v>
      </c>
      <c r="F80" s="28" t="s">
        <v>233</v>
      </c>
      <c r="G80" s="28" t="s">
        <v>62</v>
      </c>
    </row>
    <row r="81" spans="1:7" x14ac:dyDescent="0.3">
      <c r="A81" s="28">
        <v>22933</v>
      </c>
      <c r="B81" s="28">
        <v>12740</v>
      </c>
      <c r="C81" s="28" t="s">
        <v>236</v>
      </c>
      <c r="D81" s="28" t="s">
        <v>235</v>
      </c>
      <c r="E81" s="28" t="s">
        <v>65</v>
      </c>
      <c r="F81" s="28" t="s">
        <v>233</v>
      </c>
      <c r="G81" s="28" t="s">
        <v>62</v>
      </c>
    </row>
    <row r="82" spans="1:7" x14ac:dyDescent="0.3">
      <c r="A82" s="28">
        <v>12768</v>
      </c>
      <c r="B82" s="28">
        <v>12681</v>
      </c>
      <c r="C82" s="28" t="s">
        <v>238</v>
      </c>
      <c r="D82" s="28" t="s">
        <v>237</v>
      </c>
      <c r="E82" s="28" t="s">
        <v>65</v>
      </c>
      <c r="F82" s="28" t="s">
        <v>233</v>
      </c>
      <c r="G82" s="28" t="s">
        <v>62</v>
      </c>
    </row>
    <row r="83" spans="1:7" x14ac:dyDescent="0.3">
      <c r="A83" s="28">
        <v>11057</v>
      </c>
      <c r="B83" s="28">
        <v>12582</v>
      </c>
      <c r="C83" s="28" t="s">
        <v>240</v>
      </c>
      <c r="D83" s="28" t="s">
        <v>239</v>
      </c>
      <c r="E83" s="28" t="s">
        <v>77</v>
      </c>
      <c r="F83" s="28" t="s">
        <v>233</v>
      </c>
      <c r="G83" s="28" t="s">
        <v>62</v>
      </c>
    </row>
    <row r="84" spans="1:7" x14ac:dyDescent="0.3">
      <c r="A84" s="28">
        <v>25394</v>
      </c>
      <c r="B84" s="28">
        <v>12701</v>
      </c>
      <c r="C84" s="28" t="s">
        <v>243</v>
      </c>
      <c r="D84" s="28" t="s">
        <v>241</v>
      </c>
      <c r="E84" s="28" t="s">
        <v>65</v>
      </c>
      <c r="F84" s="28" t="s">
        <v>233</v>
      </c>
      <c r="G84" s="28" t="s">
        <v>62</v>
      </c>
    </row>
    <row r="85" spans="1:7" x14ac:dyDescent="0.3">
      <c r="A85" s="28">
        <v>14182</v>
      </c>
      <c r="B85" s="28">
        <v>12799</v>
      </c>
      <c r="C85" s="28" t="s">
        <v>245</v>
      </c>
      <c r="D85" s="28" t="s">
        <v>244</v>
      </c>
      <c r="E85" s="28" t="s">
        <v>65</v>
      </c>
      <c r="F85" s="28" t="s">
        <v>233</v>
      </c>
      <c r="G85" s="28" t="s">
        <v>62</v>
      </c>
    </row>
    <row r="86" spans="1:7" x14ac:dyDescent="0.3">
      <c r="A86" s="28">
        <v>10930</v>
      </c>
      <c r="B86" s="28">
        <v>12730</v>
      </c>
      <c r="C86" s="28" t="s">
        <v>247</v>
      </c>
      <c r="D86" s="28" t="s">
        <v>246</v>
      </c>
      <c r="E86" s="28" t="s">
        <v>65</v>
      </c>
      <c r="F86" s="28" t="s">
        <v>233</v>
      </c>
      <c r="G86" s="28" t="s">
        <v>62</v>
      </c>
    </row>
    <row r="87" spans="1:7" x14ac:dyDescent="0.3">
      <c r="A87" s="28">
        <v>17901</v>
      </c>
      <c r="B87" s="28">
        <v>12737</v>
      </c>
      <c r="C87" s="28" t="s">
        <v>249</v>
      </c>
      <c r="D87" s="28" t="s">
        <v>248</v>
      </c>
      <c r="E87" s="28" t="s">
        <v>65</v>
      </c>
      <c r="F87" s="28" t="s">
        <v>233</v>
      </c>
      <c r="G87" s="28" t="s">
        <v>242</v>
      </c>
    </row>
    <row r="88" spans="1:7" x14ac:dyDescent="0.3">
      <c r="A88" s="28">
        <v>11680</v>
      </c>
      <c r="B88" s="28">
        <v>12702</v>
      </c>
      <c r="C88" s="28" t="s">
        <v>251</v>
      </c>
      <c r="D88" s="28" t="s">
        <v>250</v>
      </c>
      <c r="E88" s="28" t="s">
        <v>65</v>
      </c>
      <c r="F88" s="28" t="s">
        <v>233</v>
      </c>
      <c r="G88" s="28" t="s">
        <v>62</v>
      </c>
    </row>
    <row r="89" spans="1:7" x14ac:dyDescent="0.3">
      <c r="A89" s="28">
        <v>15720</v>
      </c>
      <c r="B89" s="28">
        <v>12379</v>
      </c>
      <c r="C89" s="28" t="s">
        <v>255</v>
      </c>
      <c r="D89" s="28" t="s">
        <v>252</v>
      </c>
      <c r="E89" s="28" t="s">
        <v>253</v>
      </c>
      <c r="F89" s="28" t="s">
        <v>254</v>
      </c>
      <c r="G89" s="28" t="s">
        <v>62</v>
      </c>
    </row>
    <row r="90" spans="1:7" x14ac:dyDescent="0.3">
      <c r="A90" s="28">
        <v>27528</v>
      </c>
      <c r="B90" s="28">
        <v>12174</v>
      </c>
      <c r="C90" s="28" t="s">
        <v>257</v>
      </c>
      <c r="D90" s="28" t="s">
        <v>256</v>
      </c>
      <c r="E90" s="28" t="s">
        <v>253</v>
      </c>
      <c r="F90" s="28" t="s">
        <v>254</v>
      </c>
      <c r="G90" s="28" t="s">
        <v>62</v>
      </c>
    </row>
    <row r="91" spans="1:7" x14ac:dyDescent="0.3">
      <c r="A91" s="28">
        <v>13633</v>
      </c>
      <c r="B91" s="28">
        <v>12437</v>
      </c>
      <c r="C91" s="28" t="s">
        <v>259</v>
      </c>
      <c r="D91" s="28" t="s">
        <v>258</v>
      </c>
      <c r="E91" s="28" t="s">
        <v>253</v>
      </c>
      <c r="F91" s="28" t="s">
        <v>254</v>
      </c>
      <c r="G91" s="28" t="s">
        <v>62</v>
      </c>
    </row>
    <row r="92" spans="1:7" x14ac:dyDescent="0.3">
      <c r="A92" s="28">
        <v>27235</v>
      </c>
      <c r="B92" s="28">
        <v>12664</v>
      </c>
      <c r="C92" s="28" t="s">
        <v>261</v>
      </c>
      <c r="D92" s="28" t="s">
        <v>260</v>
      </c>
      <c r="E92" s="28" t="s">
        <v>253</v>
      </c>
      <c r="F92" s="28" t="s">
        <v>254</v>
      </c>
      <c r="G92" s="28" t="s">
        <v>62</v>
      </c>
    </row>
    <row r="93" spans="1:7" x14ac:dyDescent="0.3">
      <c r="A93" s="28">
        <v>17778</v>
      </c>
      <c r="B93" s="28">
        <v>12307</v>
      </c>
      <c r="C93" s="28" t="s">
        <v>265</v>
      </c>
      <c r="D93" s="28" t="s">
        <v>264</v>
      </c>
      <c r="E93" s="28" t="s">
        <v>253</v>
      </c>
      <c r="F93" s="28" t="s">
        <v>254</v>
      </c>
      <c r="G93" s="28" t="s">
        <v>62</v>
      </c>
    </row>
    <row r="94" spans="1:7" x14ac:dyDescent="0.3">
      <c r="A94" s="28">
        <v>27522</v>
      </c>
      <c r="B94" s="28">
        <v>12186</v>
      </c>
      <c r="C94" s="28" t="s">
        <v>267</v>
      </c>
      <c r="D94" s="28" t="s">
        <v>266</v>
      </c>
      <c r="E94" s="28" t="s">
        <v>253</v>
      </c>
      <c r="F94" s="28" t="s">
        <v>254</v>
      </c>
      <c r="G94" s="28" t="s">
        <v>62</v>
      </c>
    </row>
    <row r="95" spans="1:7" x14ac:dyDescent="0.3">
      <c r="A95" s="28">
        <v>14255</v>
      </c>
      <c r="B95" s="28">
        <v>12793</v>
      </c>
      <c r="C95" s="28" t="s">
        <v>263</v>
      </c>
      <c r="D95" s="28" t="s">
        <v>262</v>
      </c>
      <c r="E95" s="28" t="s">
        <v>253</v>
      </c>
      <c r="F95" s="28" t="s">
        <v>254</v>
      </c>
      <c r="G95" s="28" t="s">
        <v>62</v>
      </c>
    </row>
    <row r="96" spans="1:7" x14ac:dyDescent="0.3">
      <c r="A96" s="28">
        <v>30696</v>
      </c>
      <c r="B96" s="28">
        <v>12300</v>
      </c>
      <c r="C96" s="28" t="s">
        <v>277</v>
      </c>
      <c r="D96" s="28" t="s">
        <v>276</v>
      </c>
      <c r="E96" s="28" t="s">
        <v>131</v>
      </c>
      <c r="F96" s="28" t="s">
        <v>15</v>
      </c>
      <c r="G96" s="28" t="s">
        <v>62</v>
      </c>
    </row>
    <row r="97" spans="1:7" x14ac:dyDescent="0.3">
      <c r="A97" s="28">
        <v>26363</v>
      </c>
      <c r="B97" s="28">
        <v>17009</v>
      </c>
      <c r="C97" s="28" t="s">
        <v>269</v>
      </c>
      <c r="D97" s="28" t="s">
        <v>268</v>
      </c>
      <c r="E97" s="28" t="s">
        <v>131</v>
      </c>
      <c r="F97" s="28" t="s">
        <v>15</v>
      </c>
      <c r="G97" s="28" t="s">
        <v>62</v>
      </c>
    </row>
    <row r="98" spans="1:7" x14ac:dyDescent="0.3">
      <c r="A98" s="28">
        <v>31389</v>
      </c>
      <c r="B98" s="28">
        <v>12290</v>
      </c>
      <c r="C98" s="28" t="s">
        <v>271</v>
      </c>
      <c r="D98" s="28" t="s">
        <v>270</v>
      </c>
      <c r="E98" s="28" t="s">
        <v>131</v>
      </c>
      <c r="F98" s="28" t="s">
        <v>15</v>
      </c>
      <c r="G98" s="28" t="s">
        <v>62</v>
      </c>
    </row>
    <row r="99" spans="1:7" x14ac:dyDescent="0.3">
      <c r="A99" s="28">
        <v>31504</v>
      </c>
      <c r="B99" s="28">
        <v>17004</v>
      </c>
      <c r="C99" s="28" t="s">
        <v>285</v>
      </c>
      <c r="D99" s="28" t="s">
        <v>284</v>
      </c>
      <c r="E99" s="28" t="s">
        <v>131</v>
      </c>
      <c r="F99" s="28" t="s">
        <v>15</v>
      </c>
      <c r="G99" s="28" t="s">
        <v>62</v>
      </c>
    </row>
    <row r="100" spans="1:7" x14ac:dyDescent="0.3">
      <c r="A100" s="28">
        <v>22515</v>
      </c>
      <c r="B100" s="28">
        <v>17196</v>
      </c>
      <c r="C100" s="28" t="s">
        <v>287</v>
      </c>
      <c r="D100" s="28" t="s">
        <v>286</v>
      </c>
      <c r="E100" s="28" t="s">
        <v>131</v>
      </c>
      <c r="F100" s="28" t="s">
        <v>15</v>
      </c>
      <c r="G100" s="28" t="s">
        <v>62</v>
      </c>
    </row>
    <row r="101" spans="1:7" x14ac:dyDescent="0.3">
      <c r="A101" s="28">
        <v>31058</v>
      </c>
      <c r="B101" s="28">
        <v>12304</v>
      </c>
      <c r="C101" s="28" t="s">
        <v>273</v>
      </c>
      <c r="D101" s="28" t="s">
        <v>272</v>
      </c>
      <c r="E101" s="28" t="s">
        <v>131</v>
      </c>
      <c r="F101" s="28" t="s">
        <v>15</v>
      </c>
      <c r="G101" s="28" t="s">
        <v>62</v>
      </c>
    </row>
    <row r="102" spans="1:7" x14ac:dyDescent="0.3">
      <c r="A102" s="28">
        <v>29885</v>
      </c>
      <c r="B102" s="28">
        <v>17065</v>
      </c>
      <c r="C102" s="28" t="s">
        <v>275</v>
      </c>
      <c r="D102" s="28" t="s">
        <v>274</v>
      </c>
      <c r="E102" s="28" t="s">
        <v>131</v>
      </c>
      <c r="F102" s="28" t="s">
        <v>15</v>
      </c>
      <c r="G102" s="28" t="s">
        <v>62</v>
      </c>
    </row>
    <row r="103" spans="1:7" x14ac:dyDescent="0.3">
      <c r="A103" s="28">
        <v>32626</v>
      </c>
      <c r="B103" s="28">
        <v>17143</v>
      </c>
      <c r="C103" s="28" t="s">
        <v>279</v>
      </c>
      <c r="D103" s="28" t="s">
        <v>278</v>
      </c>
      <c r="E103" s="28" t="s">
        <v>131</v>
      </c>
      <c r="F103" s="28" t="s">
        <v>15</v>
      </c>
      <c r="G103" s="28" t="s">
        <v>62</v>
      </c>
    </row>
    <row r="104" spans="1:7" x14ac:dyDescent="0.3">
      <c r="A104" s="28">
        <v>31054</v>
      </c>
      <c r="B104" s="28">
        <v>17172</v>
      </c>
      <c r="C104" s="28" t="s">
        <v>281</v>
      </c>
      <c r="D104" s="28" t="s">
        <v>280</v>
      </c>
      <c r="E104" s="28" t="s">
        <v>131</v>
      </c>
      <c r="F104" s="28" t="s">
        <v>15</v>
      </c>
      <c r="G104" s="28" t="s">
        <v>62</v>
      </c>
    </row>
    <row r="105" spans="1:7" x14ac:dyDescent="0.3">
      <c r="A105" s="28">
        <v>30603</v>
      </c>
      <c r="B105" s="28">
        <v>17082</v>
      </c>
      <c r="C105" s="28" t="s">
        <v>283</v>
      </c>
      <c r="D105" s="28" t="s">
        <v>282</v>
      </c>
      <c r="E105" s="28" t="s">
        <v>131</v>
      </c>
      <c r="F105" s="28" t="s">
        <v>15</v>
      </c>
      <c r="G105" s="28" t="s">
        <v>62</v>
      </c>
    </row>
    <row r="106" spans="1:7" x14ac:dyDescent="0.3">
      <c r="A106" s="28">
        <v>30180</v>
      </c>
      <c r="B106" s="28">
        <v>17104</v>
      </c>
      <c r="C106" s="28" t="s">
        <v>291</v>
      </c>
      <c r="D106" s="28" t="s">
        <v>290</v>
      </c>
      <c r="E106" s="28" t="s">
        <v>131</v>
      </c>
      <c r="F106" s="28" t="s">
        <v>15</v>
      </c>
      <c r="G106" s="28" t="s">
        <v>62</v>
      </c>
    </row>
    <row r="107" spans="1:7" x14ac:dyDescent="0.3">
      <c r="A107" s="28">
        <v>29865</v>
      </c>
      <c r="B107" s="28">
        <v>17087</v>
      </c>
      <c r="C107" s="28" t="s">
        <v>295</v>
      </c>
      <c r="D107" s="28" t="s">
        <v>294</v>
      </c>
      <c r="E107" s="28" t="s">
        <v>128</v>
      </c>
      <c r="F107" s="28" t="s">
        <v>15</v>
      </c>
      <c r="G107" s="28" t="s">
        <v>62</v>
      </c>
    </row>
    <row r="108" spans="1:7" x14ac:dyDescent="0.3">
      <c r="A108" s="28">
        <v>30456</v>
      </c>
      <c r="B108" s="28">
        <v>17134</v>
      </c>
      <c r="C108" s="28" t="s">
        <v>289</v>
      </c>
      <c r="D108" s="28" t="s">
        <v>288</v>
      </c>
      <c r="E108" s="28" t="s">
        <v>131</v>
      </c>
      <c r="F108" s="28" t="s">
        <v>15</v>
      </c>
      <c r="G108" s="28" t="s">
        <v>149</v>
      </c>
    </row>
    <row r="109" spans="1:7" x14ac:dyDescent="0.3">
      <c r="A109" s="28">
        <v>26949</v>
      </c>
      <c r="B109" s="28">
        <v>17137</v>
      </c>
      <c r="C109" s="28" t="s">
        <v>293</v>
      </c>
      <c r="D109" s="28" t="s">
        <v>292</v>
      </c>
      <c r="E109" s="28" t="s">
        <v>128</v>
      </c>
      <c r="F109" s="28" t="s">
        <v>15</v>
      </c>
      <c r="G109" s="28" t="s">
        <v>62</v>
      </c>
    </row>
    <row r="110" spans="1:7" x14ac:dyDescent="0.3">
      <c r="A110" s="28">
        <v>28885</v>
      </c>
      <c r="B110" s="28">
        <v>12055</v>
      </c>
      <c r="C110" s="28" t="s">
        <v>297</v>
      </c>
      <c r="D110" s="28" t="s">
        <v>296</v>
      </c>
      <c r="E110" s="28" t="s">
        <v>128</v>
      </c>
      <c r="F110" s="28" t="s">
        <v>15</v>
      </c>
      <c r="G110" s="28" t="s">
        <v>74</v>
      </c>
    </row>
    <row r="111" spans="1:7" x14ac:dyDescent="0.3">
      <c r="A111" s="28">
        <v>31405</v>
      </c>
      <c r="B111" s="28">
        <v>12303</v>
      </c>
      <c r="C111" s="28" t="s">
        <v>301</v>
      </c>
      <c r="D111" s="28" t="s">
        <v>300</v>
      </c>
      <c r="E111" s="28" t="s">
        <v>128</v>
      </c>
      <c r="F111" s="28" t="s">
        <v>15</v>
      </c>
      <c r="G111" s="28" t="s">
        <v>62</v>
      </c>
    </row>
    <row r="112" spans="1:7" x14ac:dyDescent="0.3">
      <c r="A112" s="28">
        <v>31400</v>
      </c>
      <c r="B112" s="28">
        <v>12295</v>
      </c>
      <c r="C112" s="28" t="s">
        <v>299</v>
      </c>
      <c r="D112" s="28" t="s">
        <v>298</v>
      </c>
      <c r="E112" s="28" t="s">
        <v>128</v>
      </c>
      <c r="F112" s="28" t="s">
        <v>15</v>
      </c>
      <c r="G112" s="28" t="s">
        <v>62</v>
      </c>
    </row>
    <row r="113" spans="1:7" x14ac:dyDescent="0.3">
      <c r="A113" s="28">
        <v>31518</v>
      </c>
      <c r="B113" s="28">
        <v>17048</v>
      </c>
      <c r="C113" s="28" t="s">
        <v>303</v>
      </c>
      <c r="D113" s="28" t="s">
        <v>302</v>
      </c>
      <c r="E113" s="28" t="s">
        <v>128</v>
      </c>
      <c r="F113" s="28" t="s">
        <v>15</v>
      </c>
      <c r="G113" s="28" t="s">
        <v>62</v>
      </c>
    </row>
    <row r="114" spans="1:7" x14ac:dyDescent="0.3">
      <c r="A114" s="28">
        <v>32625</v>
      </c>
      <c r="B114" s="28">
        <v>17189</v>
      </c>
      <c r="C114" s="28" t="s">
        <v>305</v>
      </c>
      <c r="D114" s="28" t="s">
        <v>304</v>
      </c>
      <c r="E114" s="28" t="s">
        <v>128</v>
      </c>
      <c r="F114" s="28" t="s">
        <v>15</v>
      </c>
      <c r="G114" s="28" t="s">
        <v>62</v>
      </c>
    </row>
    <row r="115" spans="1:7" x14ac:dyDescent="0.3">
      <c r="A115" s="28">
        <v>21689</v>
      </c>
      <c r="B115" s="28">
        <v>12772</v>
      </c>
      <c r="C115" s="28" t="s">
        <v>307</v>
      </c>
      <c r="D115" s="28" t="s">
        <v>306</v>
      </c>
      <c r="E115" s="28" t="s">
        <v>128</v>
      </c>
      <c r="F115" s="28" t="s">
        <v>15</v>
      </c>
      <c r="G115" s="28" t="s">
        <v>74</v>
      </c>
    </row>
    <row r="116" spans="1:7" x14ac:dyDescent="0.3">
      <c r="A116" s="28">
        <v>22384</v>
      </c>
      <c r="B116" s="28">
        <v>17141</v>
      </c>
      <c r="C116" s="28" t="s">
        <v>309</v>
      </c>
      <c r="D116" s="28" t="s">
        <v>308</v>
      </c>
      <c r="E116" s="28" t="s">
        <v>128</v>
      </c>
      <c r="F116" s="28" t="s">
        <v>15</v>
      </c>
      <c r="G116" s="28" t="s">
        <v>62</v>
      </c>
    </row>
    <row r="117" spans="1:7" x14ac:dyDescent="0.3">
      <c r="A117" s="28">
        <v>32628</v>
      </c>
      <c r="B117" s="28">
        <v>17193</v>
      </c>
      <c r="C117" s="28" t="s">
        <v>311</v>
      </c>
      <c r="D117" s="28" t="s">
        <v>310</v>
      </c>
      <c r="E117" s="28" t="s">
        <v>128</v>
      </c>
      <c r="F117" s="28" t="s">
        <v>15</v>
      </c>
      <c r="G117" s="28" t="s">
        <v>62</v>
      </c>
    </row>
    <row r="118" spans="1:7" x14ac:dyDescent="0.3">
      <c r="A118" s="28">
        <v>31436</v>
      </c>
      <c r="B118" s="28">
        <v>17102</v>
      </c>
      <c r="C118" s="28" t="s">
        <v>315</v>
      </c>
      <c r="D118" s="28" t="s">
        <v>314</v>
      </c>
      <c r="E118" s="28" t="s">
        <v>128</v>
      </c>
      <c r="F118" s="28" t="s">
        <v>15</v>
      </c>
      <c r="G118" s="28" t="s">
        <v>62</v>
      </c>
    </row>
    <row r="119" spans="1:7" x14ac:dyDescent="0.3">
      <c r="A119" s="28">
        <v>30185</v>
      </c>
      <c r="B119" s="28">
        <v>12521</v>
      </c>
      <c r="C119" s="28" t="s">
        <v>317</v>
      </c>
      <c r="D119" s="28" t="s">
        <v>316</v>
      </c>
      <c r="E119" s="28" t="s">
        <v>128</v>
      </c>
      <c r="F119" s="28" t="s">
        <v>15</v>
      </c>
      <c r="G119" s="28" t="s">
        <v>242</v>
      </c>
    </row>
    <row r="120" spans="1:7" x14ac:dyDescent="0.3">
      <c r="A120" s="28">
        <v>9780</v>
      </c>
      <c r="B120" s="28">
        <v>12645</v>
      </c>
      <c r="C120" s="28" t="s">
        <v>313</v>
      </c>
      <c r="D120" s="28" t="s">
        <v>312</v>
      </c>
      <c r="E120" s="28" t="s">
        <v>128</v>
      </c>
      <c r="F120" s="28" t="s">
        <v>15</v>
      </c>
      <c r="G120" s="28" t="s">
        <v>74</v>
      </c>
    </row>
    <row r="121" spans="1:7" x14ac:dyDescent="0.3">
      <c r="A121" s="28">
        <v>10683</v>
      </c>
      <c r="B121" s="28" t="s">
        <v>64</v>
      </c>
      <c r="C121" s="28" t="s">
        <v>64</v>
      </c>
      <c r="D121" s="28" t="s">
        <v>318</v>
      </c>
      <c r="E121" s="28" t="s">
        <v>118</v>
      </c>
      <c r="F121" s="28" t="s">
        <v>319</v>
      </c>
      <c r="G121" s="28" t="s">
        <v>74</v>
      </c>
    </row>
    <row r="122" spans="1:7" x14ac:dyDescent="0.3">
      <c r="A122" s="28">
        <v>19903</v>
      </c>
      <c r="B122" s="28">
        <v>12866</v>
      </c>
      <c r="C122" s="28" t="s">
        <v>322</v>
      </c>
      <c r="D122" s="28" t="s">
        <v>320</v>
      </c>
      <c r="E122" s="28" t="s">
        <v>253</v>
      </c>
      <c r="F122" s="28" t="s">
        <v>321</v>
      </c>
      <c r="G122" s="28" t="s">
        <v>62</v>
      </c>
    </row>
    <row r="123" spans="1:7" x14ac:dyDescent="0.3">
      <c r="A123" s="28">
        <v>17315</v>
      </c>
      <c r="B123" s="28">
        <v>12185</v>
      </c>
      <c r="C123" s="28" t="s">
        <v>324</v>
      </c>
      <c r="D123" s="28" t="s">
        <v>323</v>
      </c>
      <c r="E123" s="28" t="s">
        <v>253</v>
      </c>
      <c r="F123" s="28" t="s">
        <v>321</v>
      </c>
      <c r="G123" s="28" t="s">
        <v>62</v>
      </c>
    </row>
    <row r="124" spans="1:7" x14ac:dyDescent="0.3">
      <c r="A124" s="28">
        <v>18572</v>
      </c>
      <c r="B124" s="28">
        <v>12809</v>
      </c>
      <c r="C124" s="28" t="s">
        <v>326</v>
      </c>
      <c r="D124" s="28" t="s">
        <v>325</v>
      </c>
      <c r="E124" s="28" t="s">
        <v>253</v>
      </c>
      <c r="F124" s="28" t="s">
        <v>321</v>
      </c>
      <c r="G124" s="28" t="s">
        <v>62</v>
      </c>
    </row>
    <row r="125" spans="1:7" x14ac:dyDescent="0.3">
      <c r="A125" s="28">
        <v>16545</v>
      </c>
      <c r="B125" s="28">
        <v>12577</v>
      </c>
      <c r="C125" s="28" t="s">
        <v>328</v>
      </c>
      <c r="D125" s="28" t="s">
        <v>327</v>
      </c>
      <c r="E125" s="28" t="s">
        <v>253</v>
      </c>
      <c r="F125" s="28" t="s">
        <v>321</v>
      </c>
      <c r="G125" s="28" t="s">
        <v>62</v>
      </c>
    </row>
    <row r="126" spans="1:7" x14ac:dyDescent="0.3">
      <c r="A126" s="28">
        <v>1267</v>
      </c>
      <c r="B126" s="28">
        <v>12191</v>
      </c>
      <c r="C126" s="28" t="s">
        <v>64</v>
      </c>
      <c r="D126" s="28" t="s">
        <v>329</v>
      </c>
      <c r="E126" s="28" t="s">
        <v>253</v>
      </c>
      <c r="F126" s="28" t="s">
        <v>321</v>
      </c>
      <c r="G126" s="28" t="s">
        <v>74</v>
      </c>
    </row>
    <row r="127" spans="1:7" x14ac:dyDescent="0.3">
      <c r="A127" s="28">
        <v>9644</v>
      </c>
      <c r="B127" s="28">
        <v>12579</v>
      </c>
      <c r="C127" s="28" t="s">
        <v>331</v>
      </c>
      <c r="D127" s="28" t="s">
        <v>330</v>
      </c>
      <c r="E127" s="28" t="s">
        <v>77</v>
      </c>
      <c r="F127" s="28" t="s">
        <v>321</v>
      </c>
      <c r="G127" s="28" t="s">
        <v>74</v>
      </c>
    </row>
    <row r="128" spans="1:7" x14ac:dyDescent="0.3">
      <c r="A128" s="28">
        <v>26028</v>
      </c>
      <c r="B128" s="28">
        <v>12536</v>
      </c>
      <c r="C128" s="28" t="s">
        <v>333</v>
      </c>
      <c r="D128" s="28" t="s">
        <v>332</v>
      </c>
      <c r="E128" s="28" t="s">
        <v>253</v>
      </c>
      <c r="F128" s="28" t="s">
        <v>321</v>
      </c>
      <c r="G128" s="28" t="s">
        <v>62</v>
      </c>
    </row>
    <row r="129" spans="1:7" x14ac:dyDescent="0.3">
      <c r="A129" s="28">
        <v>16858</v>
      </c>
      <c r="B129" s="28">
        <v>12557</v>
      </c>
      <c r="C129" s="28" t="s">
        <v>335</v>
      </c>
      <c r="D129" s="28" t="s">
        <v>334</v>
      </c>
      <c r="E129" s="28" t="s">
        <v>253</v>
      </c>
      <c r="F129" s="28" t="s">
        <v>321</v>
      </c>
      <c r="G129" s="28" t="s">
        <v>62</v>
      </c>
    </row>
    <row r="130" spans="1:7" x14ac:dyDescent="0.3">
      <c r="A130" s="28">
        <v>16685</v>
      </c>
      <c r="B130" s="28">
        <v>12208</v>
      </c>
      <c r="C130" s="28" t="s">
        <v>337</v>
      </c>
      <c r="D130" s="28" t="s">
        <v>336</v>
      </c>
      <c r="E130" s="28" t="s">
        <v>77</v>
      </c>
      <c r="F130" s="28" t="s">
        <v>321</v>
      </c>
      <c r="G130" s="28" t="s">
        <v>62</v>
      </c>
    </row>
    <row r="131" spans="1:7" x14ac:dyDescent="0.3">
      <c r="A131" s="28">
        <v>14915</v>
      </c>
      <c r="B131" s="28">
        <v>12358</v>
      </c>
      <c r="C131" s="28" t="s">
        <v>347</v>
      </c>
      <c r="D131" s="28" t="s">
        <v>346</v>
      </c>
      <c r="E131" s="28" t="s">
        <v>77</v>
      </c>
      <c r="F131" s="28" t="s">
        <v>321</v>
      </c>
      <c r="G131" s="28" t="s">
        <v>62</v>
      </c>
    </row>
    <row r="132" spans="1:7" x14ac:dyDescent="0.3">
      <c r="A132" s="28">
        <v>14417</v>
      </c>
      <c r="B132" s="28">
        <v>12161</v>
      </c>
      <c r="C132" s="28" t="s">
        <v>339</v>
      </c>
      <c r="D132" s="28" t="s">
        <v>338</v>
      </c>
      <c r="E132" s="28" t="s">
        <v>253</v>
      </c>
      <c r="F132" s="28" t="s">
        <v>321</v>
      </c>
      <c r="G132" s="28" t="s">
        <v>62</v>
      </c>
    </row>
    <row r="133" spans="1:7" x14ac:dyDescent="0.3">
      <c r="A133" s="28">
        <v>17929</v>
      </c>
      <c r="B133" s="28">
        <v>12179</v>
      </c>
      <c r="C133" s="28" t="s">
        <v>341</v>
      </c>
      <c r="D133" s="28" t="s">
        <v>340</v>
      </c>
      <c r="E133" s="28" t="s">
        <v>77</v>
      </c>
      <c r="F133" s="28" t="s">
        <v>321</v>
      </c>
      <c r="G133" s="28" t="s">
        <v>62</v>
      </c>
    </row>
    <row r="134" spans="1:7" x14ac:dyDescent="0.3">
      <c r="A134" s="28">
        <v>25035</v>
      </c>
      <c r="B134" s="28">
        <v>12660</v>
      </c>
      <c r="C134" s="28" t="s">
        <v>345</v>
      </c>
      <c r="D134" s="28" t="s">
        <v>344</v>
      </c>
      <c r="E134" s="28" t="s">
        <v>253</v>
      </c>
      <c r="F134" s="28" t="s">
        <v>321</v>
      </c>
      <c r="G134" s="28" t="s">
        <v>62</v>
      </c>
    </row>
    <row r="135" spans="1:7" x14ac:dyDescent="0.3">
      <c r="A135" s="28">
        <v>10769</v>
      </c>
      <c r="B135" s="28">
        <v>12308</v>
      </c>
      <c r="C135" s="28" t="s">
        <v>343</v>
      </c>
      <c r="D135" s="28" t="s">
        <v>342</v>
      </c>
      <c r="E135" s="28" t="s">
        <v>253</v>
      </c>
      <c r="F135" s="28" t="s">
        <v>321</v>
      </c>
      <c r="G135" s="28" t="s">
        <v>62</v>
      </c>
    </row>
    <row r="136" spans="1:7" x14ac:dyDescent="0.3">
      <c r="A136" s="28">
        <v>1174</v>
      </c>
      <c r="B136" s="28">
        <v>12067</v>
      </c>
      <c r="C136" s="28" t="s">
        <v>352</v>
      </c>
      <c r="D136" s="28" t="s">
        <v>348</v>
      </c>
      <c r="E136" s="28" t="s">
        <v>349</v>
      </c>
      <c r="F136" s="28" t="s">
        <v>350</v>
      </c>
      <c r="G136" s="28" t="s">
        <v>242</v>
      </c>
    </row>
    <row r="137" spans="1:7" x14ac:dyDescent="0.3">
      <c r="A137" s="28">
        <v>24709</v>
      </c>
      <c r="B137" s="28">
        <v>12473</v>
      </c>
      <c r="C137" s="28" t="s">
        <v>358</v>
      </c>
      <c r="D137" s="28" t="s">
        <v>357</v>
      </c>
      <c r="E137" s="28" t="s">
        <v>349</v>
      </c>
      <c r="F137" s="28" t="s">
        <v>350</v>
      </c>
      <c r="G137" s="28" t="s">
        <v>62</v>
      </c>
    </row>
    <row r="138" spans="1:7" x14ac:dyDescent="0.3">
      <c r="A138" s="28">
        <v>27553</v>
      </c>
      <c r="B138" s="28">
        <v>12680</v>
      </c>
      <c r="C138" s="28" t="s">
        <v>362</v>
      </c>
      <c r="D138" s="28" t="s">
        <v>361</v>
      </c>
      <c r="E138" s="28" t="s">
        <v>349</v>
      </c>
      <c r="F138" s="28" t="s">
        <v>350</v>
      </c>
      <c r="G138" s="28" t="s">
        <v>62</v>
      </c>
    </row>
    <row r="139" spans="1:7" x14ac:dyDescent="0.3">
      <c r="A139" s="28">
        <v>28633</v>
      </c>
      <c r="B139" s="28">
        <v>12479</v>
      </c>
      <c r="C139" s="28" t="s">
        <v>354</v>
      </c>
      <c r="D139" s="28" t="s">
        <v>353</v>
      </c>
      <c r="E139" s="28" t="s">
        <v>349</v>
      </c>
      <c r="F139" s="28" t="s">
        <v>350</v>
      </c>
      <c r="G139" s="28" t="s">
        <v>62</v>
      </c>
    </row>
    <row r="140" spans="1:7" x14ac:dyDescent="0.3">
      <c r="A140" s="28">
        <v>25395</v>
      </c>
      <c r="B140" s="28">
        <v>12513</v>
      </c>
      <c r="C140" s="28" t="s">
        <v>356</v>
      </c>
      <c r="D140" s="28" t="s">
        <v>355</v>
      </c>
      <c r="E140" s="28" t="s">
        <v>349</v>
      </c>
      <c r="F140" s="28" t="s">
        <v>350</v>
      </c>
      <c r="G140" s="28" t="s">
        <v>62</v>
      </c>
    </row>
    <row r="141" spans="1:7" x14ac:dyDescent="0.3">
      <c r="A141" s="28">
        <v>20674</v>
      </c>
      <c r="B141" s="28">
        <v>12566</v>
      </c>
      <c r="C141" s="28" t="s">
        <v>360</v>
      </c>
      <c r="D141" s="28" t="s">
        <v>359</v>
      </c>
      <c r="E141" s="28" t="s">
        <v>349</v>
      </c>
      <c r="F141" s="28" t="s">
        <v>350</v>
      </c>
      <c r="G141" s="28" t="s">
        <v>62</v>
      </c>
    </row>
    <row r="142" spans="1:7" x14ac:dyDescent="0.3">
      <c r="A142" s="28">
        <v>14783</v>
      </c>
      <c r="B142" s="28">
        <v>12573</v>
      </c>
      <c r="C142" s="28" t="s">
        <v>363</v>
      </c>
      <c r="D142" s="28" t="s">
        <v>349</v>
      </c>
      <c r="E142" s="28" t="s">
        <v>351</v>
      </c>
      <c r="F142" s="28" t="s">
        <v>350</v>
      </c>
      <c r="G142" s="28" t="s">
        <v>62</v>
      </c>
    </row>
    <row r="143" spans="1:7" x14ac:dyDescent="0.3">
      <c r="A143" s="28">
        <v>22510</v>
      </c>
      <c r="B143" s="28">
        <v>12538</v>
      </c>
      <c r="C143" s="28" t="s">
        <v>365</v>
      </c>
      <c r="D143" s="28" t="s">
        <v>364</v>
      </c>
      <c r="E143" s="28" t="s">
        <v>349</v>
      </c>
      <c r="F143" s="28" t="s">
        <v>350</v>
      </c>
      <c r="G143" s="28" t="s">
        <v>62</v>
      </c>
    </row>
    <row r="144" spans="1:7" x14ac:dyDescent="0.3">
      <c r="A144" s="28">
        <v>25602</v>
      </c>
      <c r="B144" s="28">
        <v>12766</v>
      </c>
      <c r="C144" s="28" t="s">
        <v>367</v>
      </c>
      <c r="D144" s="28" t="s">
        <v>366</v>
      </c>
      <c r="E144" s="28" t="s">
        <v>349</v>
      </c>
      <c r="F144" s="28" t="s">
        <v>350</v>
      </c>
      <c r="G144" s="28" t="s">
        <v>62</v>
      </c>
    </row>
    <row r="145" spans="1:7" x14ac:dyDescent="0.3">
      <c r="A145" s="28">
        <v>26036</v>
      </c>
      <c r="B145" s="28">
        <v>11438</v>
      </c>
      <c r="C145" s="28" t="s">
        <v>368</v>
      </c>
      <c r="D145" s="28" t="s">
        <v>369</v>
      </c>
      <c r="E145" s="28" t="s">
        <v>370</v>
      </c>
      <c r="F145" s="28" t="s">
        <v>371</v>
      </c>
      <c r="G145" s="28" t="s">
        <v>62</v>
      </c>
    </row>
    <row r="146" spans="1:7" x14ac:dyDescent="0.3">
      <c r="A146" s="28">
        <v>29858</v>
      </c>
      <c r="B146" s="28">
        <v>11530</v>
      </c>
      <c r="C146" s="28" t="s">
        <v>372</v>
      </c>
      <c r="D146" s="28" t="s">
        <v>373</v>
      </c>
      <c r="E146" s="28" t="s">
        <v>370</v>
      </c>
      <c r="F146" s="28" t="s">
        <v>371</v>
      </c>
      <c r="G146" s="28" t="s">
        <v>62</v>
      </c>
    </row>
    <row r="147" spans="1:7" x14ac:dyDescent="0.3">
      <c r="A147" s="28">
        <v>20597</v>
      </c>
      <c r="B147" s="28">
        <v>11430</v>
      </c>
      <c r="C147" s="28" t="s">
        <v>374</v>
      </c>
      <c r="D147" s="28" t="s">
        <v>375</v>
      </c>
      <c r="E147" s="28" t="s">
        <v>370</v>
      </c>
      <c r="F147" s="28" t="s">
        <v>371</v>
      </c>
      <c r="G147" s="28" t="s">
        <v>62</v>
      </c>
    </row>
    <row r="148" spans="1:7" x14ac:dyDescent="0.3">
      <c r="A148" s="28">
        <v>24441</v>
      </c>
      <c r="B148" s="28">
        <v>11433</v>
      </c>
      <c r="C148" s="28" t="s">
        <v>376</v>
      </c>
      <c r="D148" s="28" t="s">
        <v>377</v>
      </c>
      <c r="E148" s="28" t="s">
        <v>370</v>
      </c>
      <c r="F148" s="28" t="s">
        <v>371</v>
      </c>
      <c r="G148" s="28" t="s">
        <v>62</v>
      </c>
    </row>
    <row r="149" spans="1:7" x14ac:dyDescent="0.3">
      <c r="A149" s="28">
        <v>24700</v>
      </c>
      <c r="B149" s="28">
        <v>11303</v>
      </c>
      <c r="C149" s="28" t="s">
        <v>378</v>
      </c>
      <c r="D149" s="28" t="s">
        <v>379</v>
      </c>
      <c r="E149" s="28" t="s">
        <v>370</v>
      </c>
      <c r="F149" s="28" t="s">
        <v>380</v>
      </c>
      <c r="G149" s="28" t="s">
        <v>62</v>
      </c>
    </row>
    <row r="150" spans="1:7" x14ac:dyDescent="0.3">
      <c r="A150" s="28">
        <v>28286</v>
      </c>
      <c r="B150" s="28">
        <v>11330</v>
      </c>
      <c r="C150" s="28" t="s">
        <v>381</v>
      </c>
      <c r="D150" s="28" t="s">
        <v>382</v>
      </c>
      <c r="E150" s="28" t="s">
        <v>370</v>
      </c>
      <c r="F150" s="28" t="s">
        <v>380</v>
      </c>
      <c r="G150" s="28" t="s">
        <v>62</v>
      </c>
    </row>
    <row r="151" spans="1:7" x14ac:dyDescent="0.3">
      <c r="A151" s="28">
        <v>11011</v>
      </c>
      <c r="B151" s="28">
        <v>11305</v>
      </c>
      <c r="C151" s="28" t="s">
        <v>383</v>
      </c>
      <c r="D151" s="28" t="s">
        <v>384</v>
      </c>
      <c r="E151" s="28" t="s">
        <v>370</v>
      </c>
      <c r="F151" s="28" t="s">
        <v>380</v>
      </c>
      <c r="G151" s="28" t="s">
        <v>62</v>
      </c>
    </row>
    <row r="152" spans="1:7" x14ac:dyDescent="0.3">
      <c r="A152" s="28">
        <v>28883</v>
      </c>
      <c r="B152" s="28">
        <v>11339</v>
      </c>
      <c r="C152" s="28" t="s">
        <v>385</v>
      </c>
      <c r="D152" s="28" t="s">
        <v>386</v>
      </c>
      <c r="E152" s="28" t="s">
        <v>370</v>
      </c>
      <c r="F152" s="28" t="s">
        <v>380</v>
      </c>
      <c r="G152" s="28" t="s">
        <v>62</v>
      </c>
    </row>
    <row r="153" spans="1:7" x14ac:dyDescent="0.3">
      <c r="A153" s="28">
        <v>20964</v>
      </c>
      <c r="B153" s="28">
        <v>11350</v>
      </c>
      <c r="C153" s="28" t="s">
        <v>387</v>
      </c>
      <c r="D153" s="28" t="s">
        <v>388</v>
      </c>
      <c r="E153" s="28" t="s">
        <v>370</v>
      </c>
      <c r="F153" s="28" t="s">
        <v>380</v>
      </c>
      <c r="G153" s="28" t="s">
        <v>62</v>
      </c>
    </row>
    <row r="154" spans="1:7" x14ac:dyDescent="0.3">
      <c r="A154" s="28">
        <v>21100</v>
      </c>
      <c r="B154" s="28">
        <v>11329</v>
      </c>
      <c r="C154" s="28" t="s">
        <v>389</v>
      </c>
      <c r="D154" s="28" t="s">
        <v>390</v>
      </c>
      <c r="E154" s="28" t="s">
        <v>370</v>
      </c>
      <c r="F154" s="28" t="s">
        <v>380</v>
      </c>
      <c r="G154" s="28" t="s">
        <v>62</v>
      </c>
    </row>
    <row r="155" spans="1:7" x14ac:dyDescent="0.3">
      <c r="A155" s="28">
        <v>26104</v>
      </c>
      <c r="B155" s="28">
        <v>11521</v>
      </c>
      <c r="C155" s="28" t="s">
        <v>404</v>
      </c>
      <c r="D155" s="28" t="s">
        <v>405</v>
      </c>
      <c r="E155" s="28" t="s">
        <v>370</v>
      </c>
      <c r="F155" s="28" t="s">
        <v>403</v>
      </c>
      <c r="G155" s="28" t="s">
        <v>242</v>
      </c>
    </row>
    <row r="156" spans="1:7" x14ac:dyDescent="0.3">
      <c r="A156" s="28">
        <v>8930</v>
      </c>
      <c r="B156" s="28">
        <v>11663</v>
      </c>
      <c r="C156" s="28" t="s">
        <v>406</v>
      </c>
      <c r="D156" s="28" t="s">
        <v>407</v>
      </c>
      <c r="E156" s="28" t="s">
        <v>370</v>
      </c>
      <c r="F156" s="28" t="s">
        <v>403</v>
      </c>
      <c r="G156" s="28" t="s">
        <v>62</v>
      </c>
    </row>
    <row r="157" spans="1:7" x14ac:dyDescent="0.3">
      <c r="A157" s="28">
        <v>25814</v>
      </c>
      <c r="B157" s="28">
        <v>11310</v>
      </c>
      <c r="C157" s="28" t="s">
        <v>391</v>
      </c>
      <c r="D157" s="28" t="s">
        <v>392</v>
      </c>
      <c r="E157" s="28" t="s">
        <v>370</v>
      </c>
      <c r="F157" s="28" t="s">
        <v>393</v>
      </c>
      <c r="G157" s="28" t="s">
        <v>62</v>
      </c>
    </row>
    <row r="158" spans="1:7" x14ac:dyDescent="0.3">
      <c r="A158" s="28">
        <v>9266</v>
      </c>
      <c r="B158" s="28">
        <v>11489</v>
      </c>
      <c r="C158" s="28" t="s">
        <v>394</v>
      </c>
      <c r="D158" s="28" t="s">
        <v>395</v>
      </c>
      <c r="E158" s="28" t="s">
        <v>370</v>
      </c>
      <c r="F158" s="28" t="s">
        <v>393</v>
      </c>
      <c r="G158" s="28" t="s">
        <v>62</v>
      </c>
    </row>
    <row r="159" spans="1:7" x14ac:dyDescent="0.3">
      <c r="A159" s="28">
        <v>17848</v>
      </c>
      <c r="B159" s="28">
        <v>11481</v>
      </c>
      <c r="C159" s="28" t="s">
        <v>396</v>
      </c>
      <c r="D159" s="28" t="s">
        <v>397</v>
      </c>
      <c r="E159" s="28" t="s">
        <v>370</v>
      </c>
      <c r="F159" s="28" t="s">
        <v>393</v>
      </c>
      <c r="G159" s="28" t="s">
        <v>62</v>
      </c>
    </row>
    <row r="160" spans="1:7" x14ac:dyDescent="0.3">
      <c r="A160" s="28">
        <v>14465</v>
      </c>
      <c r="B160" s="28">
        <v>11698</v>
      </c>
      <c r="C160" s="28" t="s">
        <v>398</v>
      </c>
      <c r="D160" s="28" t="s">
        <v>399</v>
      </c>
      <c r="E160" s="28" t="s">
        <v>370</v>
      </c>
      <c r="F160" s="28" t="s">
        <v>393</v>
      </c>
      <c r="G160" s="28" t="s">
        <v>62</v>
      </c>
    </row>
    <row r="161" spans="1:7" x14ac:dyDescent="0.3">
      <c r="A161" s="28">
        <v>16339</v>
      </c>
      <c r="B161" s="28">
        <v>11540</v>
      </c>
      <c r="C161" s="28" t="s">
        <v>400</v>
      </c>
      <c r="D161" s="28" t="s">
        <v>401</v>
      </c>
      <c r="E161" s="28" t="s">
        <v>370</v>
      </c>
      <c r="F161" s="28" t="s">
        <v>393</v>
      </c>
      <c r="G161" s="28" t="s">
        <v>62</v>
      </c>
    </row>
    <row r="162" spans="1:7" x14ac:dyDescent="0.3">
      <c r="A162" s="28">
        <v>15842</v>
      </c>
      <c r="B162" s="28">
        <v>11395</v>
      </c>
      <c r="C162" s="28" t="s">
        <v>495</v>
      </c>
      <c r="D162" s="28" t="s">
        <v>496</v>
      </c>
      <c r="E162" s="28" t="s">
        <v>402</v>
      </c>
      <c r="F162" s="28" t="s">
        <v>497</v>
      </c>
      <c r="G162" s="28" t="s">
        <v>62</v>
      </c>
    </row>
    <row r="163" spans="1:7" x14ac:dyDescent="0.3">
      <c r="A163" s="28">
        <v>18740</v>
      </c>
      <c r="B163" s="28">
        <v>11517</v>
      </c>
      <c r="C163" s="28" t="s">
        <v>498</v>
      </c>
      <c r="D163" s="28" t="s">
        <v>499</v>
      </c>
      <c r="E163" s="28" t="s">
        <v>402</v>
      </c>
      <c r="F163" s="28" t="s">
        <v>497</v>
      </c>
      <c r="G163" s="28" t="s">
        <v>62</v>
      </c>
    </row>
    <row r="164" spans="1:7" x14ac:dyDescent="0.3">
      <c r="A164" s="28">
        <v>23698</v>
      </c>
      <c r="B164" s="28">
        <v>11382</v>
      </c>
      <c r="C164" s="28" t="s">
        <v>500</v>
      </c>
      <c r="D164" s="28" t="s">
        <v>501</v>
      </c>
      <c r="E164" s="28" t="s">
        <v>402</v>
      </c>
      <c r="F164" s="28" t="s">
        <v>497</v>
      </c>
      <c r="G164" s="28" t="s">
        <v>62</v>
      </c>
    </row>
    <row r="165" spans="1:7" x14ac:dyDescent="0.3">
      <c r="A165" s="28">
        <v>25016</v>
      </c>
      <c r="B165" s="28">
        <v>11429</v>
      </c>
      <c r="C165" s="28" t="s">
        <v>502</v>
      </c>
      <c r="D165" s="28" t="s">
        <v>503</v>
      </c>
      <c r="E165" s="28" t="s">
        <v>402</v>
      </c>
      <c r="F165" s="28" t="s">
        <v>497</v>
      </c>
      <c r="G165" s="28" t="s">
        <v>62</v>
      </c>
    </row>
    <row r="166" spans="1:7" x14ac:dyDescent="0.3">
      <c r="A166" s="28">
        <v>20959</v>
      </c>
      <c r="B166" s="28">
        <v>11609</v>
      </c>
      <c r="C166" s="28" t="s">
        <v>504</v>
      </c>
      <c r="D166" s="28" t="s">
        <v>505</v>
      </c>
      <c r="E166" s="28" t="s">
        <v>402</v>
      </c>
      <c r="F166" s="28" t="s">
        <v>497</v>
      </c>
      <c r="G166" s="28" t="s">
        <v>242</v>
      </c>
    </row>
    <row r="167" spans="1:7" x14ac:dyDescent="0.3">
      <c r="A167" s="28">
        <v>22673</v>
      </c>
      <c r="B167" s="28">
        <v>11509</v>
      </c>
      <c r="C167" s="28" t="s">
        <v>506</v>
      </c>
      <c r="D167" s="28" t="s">
        <v>507</v>
      </c>
      <c r="E167" s="28" t="s">
        <v>402</v>
      </c>
      <c r="F167" s="28" t="s">
        <v>497</v>
      </c>
      <c r="G167" s="28" t="s">
        <v>62</v>
      </c>
    </row>
    <row r="168" spans="1:7" x14ac:dyDescent="0.3">
      <c r="A168" s="28">
        <v>27248</v>
      </c>
      <c r="B168" s="28">
        <v>11379</v>
      </c>
      <c r="C168" s="28" t="s">
        <v>508</v>
      </c>
      <c r="D168" s="28" t="s">
        <v>509</v>
      </c>
      <c r="E168" s="28" t="s">
        <v>402</v>
      </c>
      <c r="F168" s="28" t="s">
        <v>497</v>
      </c>
      <c r="G168" s="28" t="s">
        <v>62</v>
      </c>
    </row>
    <row r="169" spans="1:7" x14ac:dyDescent="0.3">
      <c r="A169" s="28">
        <v>25775</v>
      </c>
      <c r="B169" s="28">
        <v>11515</v>
      </c>
      <c r="C169" s="28" t="s">
        <v>510</v>
      </c>
      <c r="D169" s="28" t="s">
        <v>511</v>
      </c>
      <c r="E169" s="28" t="s">
        <v>402</v>
      </c>
      <c r="F169" s="28" t="s">
        <v>497</v>
      </c>
      <c r="G169" s="28" t="s">
        <v>62</v>
      </c>
    </row>
    <row r="170" spans="1:7" x14ac:dyDescent="0.3">
      <c r="A170" s="28">
        <v>12553</v>
      </c>
      <c r="B170" s="28">
        <v>11471</v>
      </c>
      <c r="C170" s="28" t="s">
        <v>512</v>
      </c>
      <c r="D170" s="28" t="s">
        <v>513</v>
      </c>
      <c r="E170" s="28" t="s">
        <v>402</v>
      </c>
      <c r="F170" s="28" t="s">
        <v>497</v>
      </c>
      <c r="G170" s="28" t="s">
        <v>62</v>
      </c>
    </row>
    <row r="171" spans="1:7" x14ac:dyDescent="0.3">
      <c r="A171" s="28">
        <v>23924</v>
      </c>
      <c r="B171" s="28">
        <v>11612</v>
      </c>
      <c r="C171" s="28" t="s">
        <v>514</v>
      </c>
      <c r="D171" s="28" t="s">
        <v>515</v>
      </c>
      <c r="E171" s="28" t="s">
        <v>402</v>
      </c>
      <c r="F171" s="28" t="s">
        <v>497</v>
      </c>
      <c r="G171" s="28" t="s">
        <v>62</v>
      </c>
    </row>
    <row r="172" spans="1:7" x14ac:dyDescent="0.3">
      <c r="A172" s="28">
        <v>25274</v>
      </c>
      <c r="B172" s="28">
        <v>11452</v>
      </c>
      <c r="C172" s="28" t="s">
        <v>516</v>
      </c>
      <c r="D172" s="28" t="s">
        <v>517</v>
      </c>
      <c r="E172" s="28" t="s">
        <v>402</v>
      </c>
      <c r="F172" s="28" t="s">
        <v>497</v>
      </c>
      <c r="G172" s="28" t="s">
        <v>62</v>
      </c>
    </row>
    <row r="173" spans="1:7" x14ac:dyDescent="0.3">
      <c r="A173" s="28">
        <v>21113</v>
      </c>
      <c r="B173" s="28">
        <v>11472</v>
      </c>
      <c r="C173" s="28" t="s">
        <v>518</v>
      </c>
      <c r="D173" s="28" t="s">
        <v>519</v>
      </c>
      <c r="E173" s="28" t="s">
        <v>402</v>
      </c>
      <c r="F173" s="28" t="s">
        <v>497</v>
      </c>
      <c r="G173" s="28" t="s">
        <v>62</v>
      </c>
    </row>
    <row r="174" spans="1:7" x14ac:dyDescent="0.3">
      <c r="A174" s="28">
        <v>27551</v>
      </c>
      <c r="B174" s="28">
        <v>11534</v>
      </c>
      <c r="C174" s="28" t="s">
        <v>520</v>
      </c>
      <c r="D174" s="28" t="s">
        <v>521</v>
      </c>
      <c r="E174" s="28" t="s">
        <v>402</v>
      </c>
      <c r="F174" s="28" t="s">
        <v>497</v>
      </c>
      <c r="G174" s="28" t="s">
        <v>62</v>
      </c>
    </row>
    <row r="175" spans="1:7" x14ac:dyDescent="0.3">
      <c r="A175" s="28">
        <v>24148</v>
      </c>
      <c r="B175" s="28">
        <v>11625</v>
      </c>
      <c r="C175" s="28" t="s">
        <v>522</v>
      </c>
      <c r="D175" s="28" t="s">
        <v>523</v>
      </c>
      <c r="E175" s="28" t="s">
        <v>402</v>
      </c>
      <c r="F175" s="28" t="s">
        <v>497</v>
      </c>
      <c r="G175" s="28" t="s">
        <v>242</v>
      </c>
    </row>
    <row r="176" spans="1:7" x14ac:dyDescent="0.3">
      <c r="A176" s="28">
        <v>27236</v>
      </c>
      <c r="B176" s="28">
        <v>11306</v>
      </c>
      <c r="C176" s="28" t="s">
        <v>524</v>
      </c>
      <c r="D176" s="28" t="s">
        <v>525</v>
      </c>
      <c r="E176" s="28" t="s">
        <v>402</v>
      </c>
      <c r="F176" s="28" t="s">
        <v>497</v>
      </c>
      <c r="G176" s="28" t="s">
        <v>62</v>
      </c>
    </row>
    <row r="177" spans="1:7" x14ac:dyDescent="0.3">
      <c r="A177" s="28">
        <v>23359</v>
      </c>
      <c r="B177" s="28">
        <v>11488</v>
      </c>
      <c r="C177" s="28" t="s">
        <v>526</v>
      </c>
      <c r="D177" s="28" t="s">
        <v>527</v>
      </c>
      <c r="E177" s="28" t="s">
        <v>402</v>
      </c>
      <c r="F177" s="28" t="s">
        <v>497</v>
      </c>
      <c r="G177" s="28" t="s">
        <v>62</v>
      </c>
    </row>
    <row r="178" spans="1:7" x14ac:dyDescent="0.3">
      <c r="A178" s="28">
        <v>24592</v>
      </c>
      <c r="B178" s="28">
        <v>11613</v>
      </c>
      <c r="C178" s="28" t="s">
        <v>528</v>
      </c>
      <c r="D178" s="28" t="s">
        <v>529</v>
      </c>
      <c r="E178" s="28" t="s">
        <v>402</v>
      </c>
      <c r="F178" s="28" t="s">
        <v>497</v>
      </c>
      <c r="G178" s="28" t="s">
        <v>62</v>
      </c>
    </row>
    <row r="179" spans="1:7" x14ac:dyDescent="0.3">
      <c r="A179" s="28">
        <v>21486</v>
      </c>
      <c r="B179" s="28">
        <v>11648</v>
      </c>
      <c r="C179" s="28" t="s">
        <v>64</v>
      </c>
      <c r="D179" s="28" t="s">
        <v>422</v>
      </c>
      <c r="E179" s="28" t="s">
        <v>423</v>
      </c>
      <c r="F179" s="28" t="s">
        <v>424</v>
      </c>
      <c r="G179" s="28" t="s">
        <v>62</v>
      </c>
    </row>
    <row r="180" spans="1:7" x14ac:dyDescent="0.3">
      <c r="A180" s="28">
        <v>16336</v>
      </c>
      <c r="B180" s="28">
        <v>11536</v>
      </c>
      <c r="C180" s="28" t="s">
        <v>64</v>
      </c>
      <c r="D180" s="28" t="s">
        <v>425</v>
      </c>
      <c r="E180" s="28" t="s">
        <v>423</v>
      </c>
      <c r="F180" s="28" t="s">
        <v>424</v>
      </c>
      <c r="G180" s="28" t="s">
        <v>62</v>
      </c>
    </row>
    <row r="181" spans="1:7" x14ac:dyDescent="0.3">
      <c r="A181" s="28">
        <v>18580</v>
      </c>
      <c r="B181" s="28">
        <v>11315</v>
      </c>
      <c r="C181" s="28" t="s">
        <v>426</v>
      </c>
      <c r="D181" s="28" t="s">
        <v>427</v>
      </c>
      <c r="E181" s="28" t="s">
        <v>423</v>
      </c>
      <c r="F181" s="28" t="s">
        <v>428</v>
      </c>
      <c r="G181" s="28" t="s">
        <v>62</v>
      </c>
    </row>
    <row r="182" spans="1:7" x14ac:dyDescent="0.3">
      <c r="A182" s="28">
        <v>31634</v>
      </c>
      <c r="B182" s="28">
        <v>11355</v>
      </c>
      <c r="C182" s="28" t="s">
        <v>64</v>
      </c>
      <c r="D182" s="28" t="s">
        <v>429</v>
      </c>
      <c r="E182" s="28" t="s">
        <v>423</v>
      </c>
      <c r="F182" s="28" t="s">
        <v>430</v>
      </c>
      <c r="G182" s="28" t="s">
        <v>62</v>
      </c>
    </row>
    <row r="183" spans="1:7" x14ac:dyDescent="0.3">
      <c r="A183" s="28">
        <v>33441</v>
      </c>
      <c r="B183" s="28">
        <v>11321</v>
      </c>
      <c r="C183" s="28" t="s">
        <v>64</v>
      </c>
      <c r="D183" s="28" t="s">
        <v>431</v>
      </c>
      <c r="E183" s="28" t="s">
        <v>423</v>
      </c>
      <c r="F183" s="28" t="s">
        <v>430</v>
      </c>
      <c r="G183" s="28" t="s">
        <v>107</v>
      </c>
    </row>
    <row r="184" spans="1:7" x14ac:dyDescent="0.3">
      <c r="A184" s="28">
        <v>31281</v>
      </c>
      <c r="B184" s="28">
        <v>11423</v>
      </c>
      <c r="C184" s="28" t="s">
        <v>64</v>
      </c>
      <c r="D184" s="28" t="s">
        <v>437</v>
      </c>
      <c r="E184" s="28" t="s">
        <v>423</v>
      </c>
      <c r="F184" s="28" t="s">
        <v>430</v>
      </c>
      <c r="G184" s="28" t="s">
        <v>62</v>
      </c>
    </row>
    <row r="185" spans="1:7" x14ac:dyDescent="0.3">
      <c r="A185" s="28">
        <v>30983</v>
      </c>
      <c r="B185" s="28">
        <v>11422</v>
      </c>
      <c r="C185" s="28" t="s">
        <v>64</v>
      </c>
      <c r="D185" s="28" t="s">
        <v>434</v>
      </c>
      <c r="E185" s="28" t="s">
        <v>423</v>
      </c>
      <c r="F185" s="28" t="s">
        <v>430</v>
      </c>
      <c r="G185" s="28" t="s">
        <v>62</v>
      </c>
    </row>
    <row r="186" spans="1:7" x14ac:dyDescent="0.3">
      <c r="A186" s="28">
        <v>30440</v>
      </c>
      <c r="B186" s="28">
        <v>11465</v>
      </c>
      <c r="C186" s="28" t="s">
        <v>435</v>
      </c>
      <c r="D186" s="28" t="s">
        <v>436</v>
      </c>
      <c r="E186" s="28" t="s">
        <v>423</v>
      </c>
      <c r="F186" s="28" t="s">
        <v>430</v>
      </c>
      <c r="G186" s="28" t="s">
        <v>242</v>
      </c>
    </row>
    <row r="187" spans="1:7" x14ac:dyDescent="0.3">
      <c r="A187" s="28">
        <v>21133</v>
      </c>
      <c r="B187" s="28">
        <v>11715</v>
      </c>
      <c r="C187" s="28" t="s">
        <v>64</v>
      </c>
      <c r="D187" s="28" t="s">
        <v>438</v>
      </c>
      <c r="E187" s="28" t="s">
        <v>423</v>
      </c>
      <c r="F187" s="28" t="s">
        <v>430</v>
      </c>
      <c r="G187" s="28" t="s">
        <v>62</v>
      </c>
    </row>
    <row r="188" spans="1:7" x14ac:dyDescent="0.3">
      <c r="A188" s="28">
        <v>31270</v>
      </c>
      <c r="B188" s="28">
        <v>11424</v>
      </c>
      <c r="C188" s="28" t="s">
        <v>64</v>
      </c>
      <c r="D188" s="28" t="s">
        <v>439</v>
      </c>
      <c r="E188" s="28" t="s">
        <v>423</v>
      </c>
      <c r="F188" s="28" t="s">
        <v>430</v>
      </c>
      <c r="G188" s="28" t="s">
        <v>62</v>
      </c>
    </row>
    <row r="189" spans="1:7" x14ac:dyDescent="0.3">
      <c r="A189" s="28">
        <v>31093</v>
      </c>
      <c r="B189" s="28">
        <v>11425</v>
      </c>
      <c r="C189" s="28" t="s">
        <v>64</v>
      </c>
      <c r="D189" s="28" t="s">
        <v>440</v>
      </c>
      <c r="E189" s="28" t="s">
        <v>423</v>
      </c>
      <c r="F189" s="28" t="s">
        <v>430</v>
      </c>
      <c r="G189" s="28" t="s">
        <v>62</v>
      </c>
    </row>
    <row r="190" spans="1:7" x14ac:dyDescent="0.3">
      <c r="A190" s="28">
        <v>28366</v>
      </c>
      <c r="B190" s="28">
        <v>11426</v>
      </c>
      <c r="C190" s="28" t="s">
        <v>64</v>
      </c>
      <c r="D190" s="28" t="s">
        <v>441</v>
      </c>
      <c r="E190" s="28" t="s">
        <v>423</v>
      </c>
      <c r="F190" s="28" t="s">
        <v>430</v>
      </c>
      <c r="G190" s="28" t="s">
        <v>62</v>
      </c>
    </row>
    <row r="191" spans="1:7" x14ac:dyDescent="0.3">
      <c r="A191" s="28">
        <v>30171</v>
      </c>
      <c r="B191" s="28">
        <v>11428</v>
      </c>
      <c r="C191" s="28" t="s">
        <v>64</v>
      </c>
      <c r="D191" s="28" t="s">
        <v>442</v>
      </c>
      <c r="E191" s="28" t="s">
        <v>423</v>
      </c>
      <c r="F191" s="28" t="s">
        <v>430</v>
      </c>
      <c r="G191" s="28" t="s">
        <v>62</v>
      </c>
    </row>
    <row r="192" spans="1:7" x14ac:dyDescent="0.3">
      <c r="A192" s="28">
        <v>31069</v>
      </c>
      <c r="B192" s="28">
        <v>11312</v>
      </c>
      <c r="C192" s="28" t="s">
        <v>64</v>
      </c>
      <c r="D192" s="28" t="s">
        <v>443</v>
      </c>
      <c r="E192" s="28" t="s">
        <v>423</v>
      </c>
      <c r="F192" s="28" t="s">
        <v>430</v>
      </c>
      <c r="G192" s="28" t="s">
        <v>62</v>
      </c>
    </row>
    <row r="193" spans="1:7" x14ac:dyDescent="0.3">
      <c r="A193" s="28">
        <v>31638</v>
      </c>
      <c r="B193" s="28">
        <v>11383</v>
      </c>
      <c r="C193" s="28" t="s">
        <v>64</v>
      </c>
      <c r="D193" s="28" t="s">
        <v>444</v>
      </c>
      <c r="E193" s="28" t="s">
        <v>423</v>
      </c>
      <c r="F193" s="28" t="s">
        <v>430</v>
      </c>
      <c r="G193" s="28" t="s">
        <v>62</v>
      </c>
    </row>
    <row r="194" spans="1:7" x14ac:dyDescent="0.3">
      <c r="A194" s="28">
        <v>31637</v>
      </c>
      <c r="B194" s="28">
        <v>11419</v>
      </c>
      <c r="C194" s="28" t="s">
        <v>64</v>
      </c>
      <c r="D194" s="28" t="s">
        <v>445</v>
      </c>
      <c r="E194" s="28" t="s">
        <v>423</v>
      </c>
      <c r="F194" s="28" t="s">
        <v>430</v>
      </c>
      <c r="G194" s="28" t="s">
        <v>62</v>
      </c>
    </row>
    <row r="195" spans="1:7" x14ac:dyDescent="0.3">
      <c r="A195" s="28">
        <v>26106</v>
      </c>
      <c r="B195" s="28">
        <v>11523</v>
      </c>
      <c r="C195" s="28" t="s">
        <v>643</v>
      </c>
      <c r="D195" s="28" t="s">
        <v>644</v>
      </c>
      <c r="E195" s="28" t="s">
        <v>447</v>
      </c>
      <c r="F195" s="28" t="s">
        <v>430</v>
      </c>
      <c r="G195" s="28" t="s">
        <v>62</v>
      </c>
    </row>
    <row r="196" spans="1:7" x14ac:dyDescent="0.3">
      <c r="A196" s="28">
        <v>24657</v>
      </c>
      <c r="B196" s="28">
        <v>11301</v>
      </c>
      <c r="C196" s="28" t="s">
        <v>64</v>
      </c>
      <c r="D196" s="28" t="s">
        <v>446</v>
      </c>
      <c r="E196" s="28" t="s">
        <v>447</v>
      </c>
      <c r="F196" s="28" t="s">
        <v>430</v>
      </c>
      <c r="G196" s="28" t="s">
        <v>62</v>
      </c>
    </row>
    <row r="197" spans="1:7" x14ac:dyDescent="0.3">
      <c r="A197" s="28">
        <v>31639</v>
      </c>
      <c r="B197" s="28">
        <v>11418</v>
      </c>
      <c r="C197" s="28" t="s">
        <v>64</v>
      </c>
      <c r="D197" s="28" t="s">
        <v>448</v>
      </c>
      <c r="E197" s="28" t="s">
        <v>447</v>
      </c>
      <c r="F197" s="28" t="s">
        <v>430</v>
      </c>
      <c r="G197" s="28" t="s">
        <v>62</v>
      </c>
    </row>
    <row r="198" spans="1:7" x14ac:dyDescent="0.3">
      <c r="A198" s="28">
        <v>29836</v>
      </c>
      <c r="B198" s="28">
        <v>11494</v>
      </c>
      <c r="C198" s="28" t="s">
        <v>64</v>
      </c>
      <c r="D198" s="28" t="s">
        <v>136</v>
      </c>
      <c r="E198" s="28" t="s">
        <v>447</v>
      </c>
      <c r="F198" s="28" t="s">
        <v>430</v>
      </c>
      <c r="G198" s="28" t="s">
        <v>62</v>
      </c>
    </row>
    <row r="199" spans="1:7" x14ac:dyDescent="0.3">
      <c r="A199" s="28">
        <v>11221</v>
      </c>
      <c r="B199" s="28">
        <v>11338</v>
      </c>
      <c r="C199" s="28" t="s">
        <v>432</v>
      </c>
      <c r="D199" s="28" t="s">
        <v>433</v>
      </c>
      <c r="E199" s="28" t="s">
        <v>447</v>
      </c>
      <c r="F199" s="28" t="s">
        <v>646</v>
      </c>
      <c r="G199" s="28" t="s">
        <v>62</v>
      </c>
    </row>
    <row r="200" spans="1:7" x14ac:dyDescent="0.3">
      <c r="A200" s="28">
        <v>31071</v>
      </c>
      <c r="B200" s="28">
        <v>11304</v>
      </c>
      <c r="C200" s="28" t="s">
        <v>64</v>
      </c>
      <c r="D200" s="28" t="s">
        <v>450</v>
      </c>
      <c r="E200" s="28" t="s">
        <v>447</v>
      </c>
      <c r="F200" s="28" t="s">
        <v>646</v>
      </c>
      <c r="G200" s="28" t="s">
        <v>62</v>
      </c>
    </row>
    <row r="201" spans="1:7" x14ac:dyDescent="0.3">
      <c r="A201" s="28">
        <v>30681</v>
      </c>
      <c r="B201" s="28">
        <v>11479</v>
      </c>
      <c r="C201" s="28" t="s">
        <v>64</v>
      </c>
      <c r="D201" s="28" t="s">
        <v>120</v>
      </c>
      <c r="E201" s="28" t="s">
        <v>447</v>
      </c>
      <c r="F201" s="28" t="s">
        <v>646</v>
      </c>
      <c r="G201" s="28" t="s">
        <v>242</v>
      </c>
    </row>
    <row r="202" spans="1:7" x14ac:dyDescent="0.3">
      <c r="A202" s="28">
        <v>27869</v>
      </c>
      <c r="B202" s="28">
        <v>11420</v>
      </c>
      <c r="C202" s="28" t="s">
        <v>455</v>
      </c>
      <c r="D202" s="28" t="s">
        <v>456</v>
      </c>
      <c r="E202" s="28" t="s">
        <v>451</v>
      </c>
      <c r="F202" s="28" t="s">
        <v>663</v>
      </c>
      <c r="G202" s="28" t="s">
        <v>62</v>
      </c>
    </row>
    <row r="203" spans="1:7" x14ac:dyDescent="0.3">
      <c r="A203" s="28">
        <v>26945</v>
      </c>
      <c r="B203" s="28">
        <v>11362</v>
      </c>
      <c r="C203" s="28" t="s">
        <v>453</v>
      </c>
      <c r="D203" s="28" t="s">
        <v>454</v>
      </c>
      <c r="E203" s="28" t="s">
        <v>451</v>
      </c>
      <c r="F203" s="28" t="s">
        <v>452</v>
      </c>
      <c r="G203" s="28" t="s">
        <v>62</v>
      </c>
    </row>
    <row r="204" spans="1:7" x14ac:dyDescent="0.3">
      <c r="A204" s="28">
        <v>30844</v>
      </c>
      <c r="B204" s="28">
        <v>11403</v>
      </c>
      <c r="C204" s="28" t="s">
        <v>493</v>
      </c>
      <c r="D204" s="28" t="s">
        <v>494</v>
      </c>
      <c r="E204" s="28" t="s">
        <v>451</v>
      </c>
      <c r="F204" s="28" t="s">
        <v>452</v>
      </c>
      <c r="G204" s="28" t="s">
        <v>62</v>
      </c>
    </row>
    <row r="205" spans="1:7" x14ac:dyDescent="0.3">
      <c r="A205" s="28">
        <v>22482</v>
      </c>
      <c r="B205" s="28">
        <v>11399</v>
      </c>
      <c r="C205" s="28" t="s">
        <v>467</v>
      </c>
      <c r="D205" s="28" t="s">
        <v>468</v>
      </c>
      <c r="E205" s="28" t="s">
        <v>451</v>
      </c>
      <c r="F205" s="28" t="s">
        <v>452</v>
      </c>
      <c r="G205" s="28" t="s">
        <v>62</v>
      </c>
    </row>
    <row r="206" spans="1:7" x14ac:dyDescent="0.3">
      <c r="A206" s="28">
        <v>28703</v>
      </c>
      <c r="B206" s="28">
        <v>11323</v>
      </c>
      <c r="C206" s="28" t="s">
        <v>457</v>
      </c>
      <c r="D206" s="28" t="s">
        <v>458</v>
      </c>
      <c r="E206" s="28" t="s">
        <v>451</v>
      </c>
      <c r="F206" s="28" t="s">
        <v>459</v>
      </c>
      <c r="G206" s="28" t="s">
        <v>74</v>
      </c>
    </row>
    <row r="207" spans="1:7" x14ac:dyDescent="0.3">
      <c r="A207" s="28">
        <v>21439</v>
      </c>
      <c r="B207" s="28">
        <v>11397</v>
      </c>
      <c r="C207" s="28" t="s">
        <v>462</v>
      </c>
      <c r="D207" s="28" t="s">
        <v>463</v>
      </c>
      <c r="E207" s="28" t="s">
        <v>451</v>
      </c>
      <c r="F207" s="28" t="s">
        <v>459</v>
      </c>
      <c r="G207" s="28" t="s">
        <v>62</v>
      </c>
    </row>
    <row r="208" spans="1:7" x14ac:dyDescent="0.3">
      <c r="A208" s="28">
        <v>31553</v>
      </c>
      <c r="B208" s="28">
        <v>11486</v>
      </c>
      <c r="C208" s="28" t="s">
        <v>64</v>
      </c>
      <c r="D208" s="28" t="s">
        <v>464</v>
      </c>
      <c r="E208" s="28" t="s">
        <v>451</v>
      </c>
      <c r="F208" s="28" t="s">
        <v>459</v>
      </c>
      <c r="G208" s="28" t="s">
        <v>62</v>
      </c>
    </row>
    <row r="209" spans="1:7" x14ac:dyDescent="0.3">
      <c r="A209" s="28">
        <v>30685</v>
      </c>
      <c r="B209" s="28">
        <v>11473</v>
      </c>
      <c r="C209" s="28" t="s">
        <v>465</v>
      </c>
      <c r="D209" s="28" t="s">
        <v>466</v>
      </c>
      <c r="E209" s="28" t="s">
        <v>451</v>
      </c>
      <c r="F209" s="28" t="s">
        <v>459</v>
      </c>
      <c r="G209" s="28" t="s">
        <v>62</v>
      </c>
    </row>
    <row r="210" spans="1:7" x14ac:dyDescent="0.3">
      <c r="A210" s="28">
        <v>31068</v>
      </c>
      <c r="B210" s="28">
        <v>11302</v>
      </c>
      <c r="C210" s="28" t="s">
        <v>469</v>
      </c>
      <c r="D210" s="28" t="s">
        <v>470</v>
      </c>
      <c r="E210" s="28" t="s">
        <v>451</v>
      </c>
      <c r="F210" s="28" t="s">
        <v>459</v>
      </c>
      <c r="G210" s="28" t="s">
        <v>62</v>
      </c>
    </row>
    <row r="211" spans="1:7" x14ac:dyDescent="0.3">
      <c r="A211" s="28">
        <v>23705</v>
      </c>
      <c r="B211" s="28">
        <v>11398</v>
      </c>
      <c r="C211" s="28" t="s">
        <v>471</v>
      </c>
      <c r="D211" s="28" t="s">
        <v>472</v>
      </c>
      <c r="E211" s="28" t="s">
        <v>451</v>
      </c>
      <c r="F211" s="28" t="s">
        <v>473</v>
      </c>
      <c r="G211" s="28" t="s">
        <v>242</v>
      </c>
    </row>
    <row r="212" spans="1:7" x14ac:dyDescent="0.3">
      <c r="A212" s="28">
        <v>13448</v>
      </c>
      <c r="B212" s="28">
        <v>11529</v>
      </c>
      <c r="C212" s="28" t="s">
        <v>64</v>
      </c>
      <c r="D212" s="28" t="s">
        <v>474</v>
      </c>
      <c r="E212" s="28" t="s">
        <v>451</v>
      </c>
      <c r="F212" s="28" t="s">
        <v>473</v>
      </c>
      <c r="G212" s="28" t="s">
        <v>74</v>
      </c>
    </row>
    <row r="213" spans="1:7" x14ac:dyDescent="0.3">
      <c r="A213" s="28">
        <v>22678</v>
      </c>
      <c r="B213" s="28">
        <v>11334</v>
      </c>
      <c r="C213" s="28" t="s">
        <v>577</v>
      </c>
      <c r="D213" s="28" t="s">
        <v>578</v>
      </c>
      <c r="E213" s="28" t="s">
        <v>451</v>
      </c>
      <c r="F213" s="28" t="s">
        <v>473</v>
      </c>
      <c r="G213" s="28" t="s">
        <v>62</v>
      </c>
    </row>
    <row r="214" spans="1:7" x14ac:dyDescent="0.3">
      <c r="A214" s="28">
        <v>29914</v>
      </c>
      <c r="B214" s="28">
        <v>11464</v>
      </c>
      <c r="C214" s="28" t="s">
        <v>477</v>
      </c>
      <c r="D214" s="28" t="s">
        <v>478</v>
      </c>
      <c r="E214" s="28" t="s">
        <v>451</v>
      </c>
      <c r="F214" s="28" t="s">
        <v>473</v>
      </c>
      <c r="G214" s="28" t="s">
        <v>62</v>
      </c>
    </row>
    <row r="215" spans="1:7" x14ac:dyDescent="0.3">
      <c r="A215" s="28">
        <v>30843</v>
      </c>
      <c r="B215" s="28">
        <v>11412</v>
      </c>
      <c r="C215" s="28" t="s">
        <v>475</v>
      </c>
      <c r="D215" s="28" t="s">
        <v>476</v>
      </c>
      <c r="E215" s="28" t="s">
        <v>451</v>
      </c>
      <c r="F215" s="28" t="s">
        <v>473</v>
      </c>
      <c r="G215" s="28" t="s">
        <v>62</v>
      </c>
    </row>
    <row r="216" spans="1:7" x14ac:dyDescent="0.3">
      <c r="A216" s="28">
        <v>26380</v>
      </c>
      <c r="B216" s="28">
        <v>11480</v>
      </c>
      <c r="C216" s="28" t="s">
        <v>479</v>
      </c>
      <c r="D216" s="28" t="s">
        <v>480</v>
      </c>
      <c r="E216" s="28" t="s">
        <v>451</v>
      </c>
      <c r="F216" s="28" t="s">
        <v>473</v>
      </c>
      <c r="G216" s="28" t="s">
        <v>62</v>
      </c>
    </row>
    <row r="217" spans="1:7" x14ac:dyDescent="0.3">
      <c r="A217" s="28">
        <v>31555</v>
      </c>
      <c r="B217" s="28">
        <v>11511</v>
      </c>
      <c r="C217" s="28" t="s">
        <v>481</v>
      </c>
      <c r="D217" s="28" t="s">
        <v>482</v>
      </c>
      <c r="E217" s="28" t="s">
        <v>451</v>
      </c>
      <c r="F217" s="28" t="s">
        <v>483</v>
      </c>
      <c r="G217" s="28" t="s">
        <v>62</v>
      </c>
    </row>
    <row r="218" spans="1:7" x14ac:dyDescent="0.3">
      <c r="A218" s="28">
        <v>12181</v>
      </c>
      <c r="B218" s="28">
        <v>11498</v>
      </c>
      <c r="C218" s="28" t="s">
        <v>484</v>
      </c>
      <c r="D218" s="28" t="s">
        <v>485</v>
      </c>
      <c r="E218" s="28" t="s">
        <v>451</v>
      </c>
      <c r="F218" s="28" t="s">
        <v>483</v>
      </c>
      <c r="G218" s="28" t="s">
        <v>62</v>
      </c>
    </row>
    <row r="219" spans="1:7" x14ac:dyDescent="0.3">
      <c r="A219" s="28">
        <v>15102</v>
      </c>
      <c r="B219" s="28">
        <v>11363</v>
      </c>
      <c r="C219" s="28" t="s">
        <v>486</v>
      </c>
      <c r="D219" s="28" t="s">
        <v>487</v>
      </c>
      <c r="E219" s="28" t="s">
        <v>451</v>
      </c>
      <c r="F219" s="28" t="s">
        <v>483</v>
      </c>
      <c r="G219" s="28" t="s">
        <v>74</v>
      </c>
    </row>
    <row r="220" spans="1:7" x14ac:dyDescent="0.3">
      <c r="A220" s="28">
        <v>22517</v>
      </c>
      <c r="B220" s="28">
        <v>11608</v>
      </c>
      <c r="C220" s="28" t="s">
        <v>488</v>
      </c>
      <c r="D220" s="28" t="s">
        <v>489</v>
      </c>
      <c r="E220" s="28" t="s">
        <v>451</v>
      </c>
      <c r="F220" s="28" t="s">
        <v>490</v>
      </c>
      <c r="G220" s="28" t="s">
        <v>62</v>
      </c>
    </row>
    <row r="221" spans="1:7" x14ac:dyDescent="0.3">
      <c r="A221" s="28">
        <v>9092</v>
      </c>
      <c r="B221" s="28">
        <v>11439</v>
      </c>
      <c r="C221" s="28" t="s">
        <v>491</v>
      </c>
      <c r="D221" s="28" t="s">
        <v>492</v>
      </c>
      <c r="E221" s="28" t="s">
        <v>451</v>
      </c>
      <c r="F221" s="28" t="s">
        <v>490</v>
      </c>
      <c r="G221" s="28" t="s">
        <v>62</v>
      </c>
    </row>
    <row r="222" spans="1:7" x14ac:dyDescent="0.3">
      <c r="A222" s="28">
        <v>33443</v>
      </c>
      <c r="B222" s="28">
        <v>11320</v>
      </c>
      <c r="C222" s="28" t="s">
        <v>460</v>
      </c>
      <c r="D222" s="28" t="s">
        <v>461</v>
      </c>
      <c r="E222" s="28" t="s">
        <v>451</v>
      </c>
      <c r="F222" s="28" t="s">
        <v>490</v>
      </c>
      <c r="G222" s="28" t="s">
        <v>62</v>
      </c>
    </row>
    <row r="223" spans="1:7" x14ac:dyDescent="0.3">
      <c r="A223" s="28">
        <v>31571</v>
      </c>
      <c r="B223" s="28">
        <v>11531</v>
      </c>
      <c r="C223" s="28" t="s">
        <v>606</v>
      </c>
      <c r="D223" s="28" t="s">
        <v>607</v>
      </c>
      <c r="E223" s="28" t="s">
        <v>451</v>
      </c>
      <c r="F223" s="28" t="s">
        <v>586</v>
      </c>
      <c r="G223" s="28" t="s">
        <v>62</v>
      </c>
    </row>
    <row r="224" spans="1:7" x14ac:dyDescent="0.3">
      <c r="A224" s="28">
        <v>16321</v>
      </c>
      <c r="B224" s="28">
        <v>11692</v>
      </c>
      <c r="C224" s="28" t="s">
        <v>530</v>
      </c>
      <c r="D224" s="28" t="s">
        <v>531</v>
      </c>
      <c r="E224" s="28" t="s">
        <v>532</v>
      </c>
      <c r="F224" s="28" t="s">
        <v>533</v>
      </c>
      <c r="G224" s="28" t="s">
        <v>62</v>
      </c>
    </row>
    <row r="225" spans="1:7" x14ac:dyDescent="0.3">
      <c r="A225" s="28">
        <v>27867</v>
      </c>
      <c r="B225" s="28">
        <v>11327</v>
      </c>
      <c r="C225" s="28" t="s">
        <v>534</v>
      </c>
      <c r="D225" s="28" t="s">
        <v>535</v>
      </c>
      <c r="E225" s="28" t="s">
        <v>532</v>
      </c>
      <c r="F225" s="28" t="s">
        <v>533</v>
      </c>
      <c r="G225" s="28" t="s">
        <v>62</v>
      </c>
    </row>
    <row r="226" spans="1:7" x14ac:dyDescent="0.3">
      <c r="A226" s="28">
        <v>18747</v>
      </c>
      <c r="B226" s="28">
        <v>11508</v>
      </c>
      <c r="C226" s="28" t="s">
        <v>536</v>
      </c>
      <c r="D226" s="28" t="s">
        <v>537</v>
      </c>
      <c r="E226" s="28" t="s">
        <v>532</v>
      </c>
      <c r="F226" s="28" t="s">
        <v>533</v>
      </c>
      <c r="G226" s="28" t="s">
        <v>62</v>
      </c>
    </row>
    <row r="227" spans="1:7" x14ac:dyDescent="0.3">
      <c r="A227" s="28">
        <v>23421</v>
      </c>
      <c r="B227" s="28">
        <v>11616</v>
      </c>
      <c r="C227" s="28" t="s">
        <v>538</v>
      </c>
      <c r="D227" s="28" t="s">
        <v>539</v>
      </c>
      <c r="E227" s="28" t="s">
        <v>532</v>
      </c>
      <c r="F227" s="28" t="s">
        <v>533</v>
      </c>
      <c r="G227" s="28" t="s">
        <v>62</v>
      </c>
    </row>
    <row r="228" spans="1:7" x14ac:dyDescent="0.3">
      <c r="A228" s="28">
        <v>21884</v>
      </c>
      <c r="B228" s="28">
        <v>11324</v>
      </c>
      <c r="C228" s="28" t="s">
        <v>540</v>
      </c>
      <c r="D228" s="28" t="s">
        <v>541</v>
      </c>
      <c r="E228" s="28" t="s">
        <v>532</v>
      </c>
      <c r="F228" s="28" t="s">
        <v>533</v>
      </c>
      <c r="G228" s="28" t="s">
        <v>62</v>
      </c>
    </row>
    <row r="229" spans="1:7" x14ac:dyDescent="0.3">
      <c r="A229" s="28">
        <v>25622</v>
      </c>
      <c r="B229" s="28">
        <v>11615</v>
      </c>
      <c r="C229" s="28" t="s">
        <v>542</v>
      </c>
      <c r="D229" s="28" t="s">
        <v>543</v>
      </c>
      <c r="E229" s="28" t="s">
        <v>532</v>
      </c>
      <c r="F229" s="28" t="s">
        <v>533</v>
      </c>
      <c r="G229" s="28" t="s">
        <v>62</v>
      </c>
    </row>
    <row r="230" spans="1:7" x14ac:dyDescent="0.3">
      <c r="A230" s="28">
        <v>11082</v>
      </c>
      <c r="B230" s="28">
        <v>11604</v>
      </c>
      <c r="C230" s="28" t="s">
        <v>544</v>
      </c>
      <c r="D230" s="28" t="s">
        <v>545</v>
      </c>
      <c r="E230" s="28" t="s">
        <v>532</v>
      </c>
      <c r="F230" s="28" t="s">
        <v>533</v>
      </c>
      <c r="G230" s="28" t="s">
        <v>62</v>
      </c>
    </row>
    <row r="231" spans="1:7" x14ac:dyDescent="0.3">
      <c r="A231" s="28">
        <v>28630</v>
      </c>
      <c r="B231" s="28">
        <v>11614</v>
      </c>
      <c r="C231" s="28" t="s">
        <v>546</v>
      </c>
      <c r="D231" s="28" t="s">
        <v>547</v>
      </c>
      <c r="E231" s="28" t="s">
        <v>532</v>
      </c>
      <c r="F231" s="28" t="s">
        <v>533</v>
      </c>
      <c r="G231" s="28" t="s">
        <v>62</v>
      </c>
    </row>
    <row r="232" spans="1:7" x14ac:dyDescent="0.3">
      <c r="A232" s="28">
        <v>22355</v>
      </c>
      <c r="B232" s="28">
        <v>11307</v>
      </c>
      <c r="C232" s="28" t="s">
        <v>548</v>
      </c>
      <c r="D232" s="28" t="s">
        <v>549</v>
      </c>
      <c r="E232" s="28" t="s">
        <v>532</v>
      </c>
      <c r="F232" s="28" t="s">
        <v>533</v>
      </c>
      <c r="G232" s="28" t="s">
        <v>62</v>
      </c>
    </row>
    <row r="233" spans="1:7" x14ac:dyDescent="0.3">
      <c r="A233" s="28">
        <v>17329</v>
      </c>
      <c r="B233" s="28">
        <v>11341</v>
      </c>
      <c r="C233" s="28" t="s">
        <v>550</v>
      </c>
      <c r="D233" s="28" t="s">
        <v>551</v>
      </c>
      <c r="E233" s="28" t="s">
        <v>532</v>
      </c>
      <c r="F233" s="28" t="s">
        <v>533</v>
      </c>
      <c r="G233" s="28" t="s">
        <v>62</v>
      </c>
    </row>
    <row r="234" spans="1:7" x14ac:dyDescent="0.3">
      <c r="A234" s="28">
        <v>27510</v>
      </c>
      <c r="B234" s="28">
        <v>11319</v>
      </c>
      <c r="C234" s="28" t="s">
        <v>552</v>
      </c>
      <c r="D234" s="28" t="s">
        <v>553</v>
      </c>
      <c r="E234" s="28" t="s">
        <v>532</v>
      </c>
      <c r="F234" s="28" t="s">
        <v>533</v>
      </c>
      <c r="G234" s="28" t="s">
        <v>62</v>
      </c>
    </row>
    <row r="235" spans="1:7" x14ac:dyDescent="0.3">
      <c r="A235" s="28">
        <v>22068</v>
      </c>
      <c r="B235" s="28">
        <v>11345</v>
      </c>
      <c r="C235" s="28" t="s">
        <v>554</v>
      </c>
      <c r="D235" s="28" t="s">
        <v>555</v>
      </c>
      <c r="E235" s="28" t="s">
        <v>532</v>
      </c>
      <c r="F235" s="28" t="s">
        <v>533</v>
      </c>
      <c r="G235" s="28" t="s">
        <v>242</v>
      </c>
    </row>
    <row r="236" spans="1:7" x14ac:dyDescent="0.3">
      <c r="A236" s="28">
        <v>20738</v>
      </c>
      <c r="B236" s="28">
        <v>11617</v>
      </c>
      <c r="C236" s="28" t="s">
        <v>556</v>
      </c>
      <c r="D236" s="28" t="s">
        <v>557</v>
      </c>
      <c r="E236" s="28" t="s">
        <v>532</v>
      </c>
      <c r="F236" s="28" t="s">
        <v>533</v>
      </c>
      <c r="G236" s="28" t="s">
        <v>62</v>
      </c>
    </row>
    <row r="237" spans="1:7" x14ac:dyDescent="0.3">
      <c r="A237" s="28">
        <v>19122</v>
      </c>
      <c r="B237" s="28">
        <v>11417</v>
      </c>
      <c r="C237" s="28" t="s">
        <v>558</v>
      </c>
      <c r="D237" s="28" t="s">
        <v>559</v>
      </c>
      <c r="E237" s="28" t="s">
        <v>532</v>
      </c>
      <c r="F237" s="28" t="s">
        <v>560</v>
      </c>
      <c r="G237" s="28" t="s">
        <v>62</v>
      </c>
    </row>
    <row r="238" spans="1:7" x14ac:dyDescent="0.3">
      <c r="A238" s="28">
        <v>23254</v>
      </c>
      <c r="B238" s="28">
        <v>11707</v>
      </c>
      <c r="C238" s="28" t="s">
        <v>561</v>
      </c>
      <c r="D238" s="28" t="s">
        <v>562</v>
      </c>
      <c r="E238" s="28" t="s">
        <v>532</v>
      </c>
      <c r="F238" s="28" t="s">
        <v>560</v>
      </c>
      <c r="G238" s="28" t="s">
        <v>62</v>
      </c>
    </row>
    <row r="239" spans="1:7" x14ac:dyDescent="0.3">
      <c r="A239" s="28">
        <v>25800</v>
      </c>
      <c r="B239" s="28">
        <v>11404</v>
      </c>
      <c r="C239" s="28" t="s">
        <v>563</v>
      </c>
      <c r="D239" s="28" t="s">
        <v>564</v>
      </c>
      <c r="E239" s="28" t="s">
        <v>532</v>
      </c>
      <c r="F239" s="28" t="s">
        <v>560</v>
      </c>
      <c r="G239" s="28" t="s">
        <v>62</v>
      </c>
    </row>
    <row r="240" spans="1:7" x14ac:dyDescent="0.3">
      <c r="A240" s="28">
        <v>27556</v>
      </c>
      <c r="B240" s="28">
        <v>11311</v>
      </c>
      <c r="C240" s="28" t="s">
        <v>565</v>
      </c>
      <c r="D240" s="28" t="s">
        <v>566</v>
      </c>
      <c r="E240" s="28" t="s">
        <v>532</v>
      </c>
      <c r="F240" s="28" t="s">
        <v>560</v>
      </c>
      <c r="G240" s="28" t="s">
        <v>62</v>
      </c>
    </row>
    <row r="241" spans="1:7" x14ac:dyDescent="0.3">
      <c r="A241" s="28">
        <v>15125</v>
      </c>
      <c r="B241" s="28">
        <v>11374</v>
      </c>
      <c r="C241" s="28" t="s">
        <v>567</v>
      </c>
      <c r="D241" s="28" t="s">
        <v>568</v>
      </c>
      <c r="E241" s="28" t="s">
        <v>532</v>
      </c>
      <c r="F241" s="28" t="s">
        <v>569</v>
      </c>
      <c r="G241" s="28" t="s">
        <v>62</v>
      </c>
    </row>
    <row r="242" spans="1:7" x14ac:dyDescent="0.3">
      <c r="A242" s="28">
        <v>25615</v>
      </c>
      <c r="B242" s="28">
        <v>11394</v>
      </c>
      <c r="C242" s="28" t="s">
        <v>570</v>
      </c>
      <c r="D242" s="28" t="s">
        <v>571</v>
      </c>
      <c r="E242" s="28" t="s">
        <v>532</v>
      </c>
      <c r="F242" s="28" t="s">
        <v>569</v>
      </c>
      <c r="G242" s="28" t="s">
        <v>62</v>
      </c>
    </row>
    <row r="243" spans="1:7" x14ac:dyDescent="0.3">
      <c r="A243" s="28">
        <v>23696</v>
      </c>
      <c r="B243" s="28">
        <v>11361</v>
      </c>
      <c r="C243" s="28" t="s">
        <v>655</v>
      </c>
      <c r="D243" s="28" t="s">
        <v>572</v>
      </c>
      <c r="E243" s="28" t="s">
        <v>532</v>
      </c>
      <c r="F243" s="28" t="s">
        <v>569</v>
      </c>
      <c r="G243" s="28" t="s">
        <v>62</v>
      </c>
    </row>
    <row r="244" spans="1:7" x14ac:dyDescent="0.3">
      <c r="A244" s="28">
        <v>11515</v>
      </c>
      <c r="B244" s="28">
        <v>11672</v>
      </c>
      <c r="C244" s="28" t="s">
        <v>573</v>
      </c>
      <c r="D244" s="28" t="s">
        <v>574</v>
      </c>
      <c r="E244" s="28" t="s">
        <v>532</v>
      </c>
      <c r="F244" s="28" t="s">
        <v>569</v>
      </c>
      <c r="G244" s="28" t="s">
        <v>62</v>
      </c>
    </row>
    <row r="245" spans="1:7" x14ac:dyDescent="0.3">
      <c r="A245" s="28">
        <v>12222</v>
      </c>
      <c r="B245" s="28">
        <v>11632</v>
      </c>
      <c r="C245" s="28" t="s">
        <v>575</v>
      </c>
      <c r="D245" s="28" t="s">
        <v>576</v>
      </c>
      <c r="E245" s="28" t="s">
        <v>402</v>
      </c>
      <c r="F245" s="28" t="s">
        <v>497</v>
      </c>
      <c r="G245" s="28" t="s">
        <v>62</v>
      </c>
    </row>
    <row r="246" spans="1:7" x14ac:dyDescent="0.3">
      <c r="A246" s="28">
        <v>22700</v>
      </c>
      <c r="B246" s="28">
        <v>11391</v>
      </c>
      <c r="C246" s="28" t="s">
        <v>584</v>
      </c>
      <c r="D246" s="28" t="s">
        <v>585</v>
      </c>
      <c r="E246" s="28" t="s">
        <v>579</v>
      </c>
      <c r="F246" s="28" t="s">
        <v>586</v>
      </c>
      <c r="G246" s="28" t="s">
        <v>62</v>
      </c>
    </row>
    <row r="247" spans="1:7" x14ac:dyDescent="0.3">
      <c r="A247" s="28">
        <v>20121</v>
      </c>
      <c r="B247" s="28">
        <v>11513</v>
      </c>
      <c r="C247" s="28" t="s">
        <v>587</v>
      </c>
      <c r="D247" s="28" t="s">
        <v>588</v>
      </c>
      <c r="E247" s="28" t="s">
        <v>579</v>
      </c>
      <c r="F247" s="28" t="s">
        <v>586</v>
      </c>
      <c r="G247" s="28" t="s">
        <v>62</v>
      </c>
    </row>
    <row r="248" spans="1:7" x14ac:dyDescent="0.3">
      <c r="A248" s="28">
        <v>23951</v>
      </c>
      <c r="B248" s="28">
        <v>11358</v>
      </c>
      <c r="C248" s="28" t="s">
        <v>589</v>
      </c>
      <c r="D248" s="28" t="s">
        <v>590</v>
      </c>
      <c r="E248" s="28" t="s">
        <v>579</v>
      </c>
      <c r="F248" s="28" t="s">
        <v>586</v>
      </c>
      <c r="G248" s="28" t="s">
        <v>62</v>
      </c>
    </row>
    <row r="249" spans="1:7" x14ac:dyDescent="0.3">
      <c r="A249" s="28">
        <v>31204</v>
      </c>
      <c r="B249" s="28">
        <v>11505</v>
      </c>
      <c r="C249" s="28" t="s">
        <v>580</v>
      </c>
      <c r="D249" s="28" t="s">
        <v>581</v>
      </c>
      <c r="E249" s="28" t="s">
        <v>579</v>
      </c>
      <c r="F249" s="28" t="s">
        <v>586</v>
      </c>
      <c r="G249" s="28" t="s">
        <v>242</v>
      </c>
    </row>
    <row r="250" spans="1:7" x14ac:dyDescent="0.3">
      <c r="A250" s="28">
        <v>22447</v>
      </c>
      <c r="B250" s="28">
        <v>11685</v>
      </c>
      <c r="C250" s="28" t="s">
        <v>591</v>
      </c>
      <c r="D250" s="28" t="s">
        <v>592</v>
      </c>
      <c r="E250" s="28" t="s">
        <v>579</v>
      </c>
      <c r="F250" s="28" t="s">
        <v>586</v>
      </c>
      <c r="G250" s="28" t="s">
        <v>62</v>
      </c>
    </row>
    <row r="251" spans="1:7" x14ac:dyDescent="0.3">
      <c r="A251" s="28">
        <v>28700</v>
      </c>
      <c r="B251" s="28">
        <v>11314</v>
      </c>
      <c r="C251" s="28" t="s">
        <v>593</v>
      </c>
      <c r="D251" s="28" t="s">
        <v>594</v>
      </c>
      <c r="E251" s="28" t="s">
        <v>579</v>
      </c>
      <c r="F251" s="28" t="s">
        <v>586</v>
      </c>
      <c r="G251" s="28" t="s">
        <v>62</v>
      </c>
    </row>
    <row r="252" spans="1:7" x14ac:dyDescent="0.3">
      <c r="A252" s="28">
        <v>12423</v>
      </c>
      <c r="B252" s="28">
        <v>11478</v>
      </c>
      <c r="C252" s="28" t="s">
        <v>595</v>
      </c>
      <c r="D252" s="28" t="s">
        <v>596</v>
      </c>
      <c r="E252" s="28" t="s">
        <v>579</v>
      </c>
      <c r="F252" s="28" t="s">
        <v>586</v>
      </c>
      <c r="G252" s="28" t="s">
        <v>62</v>
      </c>
    </row>
    <row r="253" spans="1:7" x14ac:dyDescent="0.3">
      <c r="A253" s="28">
        <v>25889</v>
      </c>
      <c r="B253" s="28">
        <v>11657</v>
      </c>
      <c r="C253" s="28" t="s">
        <v>64</v>
      </c>
      <c r="D253" s="28" t="s">
        <v>597</v>
      </c>
      <c r="E253" s="28" t="s">
        <v>579</v>
      </c>
      <c r="F253" s="28" t="s">
        <v>586</v>
      </c>
      <c r="G253" s="28" t="s">
        <v>74</v>
      </c>
    </row>
    <row r="254" spans="1:7" x14ac:dyDescent="0.3">
      <c r="A254" s="28">
        <v>14907</v>
      </c>
      <c r="B254" s="28">
        <v>11421</v>
      </c>
      <c r="C254" s="28" t="s">
        <v>604</v>
      </c>
      <c r="D254" s="28" t="s">
        <v>605</v>
      </c>
      <c r="E254" s="28" t="s">
        <v>579</v>
      </c>
      <c r="F254" s="28" t="s">
        <v>586</v>
      </c>
      <c r="G254" s="28" t="s">
        <v>62</v>
      </c>
    </row>
    <row r="255" spans="1:7" x14ac:dyDescent="0.3">
      <c r="A255" s="28">
        <v>22337</v>
      </c>
      <c r="B255" s="28">
        <v>11477</v>
      </c>
      <c r="C255" s="28" t="s">
        <v>415</v>
      </c>
      <c r="D255" s="28" t="s">
        <v>416</v>
      </c>
      <c r="E255" s="28" t="s">
        <v>579</v>
      </c>
      <c r="F255" s="28" t="s">
        <v>586</v>
      </c>
      <c r="G255" s="28" t="s">
        <v>62</v>
      </c>
    </row>
    <row r="256" spans="1:7" x14ac:dyDescent="0.3">
      <c r="A256" s="28">
        <v>23927</v>
      </c>
      <c r="B256" s="28">
        <v>11435</v>
      </c>
      <c r="C256" s="28" t="s">
        <v>600</v>
      </c>
      <c r="D256" s="28" t="s">
        <v>601</v>
      </c>
      <c r="E256" s="28" t="s">
        <v>579</v>
      </c>
      <c r="F256" s="28" t="s">
        <v>586</v>
      </c>
      <c r="G256" s="28" t="s">
        <v>62</v>
      </c>
    </row>
    <row r="257" spans="1:7" x14ac:dyDescent="0.3">
      <c r="A257" s="28">
        <v>26110</v>
      </c>
      <c r="B257" s="28">
        <v>11503</v>
      </c>
      <c r="C257" s="28" t="s">
        <v>602</v>
      </c>
      <c r="D257" s="28" t="s">
        <v>603</v>
      </c>
      <c r="E257" s="28" t="s">
        <v>579</v>
      </c>
      <c r="F257" s="28" t="s">
        <v>586</v>
      </c>
      <c r="G257" s="28" t="s">
        <v>74</v>
      </c>
    </row>
    <row r="258" spans="1:7" x14ac:dyDescent="0.3">
      <c r="A258" s="28">
        <v>31631</v>
      </c>
      <c r="B258" s="28">
        <v>11499</v>
      </c>
      <c r="C258" s="28" t="s">
        <v>582</v>
      </c>
      <c r="D258" s="28" t="s">
        <v>583</v>
      </c>
      <c r="E258" s="28" t="s">
        <v>579</v>
      </c>
      <c r="F258" s="28" t="s">
        <v>586</v>
      </c>
      <c r="G258" s="28" t="s">
        <v>62</v>
      </c>
    </row>
    <row r="259" spans="1:7" x14ac:dyDescent="0.3">
      <c r="A259" s="28">
        <v>31573</v>
      </c>
      <c r="B259" s="28">
        <v>11484</v>
      </c>
      <c r="C259" s="28" t="s">
        <v>610</v>
      </c>
      <c r="D259" s="28" t="s">
        <v>611</v>
      </c>
      <c r="E259" s="28" t="s">
        <v>579</v>
      </c>
      <c r="F259" s="28" t="s">
        <v>586</v>
      </c>
      <c r="G259" s="28" t="s">
        <v>62</v>
      </c>
    </row>
    <row r="260" spans="1:7" x14ac:dyDescent="0.3">
      <c r="A260" s="28">
        <v>29308</v>
      </c>
      <c r="B260" s="28">
        <v>11474</v>
      </c>
      <c r="C260" s="28" t="s">
        <v>408</v>
      </c>
      <c r="D260" s="28" t="s">
        <v>409</v>
      </c>
      <c r="E260" s="28" t="s">
        <v>579</v>
      </c>
      <c r="F260" s="28" t="s">
        <v>410</v>
      </c>
      <c r="G260" s="28" t="s">
        <v>62</v>
      </c>
    </row>
    <row r="261" spans="1:7" x14ac:dyDescent="0.3">
      <c r="A261" s="28">
        <v>28121</v>
      </c>
      <c r="B261" s="28">
        <v>11476</v>
      </c>
      <c r="C261" s="28" t="s">
        <v>411</v>
      </c>
      <c r="D261" s="28" t="s">
        <v>412</v>
      </c>
      <c r="E261" s="28" t="s">
        <v>579</v>
      </c>
      <c r="F261" s="28" t="s">
        <v>410</v>
      </c>
      <c r="G261" s="28" t="s">
        <v>62</v>
      </c>
    </row>
    <row r="262" spans="1:7" x14ac:dyDescent="0.3">
      <c r="A262" s="28">
        <v>25804</v>
      </c>
      <c r="B262" s="28">
        <v>11401</v>
      </c>
      <c r="C262" s="28" t="s">
        <v>413</v>
      </c>
      <c r="D262" s="28" t="s">
        <v>414</v>
      </c>
      <c r="E262" s="28" t="s">
        <v>579</v>
      </c>
      <c r="F262" s="28" t="s">
        <v>410</v>
      </c>
      <c r="G262" s="28" t="s">
        <v>62</v>
      </c>
    </row>
    <row r="263" spans="1:7" x14ac:dyDescent="0.3">
      <c r="A263" s="28">
        <v>30141</v>
      </c>
      <c r="B263" s="28">
        <v>11389</v>
      </c>
      <c r="C263" s="28" t="s">
        <v>417</v>
      </c>
      <c r="D263" s="28" t="s">
        <v>418</v>
      </c>
      <c r="E263" s="28" t="s">
        <v>579</v>
      </c>
      <c r="F263" s="28" t="s">
        <v>410</v>
      </c>
      <c r="G263" s="28" t="s">
        <v>62</v>
      </c>
    </row>
    <row r="264" spans="1:7" x14ac:dyDescent="0.3">
      <c r="A264" s="28">
        <v>31572</v>
      </c>
      <c r="B264" s="28">
        <v>11532</v>
      </c>
      <c r="C264" s="28" t="s">
        <v>598</v>
      </c>
      <c r="D264" s="28" t="s">
        <v>599</v>
      </c>
      <c r="E264" s="28" t="s">
        <v>579</v>
      </c>
      <c r="F264" s="28" t="s">
        <v>410</v>
      </c>
      <c r="G264" s="28" t="s">
        <v>62</v>
      </c>
    </row>
    <row r="265" spans="1:7" x14ac:dyDescent="0.3">
      <c r="A265" s="28">
        <v>9094</v>
      </c>
      <c r="B265" s="28">
        <v>11411</v>
      </c>
      <c r="C265" s="28" t="s">
        <v>419</v>
      </c>
      <c r="D265" s="28" t="s">
        <v>420</v>
      </c>
      <c r="E265" s="28" t="s">
        <v>579</v>
      </c>
      <c r="F265" s="28" t="s">
        <v>421</v>
      </c>
      <c r="G265" s="28" t="s">
        <v>62</v>
      </c>
    </row>
    <row r="266" spans="1:7" x14ac:dyDescent="0.3">
      <c r="A266" s="28">
        <v>29850</v>
      </c>
      <c r="B266" s="28">
        <v>11453</v>
      </c>
      <c r="C266" s="28" t="s">
        <v>64</v>
      </c>
      <c r="D266" s="28" t="s">
        <v>614</v>
      </c>
      <c r="E266" s="28" t="s">
        <v>612</v>
      </c>
      <c r="F266" s="28" t="s">
        <v>613</v>
      </c>
      <c r="G266" s="28" t="s">
        <v>62</v>
      </c>
    </row>
    <row r="267" spans="1:7" x14ac:dyDescent="0.3">
      <c r="A267" s="28">
        <v>21458</v>
      </c>
      <c r="B267" s="28">
        <v>11459</v>
      </c>
      <c r="C267" s="28" t="s">
        <v>64</v>
      </c>
      <c r="D267" s="28" t="s">
        <v>615</v>
      </c>
      <c r="E267" s="28" t="s">
        <v>616</v>
      </c>
      <c r="F267" s="28" t="s">
        <v>617</v>
      </c>
      <c r="G267" s="28" t="s">
        <v>62</v>
      </c>
    </row>
    <row r="268" spans="1:7" x14ac:dyDescent="0.3">
      <c r="A268" s="28">
        <v>30140</v>
      </c>
      <c r="B268" s="28">
        <v>11388</v>
      </c>
      <c r="C268" s="28" t="s">
        <v>64</v>
      </c>
      <c r="D268" s="28" t="s">
        <v>618</v>
      </c>
      <c r="E268" s="28" t="s">
        <v>616</v>
      </c>
      <c r="F268" s="28" t="s">
        <v>430</v>
      </c>
      <c r="G268" s="28" t="s">
        <v>242</v>
      </c>
    </row>
    <row r="269" spans="1:7" x14ac:dyDescent="0.3">
      <c r="A269" s="28">
        <v>30926</v>
      </c>
      <c r="B269" s="28">
        <v>11449</v>
      </c>
      <c r="C269" s="28" t="s">
        <v>641</v>
      </c>
      <c r="D269" s="28" t="s">
        <v>642</v>
      </c>
      <c r="E269" s="28" t="s">
        <v>616</v>
      </c>
      <c r="F269" s="28" t="s">
        <v>430</v>
      </c>
      <c r="G269" s="28" t="s">
        <v>62</v>
      </c>
    </row>
    <row r="270" spans="1:7" x14ac:dyDescent="0.3">
      <c r="A270" s="28">
        <v>17790</v>
      </c>
      <c r="B270" s="28">
        <v>11717</v>
      </c>
      <c r="C270" s="28" t="s">
        <v>64</v>
      </c>
      <c r="D270" s="28" t="s">
        <v>619</v>
      </c>
      <c r="E270" s="28" t="s">
        <v>620</v>
      </c>
      <c r="F270" s="28" t="s">
        <v>430</v>
      </c>
      <c r="G270" s="28" t="s">
        <v>62</v>
      </c>
    </row>
    <row r="271" spans="1:7" x14ac:dyDescent="0.3">
      <c r="A271" s="28">
        <v>28062</v>
      </c>
      <c r="B271" s="28">
        <v>11485</v>
      </c>
      <c r="C271" s="28" t="s">
        <v>608</v>
      </c>
      <c r="D271" s="28" t="s">
        <v>609</v>
      </c>
      <c r="E271" s="28" t="s">
        <v>616</v>
      </c>
      <c r="F271" s="28" t="s">
        <v>430</v>
      </c>
      <c r="G271" s="28" t="s">
        <v>62</v>
      </c>
    </row>
    <row r="272" spans="1:7" x14ac:dyDescent="0.3">
      <c r="A272" s="28">
        <v>29510</v>
      </c>
      <c r="B272" s="28">
        <v>11352</v>
      </c>
      <c r="C272" s="28" t="s">
        <v>64</v>
      </c>
      <c r="D272" s="28" t="s">
        <v>621</v>
      </c>
      <c r="E272" s="28" t="s">
        <v>616</v>
      </c>
      <c r="F272" s="28" t="s">
        <v>430</v>
      </c>
      <c r="G272" s="28" t="s">
        <v>242</v>
      </c>
    </row>
    <row r="273" spans="1:7" x14ac:dyDescent="0.3">
      <c r="A273" s="28">
        <v>11385</v>
      </c>
      <c r="B273" s="28">
        <v>11335</v>
      </c>
      <c r="C273" s="28" t="s">
        <v>64</v>
      </c>
      <c r="D273" s="28" t="s">
        <v>622</v>
      </c>
      <c r="E273" s="28" t="s">
        <v>620</v>
      </c>
      <c r="F273" s="28" t="s">
        <v>430</v>
      </c>
      <c r="G273" s="28" t="s">
        <v>62</v>
      </c>
    </row>
    <row r="274" spans="1:7" x14ac:dyDescent="0.3">
      <c r="A274" s="28">
        <v>20645</v>
      </c>
      <c r="B274" s="28">
        <v>11622</v>
      </c>
      <c r="C274" s="28" t="s">
        <v>64</v>
      </c>
      <c r="D274" s="28" t="s">
        <v>623</v>
      </c>
      <c r="E274" s="28" t="s">
        <v>620</v>
      </c>
      <c r="F274" s="28" t="s">
        <v>430</v>
      </c>
      <c r="G274" s="28" t="s">
        <v>62</v>
      </c>
    </row>
    <row r="275" spans="1:7" x14ac:dyDescent="0.3">
      <c r="A275" s="28">
        <v>30441</v>
      </c>
      <c r="B275" s="28">
        <v>11466</v>
      </c>
      <c r="C275" s="28" t="s">
        <v>624</v>
      </c>
      <c r="D275" s="28" t="s">
        <v>625</v>
      </c>
      <c r="E275" s="28" t="s">
        <v>616</v>
      </c>
      <c r="F275" s="28" t="s">
        <v>430</v>
      </c>
      <c r="G275" s="28" t="s">
        <v>74</v>
      </c>
    </row>
    <row r="276" spans="1:7" x14ac:dyDescent="0.3">
      <c r="A276" s="28">
        <v>12853</v>
      </c>
      <c r="B276" s="28">
        <v>11516</v>
      </c>
      <c r="C276" s="28" t="s">
        <v>64</v>
      </c>
      <c r="D276" s="28" t="s">
        <v>626</v>
      </c>
      <c r="E276" s="28" t="s">
        <v>616</v>
      </c>
      <c r="F276" s="28" t="s">
        <v>430</v>
      </c>
      <c r="G276" s="28" t="s">
        <v>62</v>
      </c>
    </row>
    <row r="277" spans="1:7" x14ac:dyDescent="0.3">
      <c r="A277" s="28">
        <v>26915</v>
      </c>
      <c r="B277" s="28">
        <v>11356</v>
      </c>
      <c r="C277" s="28" t="s">
        <v>64</v>
      </c>
      <c r="D277" s="28" t="s">
        <v>627</v>
      </c>
      <c r="E277" s="28" t="s">
        <v>616</v>
      </c>
      <c r="F277" s="28" t="s">
        <v>430</v>
      </c>
      <c r="G277" s="28" t="s">
        <v>62</v>
      </c>
    </row>
    <row r="278" spans="1:7" x14ac:dyDescent="0.3">
      <c r="A278" s="28">
        <v>14766</v>
      </c>
      <c r="B278" s="28">
        <v>11491</v>
      </c>
      <c r="C278" s="28" t="s">
        <v>628</v>
      </c>
      <c r="D278" s="28" t="s">
        <v>629</v>
      </c>
      <c r="E278" s="28" t="s">
        <v>616</v>
      </c>
      <c r="F278" s="28" t="s">
        <v>430</v>
      </c>
      <c r="G278" s="28" t="s">
        <v>62</v>
      </c>
    </row>
    <row r="279" spans="1:7" x14ac:dyDescent="0.3">
      <c r="A279" s="28">
        <v>17348</v>
      </c>
      <c r="B279" s="28">
        <v>11501</v>
      </c>
      <c r="C279" s="28" t="s">
        <v>64</v>
      </c>
      <c r="D279" s="28" t="s">
        <v>630</v>
      </c>
      <c r="E279" s="28" t="s">
        <v>620</v>
      </c>
      <c r="F279" s="28" t="s">
        <v>430</v>
      </c>
      <c r="G279" s="28" t="s">
        <v>62</v>
      </c>
    </row>
    <row r="280" spans="1:7" x14ac:dyDescent="0.3">
      <c r="A280" s="28">
        <v>27000</v>
      </c>
      <c r="B280" s="28">
        <v>11444</v>
      </c>
      <c r="C280" s="28" t="s">
        <v>64</v>
      </c>
      <c r="D280" s="28" t="s">
        <v>631</v>
      </c>
      <c r="E280" s="28" t="s">
        <v>616</v>
      </c>
      <c r="F280" s="28" t="s">
        <v>430</v>
      </c>
      <c r="G280" s="28" t="s">
        <v>62</v>
      </c>
    </row>
    <row r="281" spans="1:7" x14ac:dyDescent="0.3">
      <c r="A281" s="28">
        <v>13774</v>
      </c>
      <c r="B281" s="28">
        <v>11434</v>
      </c>
      <c r="C281" s="28" t="s">
        <v>64</v>
      </c>
      <c r="D281" s="28" t="s">
        <v>632</v>
      </c>
      <c r="E281" s="28" t="s">
        <v>620</v>
      </c>
      <c r="F281" s="28" t="s">
        <v>430</v>
      </c>
      <c r="G281" s="28" t="s">
        <v>62</v>
      </c>
    </row>
    <row r="282" spans="1:7" x14ac:dyDescent="0.3">
      <c r="A282" s="28">
        <v>19644</v>
      </c>
      <c r="B282" s="28">
        <v>11467</v>
      </c>
      <c r="C282" s="28" t="s">
        <v>64</v>
      </c>
      <c r="D282" s="28" t="s">
        <v>633</v>
      </c>
      <c r="E282" s="28" t="s">
        <v>616</v>
      </c>
      <c r="F282" s="28" t="s">
        <v>430</v>
      </c>
      <c r="G282" s="28" t="s">
        <v>62</v>
      </c>
    </row>
    <row r="283" spans="1:7" x14ac:dyDescent="0.3">
      <c r="A283" s="28">
        <v>29509</v>
      </c>
      <c r="B283" s="28">
        <v>11351</v>
      </c>
      <c r="C283" s="28" t="s">
        <v>64</v>
      </c>
      <c r="D283" s="28" t="s">
        <v>634</v>
      </c>
      <c r="E283" s="28" t="s">
        <v>616</v>
      </c>
      <c r="F283" s="28" t="s">
        <v>430</v>
      </c>
      <c r="G283" s="28" t="s">
        <v>62</v>
      </c>
    </row>
    <row r="284" spans="1:7" x14ac:dyDescent="0.3">
      <c r="A284" s="28">
        <v>26916</v>
      </c>
      <c r="B284" s="28">
        <v>11357</v>
      </c>
      <c r="C284" s="28" t="s">
        <v>64</v>
      </c>
      <c r="D284" s="28" t="s">
        <v>635</v>
      </c>
      <c r="E284" s="28" t="s">
        <v>616</v>
      </c>
      <c r="F284" s="28" t="s">
        <v>430</v>
      </c>
      <c r="G284" s="28" t="s">
        <v>62</v>
      </c>
    </row>
    <row r="285" spans="1:7" x14ac:dyDescent="0.3">
      <c r="A285" s="28">
        <v>29236</v>
      </c>
      <c r="B285" s="28">
        <v>11483</v>
      </c>
      <c r="C285" s="28" t="s">
        <v>64</v>
      </c>
      <c r="D285" s="28" t="s">
        <v>636</v>
      </c>
      <c r="E285" s="28" t="s">
        <v>616</v>
      </c>
      <c r="F285" s="28" t="s">
        <v>430</v>
      </c>
      <c r="G285" s="28" t="s">
        <v>62</v>
      </c>
    </row>
    <row r="286" spans="1:7" x14ac:dyDescent="0.3">
      <c r="A286" s="28">
        <v>33559</v>
      </c>
      <c r="B286" s="28">
        <v>11618</v>
      </c>
      <c r="C286" s="28" t="s">
        <v>64</v>
      </c>
      <c r="D286" s="28" t="s">
        <v>449</v>
      </c>
      <c r="E286" s="28" t="s">
        <v>616</v>
      </c>
      <c r="F286" s="28" t="s">
        <v>430</v>
      </c>
      <c r="G286" s="28" t="s">
        <v>62</v>
      </c>
    </row>
    <row r="287" spans="1:7" x14ac:dyDescent="0.3">
      <c r="A287" s="28">
        <v>33442</v>
      </c>
      <c r="B287" s="28">
        <v>11322</v>
      </c>
      <c r="C287" s="28" t="s">
        <v>64</v>
      </c>
      <c r="D287" s="28" t="s">
        <v>645</v>
      </c>
      <c r="E287" s="28" t="s">
        <v>616</v>
      </c>
      <c r="F287" s="28" t="s">
        <v>430</v>
      </c>
      <c r="G287" s="28" t="s">
        <v>62</v>
      </c>
    </row>
    <row r="288" spans="1:7" x14ac:dyDescent="0.3">
      <c r="A288" s="28">
        <v>25945</v>
      </c>
      <c r="B288" s="28">
        <v>11520</v>
      </c>
      <c r="C288" s="28" t="s">
        <v>64</v>
      </c>
      <c r="D288" s="28" t="s">
        <v>637</v>
      </c>
      <c r="E288" s="28" t="s">
        <v>616</v>
      </c>
      <c r="F288" s="28" t="s">
        <v>638</v>
      </c>
      <c r="G288" s="28" t="s">
        <v>62</v>
      </c>
    </row>
    <row r="289" spans="1:7" x14ac:dyDescent="0.3">
      <c r="A289" s="28">
        <v>2376</v>
      </c>
      <c r="B289" s="28">
        <v>11697</v>
      </c>
      <c r="C289" s="28" t="s">
        <v>64</v>
      </c>
      <c r="D289" s="28" t="s">
        <v>639</v>
      </c>
      <c r="E289" s="28" t="s">
        <v>616</v>
      </c>
      <c r="F289" s="28" t="s">
        <v>640</v>
      </c>
      <c r="G289" s="28" t="s">
        <v>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1:W12"/>
  <sheetViews>
    <sheetView showGridLines="0" showRowColHeaders="0" tabSelected="1" workbookViewId="0">
      <selection activeCell="C3" sqref="C3:U7"/>
    </sheetView>
  </sheetViews>
  <sheetFormatPr defaultColWidth="0" defaultRowHeight="15" zeroHeight="1" x14ac:dyDescent="0.3"/>
  <cols>
    <col min="1" max="23" width="9.140625" style="13" customWidth="1"/>
    <col min="24" max="16384" width="9.140625" style="13" hidden="1"/>
  </cols>
  <sheetData>
    <row r="1" spans="3:21" x14ac:dyDescent="0.3"/>
    <row r="2" spans="3:21" ht="15.75" thickBot="1" x14ac:dyDescent="0.35"/>
    <row r="3" spans="3:21" ht="15" customHeight="1" x14ac:dyDescent="0.3">
      <c r="C3" s="91" t="s">
        <v>664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/>
    </row>
    <row r="4" spans="3:21" ht="15" customHeight="1" x14ac:dyDescent="0.3"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6"/>
    </row>
    <row r="5" spans="3:21" ht="15" customHeight="1" x14ac:dyDescent="0.3"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6"/>
    </row>
    <row r="6" spans="3:21" ht="15" customHeight="1" x14ac:dyDescent="0.3"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6"/>
    </row>
    <row r="7" spans="3:21" ht="15" customHeight="1" thickBot="1" x14ac:dyDescent="0.35">
      <c r="C7" s="97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9"/>
    </row>
    <row r="8" spans="3:21" ht="15" customHeight="1" x14ac:dyDescent="0.3"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3:21" ht="15" customHeight="1" x14ac:dyDescent="0.3"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</row>
    <row r="10" spans="3:21" ht="15" hidden="1" customHeight="1" x14ac:dyDescent="0.3"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3:21" ht="15" hidden="1" customHeight="1" x14ac:dyDescent="0.3"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3:21" ht="15.75" hidden="1" customHeight="1" x14ac:dyDescent="0.3"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</sheetData>
  <mergeCells count="1">
    <mergeCell ref="C3:U7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G15"/>
  <sheetViews>
    <sheetView showGridLines="0" topLeftCell="A2" workbookViewId="0">
      <selection activeCell="A2" sqref="A2"/>
    </sheetView>
  </sheetViews>
  <sheetFormatPr defaultRowHeight="15" x14ac:dyDescent="0.3"/>
  <cols>
    <col min="1" max="1" width="30.28515625" style="29" bestFit="1" customWidth="1"/>
    <col min="2" max="7" width="16.28515625" style="29" customWidth="1"/>
    <col min="8" max="16384" width="9.140625" style="29"/>
  </cols>
  <sheetData>
    <row r="1" spans="1:7" hidden="1" x14ac:dyDescent="0.3">
      <c r="B1" s="29" t="s">
        <v>1</v>
      </c>
      <c r="C1" s="29" t="s">
        <v>2</v>
      </c>
      <c r="D1" s="29" t="s">
        <v>3</v>
      </c>
      <c r="E1" s="29" t="s">
        <v>4</v>
      </c>
      <c r="F1" s="29" t="s">
        <v>9</v>
      </c>
    </row>
    <row r="2" spans="1:7" x14ac:dyDescent="0.3">
      <c r="A2" s="28" t="s">
        <v>716</v>
      </c>
      <c r="B2" s="28" t="s">
        <v>649</v>
      </c>
      <c r="C2" s="28" t="s">
        <v>717</v>
      </c>
      <c r="D2" s="28" t="s">
        <v>103</v>
      </c>
      <c r="E2" s="28" t="s">
        <v>7</v>
      </c>
      <c r="F2" s="28" t="s">
        <v>718</v>
      </c>
      <c r="G2" s="28" t="s">
        <v>719</v>
      </c>
    </row>
    <row r="3" spans="1:7" x14ac:dyDescent="0.3">
      <c r="A3" s="30" t="s">
        <v>178</v>
      </c>
      <c r="B3" s="31">
        <f>COUNTIFS(BACKLOG_BASE[[Agente que abriu o caso ]],tblAgents[[#This Row],[Agentes]],BACKLOG_BASE[Status],AGENTES_CONS!B$1)</f>
        <v>0</v>
      </c>
      <c r="C3" s="31">
        <f>COUNTIFS(BACKLOG_BASE[[Agente que abriu o caso ]],tblAgents[[#This Row],[Agentes]],BACKLOG_BASE[Status],AGENTES_CONS!C$1)</f>
        <v>1</v>
      </c>
      <c r="D3" s="31">
        <f>COUNTIFS(BACKLOG_BASE[[Agente que abriu o caso ]],tblAgents[[#This Row],[Agentes]],BACKLOG_BASE[Status],AGENTES_CONS!D$1)</f>
        <v>7</v>
      </c>
      <c r="E3" s="31">
        <f>COUNTIFS(BACKLOG_BASE[[Agente que abriu o caso ]],tblAgents[[#This Row],[Agentes]],BACKLOG_BASE[Status],AGENTES_CONS!E$1)</f>
        <v>1</v>
      </c>
      <c r="F3" s="31">
        <f>COUNTIFS(BACKLOG_BASE[[Agente que modificou por último ]],tblAgents[[#This Row],[Agentes]],BACKLOG_BASE[VAL. WEB],AGENTES_CONS!F$1)</f>
        <v>0</v>
      </c>
      <c r="G3" s="32">
        <f>SUM(tblAgents[[#This Row],[MENTOR]:[WEB IN.]])</f>
        <v>9</v>
      </c>
    </row>
    <row r="4" spans="1:7" x14ac:dyDescent="0.3">
      <c r="A4" s="30" t="s">
        <v>160</v>
      </c>
      <c r="B4" s="31">
        <f>COUNTIFS(BACKLOG_BASE[[Agente que abriu o caso ]],tblAgents[[#This Row],[Agentes]],BACKLOG_BASE[Status],AGENTES_CONS!B$1)</f>
        <v>0</v>
      </c>
      <c r="C4" s="31">
        <f>COUNTIFS(BACKLOG_BASE[[Agente que abriu o caso ]],tblAgents[[#This Row],[Agentes]],BACKLOG_BASE[Status],AGENTES_CONS!C$1)</f>
        <v>0</v>
      </c>
      <c r="D4" s="31">
        <f>COUNTIFS(BACKLOG_BASE[[Agente que abriu o caso ]],tblAgents[[#This Row],[Agentes]],BACKLOG_BASE[Status],AGENTES_CONS!D$1)</f>
        <v>0</v>
      </c>
      <c r="E4" s="31">
        <f>COUNTIFS(BACKLOG_BASE[[Agente que abriu o caso ]],tblAgents[[#This Row],[Agentes]],BACKLOG_BASE[Status],AGENTES_CONS!E$1)</f>
        <v>2</v>
      </c>
      <c r="F4" s="31">
        <f>COUNTIFS(BACKLOG_BASE[[Agente que modificou por último ]],tblAgents[[#This Row],[Agentes]],BACKLOG_BASE[VAL. WEB],AGENTES_CONS!F$1)</f>
        <v>0</v>
      </c>
      <c r="G4" s="32">
        <f>SUM(tblAgents[[#This Row],[MENTOR]:[WEB IN.]])</f>
        <v>2</v>
      </c>
    </row>
    <row r="5" spans="1:7" x14ac:dyDescent="0.3">
      <c r="A5" s="30" t="s">
        <v>139</v>
      </c>
      <c r="B5" s="31">
        <f>COUNTIFS(BACKLOG_BASE[[Agente que abriu o caso ]],tblAgents[[#This Row],[Agentes]],BACKLOG_BASE[Status],AGENTES_CONS!B$1)</f>
        <v>0</v>
      </c>
      <c r="C5" s="31">
        <f>COUNTIFS(BACKLOG_BASE[[Agente que abriu o caso ]],tblAgents[[#This Row],[Agentes]],BACKLOG_BASE[Status],AGENTES_CONS!C$1)</f>
        <v>0</v>
      </c>
      <c r="D5" s="31">
        <f>COUNTIFS(BACKLOG_BASE[[Agente que abriu o caso ]],tblAgents[[#This Row],[Agentes]],BACKLOG_BASE[Status],AGENTES_CONS!D$1)</f>
        <v>0</v>
      </c>
      <c r="E5" s="31">
        <f>COUNTIFS(BACKLOG_BASE[[Agente que abriu o caso ]],tblAgents[[#This Row],[Agentes]],BACKLOG_BASE[Status],AGENTES_CONS!E$1)</f>
        <v>1</v>
      </c>
      <c r="F5" s="31">
        <f>COUNTIFS(BACKLOG_BASE[[Agente que modificou por último ]],tblAgents[[#This Row],[Agentes]],BACKLOG_BASE[VAL. WEB],AGENTES_CONS!F$1)</f>
        <v>0</v>
      </c>
      <c r="G5" s="32">
        <f>SUM(tblAgents[[#This Row],[MENTOR]:[WEB IN.]])</f>
        <v>1</v>
      </c>
    </row>
    <row r="6" spans="1:7" x14ac:dyDescent="0.3">
      <c r="A6" s="30" t="s">
        <v>164</v>
      </c>
      <c r="B6" s="31">
        <f>COUNTIFS(BACKLOG_BASE[[Agente que abriu o caso ]],tblAgents[[#This Row],[Agentes]],BACKLOG_BASE[Status],AGENTES_CONS!B$1)</f>
        <v>1</v>
      </c>
      <c r="C6" s="31">
        <f>COUNTIFS(BACKLOG_BASE[[Agente que abriu o caso ]],tblAgents[[#This Row],[Agentes]],BACKLOG_BASE[Status],AGENTES_CONS!C$1)</f>
        <v>0</v>
      </c>
      <c r="D6" s="31">
        <f>COUNTIFS(BACKLOG_BASE[[Agente que abriu o caso ]],tblAgents[[#This Row],[Agentes]],BACKLOG_BASE[Status],AGENTES_CONS!D$1)</f>
        <v>4</v>
      </c>
      <c r="E6" s="31">
        <f>COUNTIFS(BACKLOG_BASE[[Agente que abriu o caso ]],tblAgents[[#This Row],[Agentes]],BACKLOG_BASE[Status],AGENTES_CONS!E$1)</f>
        <v>2</v>
      </c>
      <c r="F6" s="31">
        <f>COUNTIFS(BACKLOG_BASE[[Agente que modificou por último ]],tblAgents[[#This Row],[Agentes]],BACKLOG_BASE[VAL. WEB],AGENTES_CONS!F$1)</f>
        <v>0</v>
      </c>
      <c r="G6" s="32">
        <f>SUM(tblAgents[[#This Row],[MENTOR]:[WEB IN.]])</f>
        <v>7</v>
      </c>
    </row>
    <row r="7" spans="1:7" x14ac:dyDescent="0.3">
      <c r="A7" s="30" t="s">
        <v>147</v>
      </c>
      <c r="B7" s="31">
        <f>COUNTIFS(BACKLOG_BASE[[Agente que abriu o caso ]],tblAgents[[#This Row],[Agentes]],BACKLOG_BASE[Status],AGENTES_CONS!B$1)</f>
        <v>0</v>
      </c>
      <c r="C7" s="31">
        <f>COUNTIFS(BACKLOG_BASE[[Agente que abriu o caso ]],tblAgents[[#This Row],[Agentes]],BACKLOG_BASE[Status],AGENTES_CONS!C$1)</f>
        <v>4</v>
      </c>
      <c r="D7" s="31">
        <f>COUNTIFS(BACKLOG_BASE[[Agente que abriu o caso ]],tblAgents[[#This Row],[Agentes]],BACKLOG_BASE[Status],AGENTES_CONS!D$1)</f>
        <v>0</v>
      </c>
      <c r="E7" s="31">
        <f>COUNTIFS(BACKLOG_BASE[[Agente que abriu o caso ]],tblAgents[[#This Row],[Agentes]],BACKLOG_BASE[Status],AGENTES_CONS!E$1)</f>
        <v>2</v>
      </c>
      <c r="F7" s="31">
        <f>COUNTIFS(BACKLOG_BASE[[Agente que modificou por último ]],tblAgents[[#This Row],[Agentes]],BACKLOG_BASE[VAL. WEB],AGENTES_CONS!F$1)</f>
        <v>0</v>
      </c>
      <c r="G7" s="32">
        <f>SUM(tblAgents[[#This Row],[MENTOR]:[WEB IN.]])</f>
        <v>6</v>
      </c>
    </row>
    <row r="8" spans="1:7" x14ac:dyDescent="0.3">
      <c r="A8" s="30" t="s">
        <v>150</v>
      </c>
      <c r="B8" s="31">
        <f>COUNTIFS(BACKLOG_BASE[[Agente que abriu o caso ]],tblAgents[[#This Row],[Agentes]],BACKLOG_BASE[Status],AGENTES_CONS!B$1)</f>
        <v>0</v>
      </c>
      <c r="C8" s="31">
        <f>COUNTIFS(BACKLOG_BASE[[Agente que abriu o caso ]],tblAgents[[#This Row],[Agentes]],BACKLOG_BASE[Status],AGENTES_CONS!C$1)</f>
        <v>2</v>
      </c>
      <c r="D8" s="31">
        <f>COUNTIFS(BACKLOG_BASE[[Agente que abriu o caso ]],tblAgents[[#This Row],[Agentes]],BACKLOG_BASE[Status],AGENTES_CONS!D$1)</f>
        <v>2</v>
      </c>
      <c r="E8" s="31">
        <f>COUNTIFS(BACKLOG_BASE[[Agente que abriu o caso ]],tblAgents[[#This Row],[Agentes]],BACKLOG_BASE[Status],AGENTES_CONS!E$1)</f>
        <v>1</v>
      </c>
      <c r="F8" s="31">
        <f>COUNTIFS(BACKLOG_BASE[[Agente que modificou por último ]],tblAgents[[#This Row],[Agentes]],BACKLOG_BASE[VAL. WEB],AGENTES_CONS!F$1)</f>
        <v>0</v>
      </c>
      <c r="G8" s="32">
        <f>SUM(tblAgents[[#This Row],[MENTOR]:[WEB IN.]])</f>
        <v>5</v>
      </c>
    </row>
    <row r="9" spans="1:7" x14ac:dyDescent="0.3">
      <c r="A9" s="30" t="s">
        <v>141</v>
      </c>
      <c r="B9" s="31">
        <f>COUNTIFS(BACKLOG_BASE[[Agente que abriu o caso ]],tblAgents[[#This Row],[Agentes]],BACKLOG_BASE[Status],AGENTES_CONS!B$1)</f>
        <v>0</v>
      </c>
      <c r="C9" s="31">
        <f>COUNTIFS(BACKLOG_BASE[[Agente que abriu o caso ]],tblAgents[[#This Row],[Agentes]],BACKLOG_BASE[Status],AGENTES_CONS!C$1)</f>
        <v>0</v>
      </c>
      <c r="D9" s="31">
        <f>COUNTIFS(BACKLOG_BASE[[Agente que abriu o caso ]],tblAgents[[#This Row],[Agentes]],BACKLOG_BASE[Status],AGENTES_CONS!D$1)</f>
        <v>2</v>
      </c>
      <c r="E9" s="31">
        <f>COUNTIFS(BACKLOG_BASE[[Agente que abriu o caso ]],tblAgents[[#This Row],[Agentes]],BACKLOG_BASE[Status],AGENTES_CONS!E$1)</f>
        <v>0</v>
      </c>
      <c r="F9" s="31">
        <f>COUNTIFS(BACKLOG_BASE[[Agente que modificou por último ]],tblAgents[[#This Row],[Agentes]],BACKLOG_BASE[VAL. WEB],AGENTES_CONS!F$1)</f>
        <v>0</v>
      </c>
      <c r="G9" s="32">
        <f>SUM(tblAgents[[#This Row],[MENTOR]:[WEB IN.]])</f>
        <v>2</v>
      </c>
    </row>
    <row r="10" spans="1:7" x14ac:dyDescent="0.3">
      <c r="A10" s="30" t="s">
        <v>208</v>
      </c>
      <c r="B10" s="31">
        <f>COUNTIFS(BACKLOG_BASE[[Agente que abriu o caso ]],tblAgents[[#This Row],[Agentes]],BACKLOG_BASE[Status],AGENTES_CONS!B$1)</f>
        <v>0</v>
      </c>
      <c r="C10" s="31">
        <f>COUNTIFS(BACKLOG_BASE[[Agente que abriu o caso ]],tblAgents[[#This Row],[Agentes]],BACKLOG_BASE[Status],AGENTES_CONS!C$1)</f>
        <v>1</v>
      </c>
      <c r="D10" s="31">
        <f>COUNTIFS(BACKLOG_BASE[[Agente que abriu o caso ]],tblAgents[[#This Row],[Agentes]],BACKLOG_BASE[Status],AGENTES_CONS!D$1)</f>
        <v>4</v>
      </c>
      <c r="E10" s="31">
        <f>COUNTIFS(BACKLOG_BASE[[Agente que abriu o caso ]],tblAgents[[#This Row],[Agentes]],BACKLOG_BASE[Status],AGENTES_CONS!E$1)</f>
        <v>0</v>
      </c>
      <c r="F10" s="31">
        <f>COUNTIFS(BACKLOG_BASE[[Agente que modificou por último ]],tblAgents[[#This Row],[Agentes]],BACKLOG_BASE[VAL. WEB],AGENTES_CONS!F$1)</f>
        <v>0</v>
      </c>
      <c r="G10" s="32">
        <f>SUM(tblAgents[[#This Row],[MENTOR]:[WEB IN.]])</f>
        <v>5</v>
      </c>
    </row>
    <row r="11" spans="1:7" x14ac:dyDescent="0.3">
      <c r="A11" s="30" t="s">
        <v>170</v>
      </c>
      <c r="B11" s="31">
        <f>COUNTIFS(BACKLOG_BASE[[Agente que abriu o caso ]],tblAgents[[#This Row],[Agentes]],BACKLOG_BASE[Status],AGENTES_CONS!B$1)</f>
        <v>0</v>
      </c>
      <c r="C11" s="31">
        <f>COUNTIFS(BACKLOG_BASE[[Agente que abriu o caso ]],tblAgents[[#This Row],[Agentes]],BACKLOG_BASE[Status],AGENTES_CONS!C$1)</f>
        <v>0</v>
      </c>
      <c r="D11" s="31">
        <f>COUNTIFS(BACKLOG_BASE[[Agente que abriu o caso ]],tblAgents[[#This Row],[Agentes]],BACKLOG_BASE[Status],AGENTES_CONS!D$1)</f>
        <v>2</v>
      </c>
      <c r="E11" s="31">
        <f>COUNTIFS(BACKLOG_BASE[[Agente que abriu o caso ]],tblAgents[[#This Row],[Agentes]],BACKLOG_BASE[Status],AGENTES_CONS!E$1)</f>
        <v>0</v>
      </c>
      <c r="F11" s="31">
        <f>COUNTIFS(BACKLOG_BASE[[Agente que modificou por último ]],tblAgents[[#This Row],[Agentes]],BACKLOG_BASE[VAL. WEB],AGENTES_CONS!F$1)</f>
        <v>0</v>
      </c>
      <c r="G11" s="32">
        <f>SUM(tblAgents[[#This Row],[MENTOR]:[WEB IN.]])</f>
        <v>2</v>
      </c>
    </row>
    <row r="12" spans="1:7" x14ac:dyDescent="0.3">
      <c r="A12" s="30" t="s">
        <v>143</v>
      </c>
      <c r="B12" s="31">
        <f>COUNTIFS(BACKLOG_BASE[[Agente que abriu o caso ]],tblAgents[[#This Row],[Agentes]],BACKLOG_BASE[Status],AGENTES_CONS!B$1)</f>
        <v>0</v>
      </c>
      <c r="C12" s="31">
        <f>COUNTIFS(BACKLOG_BASE[[Agente que abriu o caso ]],tblAgents[[#This Row],[Agentes]],BACKLOG_BASE[Status],AGENTES_CONS!C$1)</f>
        <v>0</v>
      </c>
      <c r="D12" s="31">
        <f>COUNTIFS(BACKLOG_BASE[[Agente que abriu o caso ]],tblAgents[[#This Row],[Agentes]],BACKLOG_BASE[Status],AGENTES_CONS!D$1)</f>
        <v>0</v>
      </c>
      <c r="E12" s="31">
        <f>COUNTIFS(BACKLOG_BASE[[Agente que abriu o caso ]],tblAgents[[#This Row],[Agentes]],BACKLOG_BASE[Status],AGENTES_CONS!E$1)</f>
        <v>0</v>
      </c>
      <c r="F12" s="31">
        <f>COUNTIFS(BACKLOG_BASE[[Agente que modificou por último ]],tblAgents[[#This Row],[Agentes]],BACKLOG_BASE[VAL. WEB],AGENTES_CONS!F$1)</f>
        <v>0</v>
      </c>
      <c r="G12" s="32">
        <f>SUM(tblAgents[[#This Row],[MENTOR]:[WEB IN.]])</f>
        <v>0</v>
      </c>
    </row>
    <row r="13" spans="1:7" x14ac:dyDescent="0.3">
      <c r="A13" s="30" t="s">
        <v>162</v>
      </c>
      <c r="B13" s="31">
        <f>COUNTIFS(BACKLOG_BASE[[Agente que abriu o caso ]],tblAgents[[#This Row],[Agentes]],BACKLOG_BASE[Status],AGENTES_CONS!B$1)</f>
        <v>0</v>
      </c>
      <c r="C13" s="31">
        <f>COUNTIFS(BACKLOG_BASE[[Agente que abriu o caso ]],tblAgents[[#This Row],[Agentes]],BACKLOG_BASE[Status],AGENTES_CONS!C$1)</f>
        <v>0</v>
      </c>
      <c r="D13" s="31">
        <f>COUNTIFS(BACKLOG_BASE[[Agente que abriu o caso ]],tblAgents[[#This Row],[Agentes]],BACKLOG_BASE[Status],AGENTES_CONS!D$1)</f>
        <v>1</v>
      </c>
      <c r="E13" s="31">
        <f>COUNTIFS(BACKLOG_BASE[[Agente que abriu o caso ]],tblAgents[[#This Row],[Agentes]],BACKLOG_BASE[Status],AGENTES_CONS!E$1)</f>
        <v>0</v>
      </c>
      <c r="F13" s="31">
        <f>COUNTIFS(BACKLOG_BASE[[Agente que modificou por último ]],tblAgents[[#This Row],[Agentes]],BACKLOG_BASE[VAL. WEB],AGENTES_CONS!F$1)</f>
        <v>0</v>
      </c>
      <c r="G13" s="32">
        <f>SUM(tblAgents[[#This Row],[MENTOR]:[WEB IN.]])</f>
        <v>1</v>
      </c>
    </row>
    <row r="14" spans="1:7" ht="15.75" thickBot="1" x14ac:dyDescent="0.35">
      <c r="A14" s="30" t="s">
        <v>145</v>
      </c>
      <c r="B14" s="31">
        <f>COUNTIFS(BACKLOG_BASE[[Agente que abriu o caso ]],tblAgents[[#This Row],[Agentes]],BACKLOG_BASE[Status],AGENTES_CONS!B$1)</f>
        <v>0</v>
      </c>
      <c r="C14" s="31">
        <f>COUNTIFS(BACKLOG_BASE[[Agente que abriu o caso ]],tblAgents[[#This Row],[Agentes]],BACKLOG_BASE[Status],AGENTES_CONS!C$1)</f>
        <v>3</v>
      </c>
      <c r="D14" s="31">
        <f>COUNTIFS(BACKLOG_BASE[[Agente que abriu o caso ]],tblAgents[[#This Row],[Agentes]],BACKLOG_BASE[Status],AGENTES_CONS!D$1)</f>
        <v>1</v>
      </c>
      <c r="E14" s="31">
        <f>COUNTIFS(BACKLOG_BASE[[Agente que abriu o caso ]],tblAgents[[#This Row],[Agentes]],BACKLOG_BASE[Status],AGENTES_CONS!E$1)</f>
        <v>1</v>
      </c>
      <c r="F14" s="31">
        <f>COUNTIFS(BACKLOG_BASE[[Agente que modificou por último ]],tblAgents[[#This Row],[Agentes]],BACKLOG_BASE[VAL. WEB],AGENTES_CONS!F$1)</f>
        <v>1</v>
      </c>
      <c r="G14" s="32">
        <f>SUM(tblAgents[[#This Row],[MENTOR]:[WEB IN.]])</f>
        <v>6</v>
      </c>
    </row>
    <row r="15" spans="1:7" ht="18.75" thickBot="1" x14ac:dyDescent="0.35">
      <c r="A15" s="33" t="s">
        <v>720</v>
      </c>
      <c r="B15" s="34">
        <f>SUM(B3:B14)</f>
        <v>1</v>
      </c>
      <c r="C15" s="34">
        <f>SUM(C3:C14)</f>
        <v>11</v>
      </c>
      <c r="D15" s="34">
        <f>SUM(D3:D14)</f>
        <v>23</v>
      </c>
      <c r="E15" s="34">
        <f>SUM(E3:E14)</f>
        <v>10</v>
      </c>
      <c r="F15" s="34">
        <f>SUM(F3:F14)</f>
        <v>1</v>
      </c>
      <c r="G15" s="35">
        <f>SUM(B15:F15)</f>
        <v>46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INICIO</vt:lpstr>
      <vt:lpstr>VIEW</vt:lpstr>
      <vt:lpstr>CASOS</vt:lpstr>
      <vt:lpstr>BACKLOG_BASE</vt:lpstr>
      <vt:lpstr>CALLBACK_SLA_BASE</vt:lpstr>
      <vt:lpstr>MAP</vt:lpstr>
      <vt:lpstr>CONTROLE DE ACESSO</vt:lpstr>
      <vt:lpstr>AGENTES_CONS</vt:lpstr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2016-12-20T12:48:33Z</dcterms:created>
  <dcterms:modified xsi:type="dcterms:W3CDTF">2018-12-26T02:11:51Z</dcterms:modified>
</cp:coreProperties>
</file>