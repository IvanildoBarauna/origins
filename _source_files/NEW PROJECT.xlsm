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MEUS PROJETOS\"/>
    </mc:Choice>
  </mc:AlternateContent>
  <bookViews>
    <workbookView xWindow="0" yWindow="0" windowWidth="20490" windowHeight="7530" activeTab="4" xr2:uid="{00000000-000D-0000-FFFF-FFFF00000000}"/>
  </bookViews>
  <sheets>
    <sheet name="CAPA" sheetId="4" r:id="rId1"/>
    <sheet name="SLA" sheetId="3" r:id="rId2"/>
    <sheet name="BACKLOG" sheetId="2" r:id="rId3"/>
    <sheet name="CASOS" sheetId="1" r:id="rId4"/>
    <sheet name="MAPA OPERACIONAL" sheetId="5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" i="2" l="1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</calcChain>
</file>

<file path=xl/sharedStrings.xml><?xml version="1.0" encoding="utf-8"?>
<sst xmlns="http://schemas.openxmlformats.org/spreadsheetml/2006/main" count="1688" uniqueCount="814">
  <si>
    <t>Origem do caso</t>
  </si>
  <si>
    <t>Número do caso</t>
  </si>
  <si>
    <t>Nome da conta: Nome da conta</t>
  </si>
  <si>
    <t>Nome do contato: Telefone residencial</t>
  </si>
  <si>
    <t>Nome do contato: Celular</t>
  </si>
  <si>
    <t>Nome do contato: Outro telefone</t>
  </si>
  <si>
    <t>Status</t>
  </si>
  <si>
    <t>Assunto</t>
  </si>
  <si>
    <t>Criado por: Agente Número do Funcionário</t>
  </si>
  <si>
    <t>Modificado por último pelo Agente: Agente Número do Funcionário</t>
  </si>
  <si>
    <t>Proprietário do caso: Nome completo</t>
  </si>
  <si>
    <t>Ativo: Descrição do produto</t>
  </si>
  <si>
    <t>Ativo: Produto: Linha de produto</t>
  </si>
  <si>
    <t>Tipo garantia</t>
  </si>
  <si>
    <t>Data/Hora de abertura</t>
  </si>
  <si>
    <t>Data da última modificação</t>
  </si>
  <si>
    <t>Telefone</t>
  </si>
  <si>
    <t>3036050718</t>
  </si>
  <si>
    <t>MARCIO VINICIUS DE CASTRO BARCELOS</t>
  </si>
  <si>
    <t>(313)4686269</t>
  </si>
  <si>
    <t>31996963770</t>
  </si>
  <si>
    <t>Pendente de retorno de chamada</t>
  </si>
  <si>
    <t>NAO DA BOOT PELO PENDRIVE</t>
  </si>
  <si>
    <t>p5907259</t>
  </si>
  <si>
    <t>Jonatas Tenorio</t>
  </si>
  <si>
    <t>HP Pavilion 360 - 11-n127br</t>
  </si>
  <si>
    <t>KV</t>
  </si>
  <si>
    <t>Fora de garantia</t>
  </si>
  <si>
    <t>3036061164</t>
  </si>
  <si>
    <t>TATIANA DE OLIVEIRA</t>
  </si>
  <si>
    <t>(413)0140321</t>
  </si>
  <si>
    <t>41999644495</t>
  </si>
  <si>
    <t>ERRO DE CARTUCHO</t>
  </si>
  <si>
    <t>p2728681</t>
  </si>
  <si>
    <t>HP DeskJet Ink Advantage 3636 All-in-One Printer</t>
  </si>
  <si>
    <t>2N</t>
  </si>
  <si>
    <t>Garantia de fábrica</t>
  </si>
  <si>
    <t>3036087550</t>
  </si>
  <si>
    <t>NICELINA ISABELA R DA ROSA</t>
  </si>
  <si>
    <t>(473)4360733</t>
  </si>
  <si>
    <t>47991860238</t>
  </si>
  <si>
    <t>PROBLEMA NO CARTUCHO</t>
  </si>
  <si>
    <t>p4460230</t>
  </si>
  <si>
    <t>HP Deskjet Ink Advantage 2546 All-in-One Printer</t>
  </si>
  <si>
    <t>3036120324</t>
  </si>
  <si>
    <t>JEFFERSON RIPI DA SILVA</t>
  </si>
  <si>
    <t>14981099922</t>
  </si>
  <si>
    <t>11999176445</t>
  </si>
  <si>
    <t>NAO CONECTA NA REDE WIRELESS</t>
  </si>
  <si>
    <t>p3677883</t>
  </si>
  <si>
    <t>HP DeskJet Ink Advantage 4676 All-in-One Printer</t>
  </si>
  <si>
    <t>4H</t>
  </si>
  <si>
    <t>3036120462</t>
  </si>
  <si>
    <t>DEBORA APARECIDA FARINA</t>
  </si>
  <si>
    <t>(114)0363865</t>
  </si>
  <si>
    <t>11972502334</t>
  </si>
  <si>
    <t>INSTALAÇAO</t>
  </si>
  <si>
    <t>p6568265</t>
  </si>
  <si>
    <t>HP OfficeJet Pro 6230 ePrinter</t>
  </si>
  <si>
    <t>7T</t>
  </si>
  <si>
    <t>3036130795</t>
  </si>
  <si>
    <t>LUAN BANE NERY JACCOUD</t>
  </si>
  <si>
    <t>(753)3312515</t>
  </si>
  <si>
    <t>75999226630</t>
  </si>
  <si>
    <t>ATOLAMENTO DE PAPEL</t>
  </si>
  <si>
    <t>HP Deskjet Ink Advantage 4615 All-in-One Printer</t>
  </si>
  <si>
    <t>3036153896</t>
  </si>
  <si>
    <t>KELLY CRISTINA MOURA</t>
  </si>
  <si>
    <t>(273)7633353</t>
  </si>
  <si>
    <t>27999883371</t>
  </si>
  <si>
    <t>27998490869</t>
  </si>
  <si>
    <t>DUPLICAÇÃO DE IMPRESSÃO</t>
  </si>
  <si>
    <t>p6526289</t>
  </si>
  <si>
    <t>HP LaserJet Pro MFP M127fn</t>
  </si>
  <si>
    <t>2Q</t>
  </si>
  <si>
    <t>3036154536</t>
  </si>
  <si>
    <t>NEEMIAS DA SILVA MARINHO</t>
  </si>
  <si>
    <t>84988015950</t>
  </si>
  <si>
    <t>84988985519</t>
  </si>
  <si>
    <t>FALHA NA CABEÇA DE IMPRESSÃO</t>
  </si>
  <si>
    <t>HP Officejet Pro 8610 e-All-in-One Printer</t>
  </si>
  <si>
    <t>3036154936</t>
  </si>
  <si>
    <t>RODRIGO NOGUEIRA SOFF</t>
  </si>
  <si>
    <t>(613)5227591</t>
  </si>
  <si>
    <t>61992683626</t>
  </si>
  <si>
    <t>ERRO DE CABEÇOTE</t>
  </si>
  <si>
    <t>HP Officejet Pro 6830 e-All-in-One Printer</t>
  </si>
  <si>
    <t>3036156845</t>
  </si>
  <si>
    <t>ANA CATARINA ONOFRI DANTAS</t>
  </si>
  <si>
    <t>31998730383</t>
  </si>
  <si>
    <t>CUT - INSTALAÇAO SEM FIO</t>
  </si>
  <si>
    <t>3036213082</t>
  </si>
  <si>
    <t>BRUNO PESSOA DA SILVA MALTA</t>
  </si>
  <si>
    <t>(813)3412766</t>
  </si>
  <si>
    <t>81996330463</t>
  </si>
  <si>
    <t>(813)3419365</t>
  </si>
  <si>
    <t>HP OfficeJet 7110 Wide Format ePrinter - H812a</t>
  </si>
  <si>
    <t>DU</t>
  </si>
  <si>
    <t>3036217623</t>
  </si>
  <si>
    <t>JECICA LIMA DO CARMO TELES</t>
  </si>
  <si>
    <t>(753)2433651</t>
  </si>
  <si>
    <t>75988894947</t>
  </si>
  <si>
    <t>PROBLEMA NO CARTUCHO PRETO</t>
  </si>
  <si>
    <t>HP Deskjet 3050 All-in-One Printer - J610a</t>
  </si>
  <si>
    <t>3036249758</t>
  </si>
  <si>
    <t>MARCELO VALE ASARI</t>
  </si>
  <si>
    <t>61981364780</t>
  </si>
  <si>
    <t>Em processo</t>
  </si>
  <si>
    <t>NAO TRACIONA PAPEL</t>
  </si>
  <si>
    <t>p1045411</t>
  </si>
  <si>
    <t>LAR-P-SITL_SAO_BR-PT-BCD_CONS-LVL1</t>
  </si>
  <si>
    <t>HP DeskJet Ink Advantage Ultra 4729 All-in-One Printer</t>
  </si>
  <si>
    <t>3036254361</t>
  </si>
  <si>
    <t>RITA DE CASSIA POLI RIZZO</t>
  </si>
  <si>
    <t>(112)4781987</t>
  </si>
  <si>
    <t>11999129560</t>
  </si>
  <si>
    <t>Pendente de ação do cliente</t>
  </si>
  <si>
    <t>NÃO TRACIONA O PAPEL</t>
  </si>
  <si>
    <t>p8230241</t>
  </si>
  <si>
    <t>LAR-E-SITL_SAO_BR-PT-ALL_CONS-LVL1</t>
  </si>
  <si>
    <t>HP Officejet Pro 8100 ePrinter - N811a/N811d</t>
  </si>
  <si>
    <t>3036254664</t>
  </si>
  <si>
    <t>DANIELA SILVA DE FREITAS TOME</t>
  </si>
  <si>
    <t>(114)5091205</t>
  </si>
  <si>
    <t>11966467680</t>
  </si>
  <si>
    <t>Pendente de autorização da HP</t>
  </si>
  <si>
    <t>TCO - CONTATO DIRETO</t>
  </si>
  <si>
    <t>p2789154</t>
  </si>
  <si>
    <t>p5032821</t>
  </si>
  <si>
    <t>fernando tavares</t>
  </si>
  <si>
    <t>3036259341</t>
  </si>
  <si>
    <t>RAISSA FIGUEIREDO LACERDA</t>
  </si>
  <si>
    <t>11965172375</t>
  </si>
  <si>
    <t>61994415555</t>
  </si>
  <si>
    <t>NÃO INICIA</t>
  </si>
  <si>
    <t>HP Pavilion 11-n025br x360 PC</t>
  </si>
  <si>
    <t>3036262625</t>
  </si>
  <si>
    <t>CARLOS HENRIQUE KUCZKOWFKI RODRIGUES</t>
  </si>
  <si>
    <t>44998842326</t>
  </si>
  <si>
    <t>43996051428</t>
  </si>
  <si>
    <t>NAO INICIA</t>
  </si>
  <si>
    <t>p1643405</t>
  </si>
  <si>
    <t>HP 7.1 1201br Tablet</t>
  </si>
  <si>
    <t>4T</t>
  </si>
  <si>
    <t>3036287214</t>
  </si>
  <si>
    <t>SAMYR HISSA</t>
  </si>
  <si>
    <t>(222)7238080</t>
  </si>
  <si>
    <t>22999812600</t>
  </si>
  <si>
    <t>Elevar para Mentor</t>
  </si>
  <si>
    <t>NÃO IMPRIME EM A3</t>
  </si>
  <si>
    <t>p0094489</t>
  </si>
  <si>
    <t>renato miranda</t>
  </si>
  <si>
    <t>HP OfficeJet 7612 Wide Format e-All-in-One</t>
  </si>
  <si>
    <t>3036287345</t>
  </si>
  <si>
    <t>ADONIS JOSE DE FREITAS VIEIRA</t>
  </si>
  <si>
    <t>(114)4564782</t>
  </si>
  <si>
    <t>11975359466</t>
  </si>
  <si>
    <t>V# NÃO INICIA</t>
  </si>
  <si>
    <t>HP Notebook - 14-ac102br</t>
  </si>
  <si>
    <t>3036287719</t>
  </si>
  <si>
    <t>MARIA DALINE DE QUEIROZ</t>
  </si>
  <si>
    <t>(843)3512590</t>
  </si>
  <si>
    <t>84998562975</t>
  </si>
  <si>
    <t>v# PROBLEMA NO CABEÇOTE DE IMPRESSAO</t>
  </si>
  <si>
    <t>Ivanildo Junior</t>
  </si>
  <si>
    <t>3036319798</t>
  </si>
  <si>
    <t>GUSTAVO AUGUSTO DE MOURA E SILVA</t>
  </si>
  <si>
    <t>3132115900</t>
  </si>
  <si>
    <t>31973065612</t>
  </si>
  <si>
    <t>PROBLEMA NO CABEÇOTE DE IMPRESSÃO</t>
  </si>
  <si>
    <t>p3746576</t>
  </si>
  <si>
    <t>3036320713</t>
  </si>
  <si>
    <t>JOAO PAULO ALMEIDA DOS SANTOS</t>
  </si>
  <si>
    <t>(833)2012394</t>
  </si>
  <si>
    <t>83988302743</t>
  </si>
  <si>
    <t>ITEM FALTANTE</t>
  </si>
  <si>
    <t>3036321208</t>
  </si>
  <si>
    <t>EDUARDO D AMARAL PACHECO</t>
  </si>
  <si>
    <t>(112)6351359</t>
  </si>
  <si>
    <t>11996893499</t>
  </si>
  <si>
    <t>CARRO TRAVADO</t>
  </si>
  <si>
    <t>p2781169</t>
  </si>
  <si>
    <t>3036321549</t>
  </si>
  <si>
    <t>VALDIRENE MERCES DA SILVA SANTOS</t>
  </si>
  <si>
    <t>91987070654</t>
  </si>
  <si>
    <t>ERRO NO CARTUCHO PRETO</t>
  </si>
  <si>
    <t>3036321584</t>
  </si>
  <si>
    <t>SILVIO MASATO OHNISHI</t>
  </si>
  <si>
    <t>12988906879</t>
  </si>
  <si>
    <t>NAO RECONHECE CARTUCHO PRETO</t>
  </si>
  <si>
    <t>HP DeskJet Ink Advantage 2136 All-in-One Printer</t>
  </si>
  <si>
    <t>3036321649</t>
  </si>
  <si>
    <t>CARLOS ALBERTO PACHECO COCCARELLI</t>
  </si>
  <si>
    <t>2225282297</t>
  </si>
  <si>
    <t>21999959484</t>
  </si>
  <si>
    <t>IMPRESSÃO SAI SEM CIANO</t>
  </si>
  <si>
    <t>3036322285</t>
  </si>
  <si>
    <t>EDUARDO MARINHO</t>
  </si>
  <si>
    <t>7933461672</t>
  </si>
  <si>
    <t>79988003336</t>
  </si>
  <si>
    <t>E4 -NÃO TRACIONA</t>
  </si>
  <si>
    <t>3036322370</t>
  </si>
  <si>
    <t>JOSMAR CORREA RIBEIRO</t>
  </si>
  <si>
    <t>6536272031</t>
  </si>
  <si>
    <t>65984112172</t>
  </si>
  <si>
    <t>ERRO DE CABECA DE IMPRESSAO</t>
  </si>
  <si>
    <t>p2108790</t>
  </si>
  <si>
    <t>daniel doliveira</t>
  </si>
  <si>
    <t>3036322988</t>
  </si>
  <si>
    <t>LAURA DE ANDRADE MOREIRA</t>
  </si>
  <si>
    <t>2421094034</t>
  </si>
  <si>
    <t>21981476359</t>
  </si>
  <si>
    <t>24992614685</t>
  </si>
  <si>
    <t>AJUDA NO MANUSEIO DO EQUIPAMENTO E SEUS COMPONENTES.</t>
  </si>
  <si>
    <t>3036323009</t>
  </si>
  <si>
    <t>SUZANA AZEVEDO DE OLIVEIRA</t>
  </si>
  <si>
    <t>32988768623</t>
  </si>
  <si>
    <t>32988412852</t>
  </si>
  <si>
    <t>3036323845</t>
  </si>
  <si>
    <t>ANA PAULA SANTOS</t>
  </si>
  <si>
    <t>9935254761</t>
  </si>
  <si>
    <t>99982375504</t>
  </si>
  <si>
    <t>NÃO PUXA O PAPEL</t>
  </si>
  <si>
    <t>3036324095</t>
  </si>
  <si>
    <t>ANA RODRIGUES MAXIMO</t>
  </si>
  <si>
    <t>2731200008</t>
  </si>
  <si>
    <t>27996483411</t>
  </si>
  <si>
    <t>NAO LIGA</t>
  </si>
  <si>
    <t>HP DeskJet Ink Advantage 4536 All-in-One Printer</t>
  </si>
  <si>
    <t>5M</t>
  </si>
  <si>
    <t>3036324354</t>
  </si>
  <si>
    <t>HIROMI ICHIJO</t>
  </si>
  <si>
    <t>(112)7710431</t>
  </si>
  <si>
    <t>15974011724</t>
  </si>
  <si>
    <t>NÃO RECONHECE CARTUCHO COLORIDO</t>
  </si>
  <si>
    <t>p0648935</t>
  </si>
  <si>
    <t>3036326242</t>
  </si>
  <si>
    <t>CLAUDINEI FELIS</t>
  </si>
  <si>
    <t>1436522291</t>
  </si>
  <si>
    <t>14981668041</t>
  </si>
  <si>
    <t>p5444277</t>
  </si>
  <si>
    <t>3036328102</t>
  </si>
  <si>
    <t>ETTORE LEITE DE SOUZA</t>
  </si>
  <si>
    <t>1532252334</t>
  </si>
  <si>
    <t>IMPRESSORA ENTRA EM MODO DE RESFRIAMENTO</t>
  </si>
  <si>
    <t>LAR-E-SITL_SAO_BR-PT-ALL-POP0</t>
  </si>
  <si>
    <t>HP Color LaserJet Pro MFP M176n</t>
  </si>
  <si>
    <t>3036330627</t>
  </si>
  <si>
    <t>MAIANA ALMEIDA LIMA SABOIA</t>
  </si>
  <si>
    <t>5135199456</t>
  </si>
  <si>
    <t>51981859901</t>
  </si>
  <si>
    <t>3036336883</t>
  </si>
  <si>
    <t>ADILSON PEREIRA DE GODOY</t>
  </si>
  <si>
    <t>1140356122</t>
  </si>
  <si>
    <t>11971313166</t>
  </si>
  <si>
    <t>NÃO INSTALAÇÃO</t>
  </si>
  <si>
    <t>3036351800</t>
  </si>
  <si>
    <t>Klevisson Araújo</t>
  </si>
  <si>
    <t>84996204433</t>
  </si>
  <si>
    <t>84994413710</t>
  </si>
  <si>
    <t>RISCO NO ADF NA DIGITALIZACAO E COPIA</t>
  </si>
  <si>
    <t>HP Officejet Pro 8620 e-All-in-One Printer</t>
  </si>
  <si>
    <t>3036352577</t>
  </si>
  <si>
    <t>Ro Schmittd</t>
  </si>
  <si>
    <t>21967112903</t>
  </si>
  <si>
    <t>11997477498</t>
  </si>
  <si>
    <t>TOUCHSCREAN NAO FUNCIONA</t>
  </si>
  <si>
    <t>HP Pavilion x360 - 11-n226br (ENERGY STAR)</t>
  </si>
  <si>
    <t>3036352805</t>
  </si>
  <si>
    <t>ANTONIO AMORIM DE SOUZA</t>
  </si>
  <si>
    <t>1238825162</t>
  </si>
  <si>
    <t>12996080037</t>
  </si>
  <si>
    <t>ITENS FALTANTES</t>
  </si>
  <si>
    <t>Jesse Martins</t>
  </si>
  <si>
    <t>3036354379</t>
  </si>
  <si>
    <t>ADRIANO GUERIN</t>
  </si>
  <si>
    <t>1136134000</t>
  </si>
  <si>
    <t>11999778768</t>
  </si>
  <si>
    <t>1147488059</t>
  </si>
  <si>
    <t>HP All-in-One - 18-5200br (ENERGY STAR)</t>
  </si>
  <si>
    <t>6J</t>
  </si>
  <si>
    <t>3036354532</t>
  </si>
  <si>
    <t>ERIKA DE SOUSA SANTOS</t>
  </si>
  <si>
    <t>1146664680</t>
  </si>
  <si>
    <t>1146679024</t>
  </si>
  <si>
    <t>CUT - PIXELS QUEIMADOS</t>
  </si>
  <si>
    <t>HP Notebook - 14-ap010</t>
  </si>
  <si>
    <t>3036355492</t>
  </si>
  <si>
    <t>SILVANIA FUZER</t>
  </si>
  <si>
    <t>4132629062</t>
  </si>
  <si>
    <t>41991171158</t>
  </si>
  <si>
    <t>ATOLAMENTO DE PAPEL DURANTE IMPRESSAO</t>
  </si>
  <si>
    <t>HP OfficeJet Pro 8710 All-in-One Printer</t>
  </si>
  <si>
    <t>3036355588</t>
  </si>
  <si>
    <t>TANIA CECILIA PAIXAO MENDES</t>
  </si>
  <si>
    <t>5133515206</t>
  </si>
  <si>
    <t>51996462714</t>
  </si>
  <si>
    <t>51984905515</t>
  </si>
  <si>
    <t>TELA PISCANDO</t>
  </si>
  <si>
    <t>3036361957</t>
  </si>
  <si>
    <t>VINICIUS FERREIRA GOMES</t>
  </si>
  <si>
    <t>2136596540</t>
  </si>
  <si>
    <t>21999465642</t>
  </si>
  <si>
    <t>FALHA NA CABECA DE IMPRESSAO</t>
  </si>
  <si>
    <t>p5927755</t>
  </si>
  <si>
    <t>Rosangela Souza</t>
  </si>
  <si>
    <t>3036363426</t>
  </si>
  <si>
    <t>ADELSON PEREIRA DA SILVA</t>
  </si>
  <si>
    <t>1138360734</t>
  </si>
  <si>
    <t>11973787285</t>
  </si>
  <si>
    <t>1138322270</t>
  </si>
  <si>
    <t>IMPRIME UMA FOLHA EM BRANCO A MAIS</t>
  </si>
  <si>
    <t>Name</t>
  </si>
  <si>
    <t>Leader</t>
  </si>
  <si>
    <t>Cell</t>
  </si>
  <si>
    <t>Network</t>
  </si>
  <si>
    <t>BPID</t>
  </si>
  <si>
    <t>Raphael Pereira Stahlschmidt</t>
  </si>
  <si>
    <t>Diego Guimaraes Rosa</t>
  </si>
  <si>
    <t>Ativo</t>
  </si>
  <si>
    <t>BCD</t>
  </si>
  <si>
    <t>-</t>
  </si>
  <si>
    <t>rstah001</t>
  </si>
  <si>
    <t>Marcos Paulo da Silva Batista</t>
  </si>
  <si>
    <t>P3579712</t>
  </si>
  <si>
    <t>Vanessa De Oliveira Bassi</t>
  </si>
  <si>
    <t>vbass001</t>
  </si>
  <si>
    <t>P3518751</t>
  </si>
  <si>
    <t>Danilo Santiago De Freitas</t>
  </si>
  <si>
    <t>dfrei002</t>
  </si>
  <si>
    <t>P1004641</t>
  </si>
  <si>
    <t>Lilian Felix</t>
  </si>
  <si>
    <t>lfeli003</t>
  </si>
  <si>
    <t>P3857407</t>
  </si>
  <si>
    <t>Nicodemos Loureiro</t>
  </si>
  <si>
    <t>Licença</t>
  </si>
  <si>
    <t>nlour001</t>
  </si>
  <si>
    <t>P1212986</t>
  </si>
  <si>
    <t>Rafael Ferreira Butinhao</t>
  </si>
  <si>
    <t>Maria Cristina de Assis Marques</t>
  </si>
  <si>
    <t>ECR</t>
  </si>
  <si>
    <t>rbuti001</t>
  </si>
  <si>
    <t>P2214258</t>
  </si>
  <si>
    <t>Flavia Helena Teixeira Joaquim</t>
  </si>
  <si>
    <t>fjoaq001</t>
  </si>
  <si>
    <t>P1500031</t>
  </si>
  <si>
    <t>Jennifer Cristina Vieira Do Amaral</t>
  </si>
  <si>
    <t>jamar002</t>
  </si>
  <si>
    <t>P2174521</t>
  </si>
  <si>
    <t>Mariana Irene Fialho Juvino</t>
  </si>
  <si>
    <t>Férias</t>
  </si>
  <si>
    <t>mjuvi001</t>
  </si>
  <si>
    <t>P0859034</t>
  </si>
  <si>
    <t>Andreia Agnes Campell Gino</t>
  </si>
  <si>
    <t>agino001</t>
  </si>
  <si>
    <t>P5641580</t>
  </si>
  <si>
    <t>Geisla da Paz Catharino</t>
  </si>
  <si>
    <t>gcath001</t>
  </si>
  <si>
    <t>P8062621</t>
  </si>
  <si>
    <t>Vinicius De Sousa Brandao</t>
  </si>
  <si>
    <t>vbran002</t>
  </si>
  <si>
    <t>P3226453</t>
  </si>
  <si>
    <t>Gabriel Santos Do Carmo</t>
  </si>
  <si>
    <t>IPG</t>
  </si>
  <si>
    <t>gcarm001</t>
  </si>
  <si>
    <t>P6430846</t>
  </si>
  <si>
    <t>Diego Rodrigues Gonzales</t>
  </si>
  <si>
    <t>dgonz020</t>
  </si>
  <si>
    <t>P6853347</t>
  </si>
  <si>
    <t>Milena Ferreira Da Silva</t>
  </si>
  <si>
    <t>msilv062</t>
  </si>
  <si>
    <t>P4273347</t>
  </si>
  <si>
    <t>Fernanda Silva Nascimento</t>
  </si>
  <si>
    <t>fnasc001</t>
  </si>
  <si>
    <t>P3394883</t>
  </si>
  <si>
    <t>Hugo Marques De Freitas Martins</t>
  </si>
  <si>
    <t>Desligado</t>
  </si>
  <si>
    <t>hmart001</t>
  </si>
  <si>
    <t>P0782846</t>
  </si>
  <si>
    <t>Ramon Dos Santos Lima</t>
  </si>
  <si>
    <t>rlima008</t>
  </si>
  <si>
    <t>P7398291</t>
  </si>
  <si>
    <t>Vinicius Carvalho Perez</t>
  </si>
  <si>
    <t>FUPO</t>
  </si>
  <si>
    <t>vperez001</t>
  </si>
  <si>
    <t>P5092674</t>
  </si>
  <si>
    <t>Tiago Giatti De Sousa</t>
  </si>
  <si>
    <t>tsous001</t>
  </si>
  <si>
    <t>P1103391</t>
  </si>
  <si>
    <t>Beatriz Botelho Vargas</t>
  </si>
  <si>
    <t>bvarg002</t>
  </si>
  <si>
    <t>P0995052</t>
  </si>
  <si>
    <t>Davi Teodoro de Jesus</t>
  </si>
  <si>
    <t>djesu004</t>
  </si>
  <si>
    <t>P8212943</t>
  </si>
  <si>
    <t>Carlos Alexandre Da Silva</t>
  </si>
  <si>
    <t>csilv045</t>
  </si>
  <si>
    <t>P5668493</t>
  </si>
  <si>
    <t>Carlos Henrique De Lima</t>
  </si>
  <si>
    <t>FUPO SMS</t>
  </si>
  <si>
    <t>clima001</t>
  </si>
  <si>
    <t>P0776152</t>
  </si>
  <si>
    <t>Leandro Querino Nunes</t>
  </si>
  <si>
    <t>lnune010</t>
  </si>
  <si>
    <t>P2186142</t>
  </si>
  <si>
    <t>Ivanildo Cavalcante De Souza Junior</t>
  </si>
  <si>
    <t>Jefte Soares Da Silva</t>
  </si>
  <si>
    <t>FUPOTECH</t>
  </si>
  <si>
    <t>ijuni002</t>
  </si>
  <si>
    <t>Daniela Andrade Silva</t>
  </si>
  <si>
    <t>P2789154</t>
  </si>
  <si>
    <t>Wesley do Nascimento Albuquerque da S</t>
  </si>
  <si>
    <t>Reginaldo Santana De Souza</t>
  </si>
  <si>
    <t>wsilv028</t>
  </si>
  <si>
    <t>P0944884</t>
  </si>
  <si>
    <t>Tiago Ferreira da Silva</t>
  </si>
  <si>
    <t>tsilv031</t>
  </si>
  <si>
    <t>P1152966</t>
  </si>
  <si>
    <t>Taina Alexsander Fernandes Pires</t>
  </si>
  <si>
    <t>Vinicius Loula De Sousa</t>
  </si>
  <si>
    <t>PSG</t>
  </si>
  <si>
    <t>tpire001</t>
  </si>
  <si>
    <t>P3229330</t>
  </si>
  <si>
    <t>Fernando Souza De Almeida</t>
  </si>
  <si>
    <t>Marcelo Dos Santos Mesquita Melo</t>
  </si>
  <si>
    <t>falme004</t>
  </si>
  <si>
    <t>P5973917</t>
  </si>
  <si>
    <t>Vanderlei Valentim Vieira</t>
  </si>
  <si>
    <t>vviei002</t>
  </si>
  <si>
    <t>P5956452</t>
  </si>
  <si>
    <t>Matheus Cardoso Silva</t>
  </si>
  <si>
    <t>msilv096</t>
  </si>
  <si>
    <t>P0648935</t>
  </si>
  <si>
    <t>Lais Silva Pereira</t>
  </si>
  <si>
    <t>lpere058</t>
  </si>
  <si>
    <t>P3677883</t>
  </si>
  <si>
    <t>Luciana Souza Pereira</t>
  </si>
  <si>
    <t>lpere003</t>
  </si>
  <si>
    <t>P4239658</t>
  </si>
  <si>
    <t>Wendrey Schumaher Lara</t>
  </si>
  <si>
    <t>wlara004</t>
  </si>
  <si>
    <t>P3746576</t>
  </si>
  <si>
    <t>Jesse Prates Martins</t>
  </si>
  <si>
    <t>jmart003</t>
  </si>
  <si>
    <t>P1045411</t>
  </si>
  <si>
    <t>Caroline Amparo Nunes</t>
  </si>
  <si>
    <t>campa003</t>
  </si>
  <si>
    <t>P4759646</t>
  </si>
  <si>
    <t>Denyse Souza Santos</t>
  </si>
  <si>
    <t>dsouz009</t>
  </si>
  <si>
    <t>P6526289</t>
  </si>
  <si>
    <t>Natasha Julia de Paulo</t>
  </si>
  <si>
    <t>Treinamento</t>
  </si>
  <si>
    <t>ndepa001</t>
  </si>
  <si>
    <t>Mateus Daniel Amaral Silva</t>
  </si>
  <si>
    <t>mamar006</t>
  </si>
  <si>
    <t>Edilson Nunes De Souza</t>
  </si>
  <si>
    <t>esouz004</t>
  </si>
  <si>
    <t>P2781169</t>
  </si>
  <si>
    <t>Joao Paulo Yasuda</t>
  </si>
  <si>
    <t>jyasu001</t>
  </si>
  <si>
    <t>P1083823</t>
  </si>
  <si>
    <t>Thiago Souza Herraez</t>
  </si>
  <si>
    <t>therr003</t>
  </si>
  <si>
    <t>P8230241</t>
  </si>
  <si>
    <t>Caio Pires da Luz</t>
  </si>
  <si>
    <t>cpluz001</t>
  </si>
  <si>
    <t>P3125922</t>
  </si>
  <si>
    <t>Luiz Fernando dos Santos Ferreira</t>
  </si>
  <si>
    <t>lferr008</t>
  </si>
  <si>
    <t>P1643405</t>
  </si>
  <si>
    <t>Jonatas Gomes Tenorio</t>
  </si>
  <si>
    <t>jteno002</t>
  </si>
  <si>
    <t>P5907259</t>
  </si>
  <si>
    <t>Henrique Eulalio De Sousa</t>
  </si>
  <si>
    <t>heula001</t>
  </si>
  <si>
    <t>P6568265</t>
  </si>
  <si>
    <t>Vinicius Ferreira Gomes</t>
  </si>
  <si>
    <t>Backup</t>
  </si>
  <si>
    <t>Vgome001</t>
  </si>
  <si>
    <t>P6034761</t>
  </si>
  <si>
    <t>Daniel Dantas De Oliveira</t>
  </si>
  <si>
    <t>doliv015</t>
  </si>
  <si>
    <t>P2108790</t>
  </si>
  <si>
    <t>Vinicius Marques Ferreira Silva</t>
  </si>
  <si>
    <t>vsilv035</t>
  </si>
  <si>
    <t>P4460230</t>
  </si>
  <si>
    <t>Paul Ever Honores Maida</t>
  </si>
  <si>
    <t>pmaid001</t>
  </si>
  <si>
    <t>P5776112</t>
  </si>
  <si>
    <t>Zaelly Suerfia Ferreira da Costa</t>
  </si>
  <si>
    <t>zcost001</t>
  </si>
  <si>
    <t>P2728681</t>
  </si>
  <si>
    <t>Francisco De Assis Devides</t>
  </si>
  <si>
    <t>fdevi001</t>
  </si>
  <si>
    <t>P4567186</t>
  </si>
  <si>
    <t>Elisangela Rodrigues De Oliveira</t>
  </si>
  <si>
    <t>eoliv017</t>
  </si>
  <si>
    <t>P2369653</t>
  </si>
  <si>
    <t>Jean Carlos Gomes Carrara</t>
  </si>
  <si>
    <t>jcach001</t>
  </si>
  <si>
    <t>P2475434</t>
  </si>
  <si>
    <t>Paulo Wueliton Horacio Fernandes</t>
  </si>
  <si>
    <t>pfern033</t>
  </si>
  <si>
    <t>P2848236</t>
  </si>
  <si>
    <t>Adelson Marcos Rodrigues Moreira</t>
  </si>
  <si>
    <t>amore008</t>
  </si>
  <si>
    <t>P4328875</t>
  </si>
  <si>
    <t>Rosangela Cosmo De Souza</t>
  </si>
  <si>
    <t>rsouz010</t>
  </si>
  <si>
    <t>P5927755</t>
  </si>
  <si>
    <t>Odonilton Firmino de Moura</t>
  </si>
  <si>
    <t>omour001</t>
  </si>
  <si>
    <t>P5364269</t>
  </si>
  <si>
    <t>Janio Vinicius Inacio Custodio</t>
  </si>
  <si>
    <t>jcust004</t>
  </si>
  <si>
    <t>P0638092</t>
  </si>
  <si>
    <t>Bruno Romualdo Dos Santos</t>
  </si>
  <si>
    <t>bsant009</t>
  </si>
  <si>
    <t>P4359210</t>
  </si>
  <si>
    <t>Caio Eiji Arai</t>
  </si>
  <si>
    <t>carai001</t>
  </si>
  <si>
    <t>P7972394</t>
  </si>
  <si>
    <t>Thiago Santos Amaral</t>
  </si>
  <si>
    <t>tamar002</t>
  </si>
  <si>
    <t>P5444277</t>
  </si>
  <si>
    <t>Alexandre Martins Martinez</t>
  </si>
  <si>
    <t>amart050</t>
  </si>
  <si>
    <t>P7213506</t>
  </si>
  <si>
    <t>Bruno Henrique Santos Da Silva</t>
  </si>
  <si>
    <t>bsilv006</t>
  </si>
  <si>
    <t>P6414582</t>
  </si>
  <si>
    <t>Kaio Victor de Santana</t>
  </si>
  <si>
    <t>ksant044</t>
  </si>
  <si>
    <t>P2301326</t>
  </si>
  <si>
    <t>Reginaldo de Araujo Rosario</t>
  </si>
  <si>
    <t>rrosa038</t>
  </si>
  <si>
    <t>P3194960</t>
  </si>
  <si>
    <t xml:space="preserve">Leandro Ferreira Batista </t>
  </si>
  <si>
    <t>lferr025</t>
  </si>
  <si>
    <t>P3390194</t>
  </si>
  <si>
    <t>Priscila Teixeira Nedealcov</t>
  </si>
  <si>
    <t>pnede001</t>
  </si>
  <si>
    <t>P0785805</t>
  </si>
  <si>
    <t xml:space="preserve">Thiago De Carvalho Silva </t>
  </si>
  <si>
    <t>tdec001</t>
  </si>
  <si>
    <t>P3799272</t>
  </si>
  <si>
    <t>Victor Arruda Do Carmo</t>
  </si>
  <si>
    <t>vcarm004</t>
  </si>
  <si>
    <t>P2835631</t>
  </si>
  <si>
    <t>Thiago Maciel Lima</t>
  </si>
  <si>
    <t>tlima004</t>
  </si>
  <si>
    <t>P3266513</t>
  </si>
  <si>
    <t>Thais Benevides Lopes</t>
  </si>
  <si>
    <t>tlope001</t>
  </si>
  <si>
    <t>P2113211</t>
  </si>
  <si>
    <t>David Quirino de Melo</t>
  </si>
  <si>
    <t>dmelo007</t>
  </si>
  <si>
    <t>P7658372</t>
  </si>
  <si>
    <t>Douglas Fonseca Da Silva</t>
  </si>
  <si>
    <t>dsilv014</t>
  </si>
  <si>
    <t>P2424066</t>
  </si>
  <si>
    <t>Jose Dos Santos Souza Lima Junior</t>
  </si>
  <si>
    <t>jjuni010</t>
  </si>
  <si>
    <t>P8022832</t>
  </si>
  <si>
    <t>Renato Miranda Dos Santos</t>
  </si>
  <si>
    <t>Mentor</t>
  </si>
  <si>
    <t>rsant063</t>
  </si>
  <si>
    <t>P0094489</t>
  </si>
  <si>
    <t>Alan Diego Da Silva</t>
  </si>
  <si>
    <t>asilv085</t>
  </si>
  <si>
    <t>P8125016</t>
  </si>
  <si>
    <t xml:space="preserve">Sergio Giunti Junior </t>
  </si>
  <si>
    <t>sjuni008</t>
  </si>
  <si>
    <t>P3581095</t>
  </si>
  <si>
    <t>Dayane de Souza Ferreira</t>
  </si>
  <si>
    <t>dferr007</t>
  </si>
  <si>
    <t>P2032096</t>
  </si>
  <si>
    <t>Claudio Hideki Nakamura</t>
  </si>
  <si>
    <t>cnaka001</t>
  </si>
  <si>
    <t>P5477566</t>
  </si>
  <si>
    <t>Jessika Aparecida Vieira Do Amaral</t>
  </si>
  <si>
    <t>Mídia Social</t>
  </si>
  <si>
    <t>jamar014</t>
  </si>
  <si>
    <t>P0289742</t>
  </si>
  <si>
    <t>Andressa Cristina Da Cruz Rosa</t>
  </si>
  <si>
    <t>arosa006</t>
  </si>
  <si>
    <t>P0677176</t>
  </si>
  <si>
    <t>Marivaldo Silva De Oliveira</t>
  </si>
  <si>
    <t>moliv042</t>
  </si>
  <si>
    <t>P7117533</t>
  </si>
  <si>
    <t>Valeria Amorim Dos Santos</t>
  </si>
  <si>
    <t>vsant020</t>
  </si>
  <si>
    <t>P1739203</t>
  </si>
  <si>
    <t>Agatha Vieira Silva</t>
  </si>
  <si>
    <t>asilv005</t>
  </si>
  <si>
    <t>P6593195</t>
  </si>
  <si>
    <t>Renato Jose Miranda Monteiro</t>
  </si>
  <si>
    <t>rmont026</t>
  </si>
  <si>
    <t>P1886262</t>
  </si>
  <si>
    <t>Roseli Izabel Da Silva</t>
  </si>
  <si>
    <t>rsilv070</t>
  </si>
  <si>
    <t>P1332916</t>
  </si>
  <si>
    <t>Artur Berteli De Figueiredo</t>
  </si>
  <si>
    <t>afigu004</t>
  </si>
  <si>
    <t>P0141830</t>
  </si>
  <si>
    <t>Rodolfo Barros De Araujo</t>
  </si>
  <si>
    <t>rarau007</t>
  </si>
  <si>
    <t>P7493805</t>
  </si>
  <si>
    <t>Erica Araujo</t>
  </si>
  <si>
    <t>Josue Cardoso De Oliveira</t>
  </si>
  <si>
    <t>Order Management</t>
  </si>
  <si>
    <t>earau007</t>
  </si>
  <si>
    <t>P0543876</t>
  </si>
  <si>
    <t>Kleber Santos Junior</t>
  </si>
  <si>
    <t>kjuni001</t>
  </si>
  <si>
    <t>P7503636</t>
  </si>
  <si>
    <t>Selma Maria Rodrigues</t>
  </si>
  <si>
    <t>srodr005</t>
  </si>
  <si>
    <t>P6549223</t>
  </si>
  <si>
    <t>Fernando De Melo Leite</t>
  </si>
  <si>
    <t>fleit001</t>
  </si>
  <si>
    <t>P4418300</t>
  </si>
  <si>
    <t>Juliane Dias Teixeira</t>
  </si>
  <si>
    <t>jteix001</t>
  </si>
  <si>
    <t>P2446994</t>
  </si>
  <si>
    <t>Jaqueline De Souza Silva</t>
  </si>
  <si>
    <t>jsilv051</t>
  </si>
  <si>
    <t>P4286458</t>
  </si>
  <si>
    <t>Priscila Ferreira Soutero</t>
  </si>
  <si>
    <t>psout001</t>
  </si>
  <si>
    <t>P4339329</t>
  </si>
  <si>
    <t>Lucas Almeida Dos Santos</t>
  </si>
  <si>
    <t>lsant008</t>
  </si>
  <si>
    <t>P2274964</t>
  </si>
  <si>
    <t>Fabio Perez Da Silva</t>
  </si>
  <si>
    <t>fsilv056</t>
  </si>
  <si>
    <t>P0407362</t>
  </si>
  <si>
    <t>Washington Silva De Oliveira</t>
  </si>
  <si>
    <t>woliv012</t>
  </si>
  <si>
    <t>P8101536</t>
  </si>
  <si>
    <t>Alvani Elizabete Aliano de Oliveira</t>
  </si>
  <si>
    <t>aoliv061</t>
  </si>
  <si>
    <t>P3140211</t>
  </si>
  <si>
    <t>Foi Bing Gun</t>
  </si>
  <si>
    <t>fbing001</t>
  </si>
  <si>
    <t>P1405322</t>
  </si>
  <si>
    <t>Rafael Dos Santos</t>
  </si>
  <si>
    <t>rsant109</t>
  </si>
  <si>
    <t>P7667182</t>
  </si>
  <si>
    <t>Leonardo Cantilho Maracas</t>
  </si>
  <si>
    <t>lmara001</t>
  </si>
  <si>
    <t>P1094319</t>
  </si>
  <si>
    <t>Daniel Sousa Pinheiro</t>
  </si>
  <si>
    <t>dsous004</t>
  </si>
  <si>
    <t>P3760576</t>
  </si>
  <si>
    <t>Felipe Alves Barbosa</t>
  </si>
  <si>
    <t>fbarb007</t>
  </si>
  <si>
    <t>P3688617</t>
  </si>
  <si>
    <t>Erico Luan de Jesus Silva</t>
  </si>
  <si>
    <t>esilv009</t>
  </si>
  <si>
    <t>P8090315</t>
  </si>
  <si>
    <t>Bruno Henrique Padua Colella</t>
  </si>
  <si>
    <t>bcole002</t>
  </si>
  <si>
    <t>P0207415</t>
  </si>
  <si>
    <t>Renato Da Silva Andrade</t>
  </si>
  <si>
    <t>randr008</t>
  </si>
  <si>
    <t>P2854913</t>
  </si>
  <si>
    <t>Renan Cazumba Tegani</t>
  </si>
  <si>
    <t>rtaga001</t>
  </si>
  <si>
    <t>P6986334</t>
  </si>
  <si>
    <t>Tony Fernandes De Andrade</t>
  </si>
  <si>
    <t>tandr003</t>
  </si>
  <si>
    <t>P3467883</t>
  </si>
  <si>
    <t>Levi De Sousa Barros</t>
  </si>
  <si>
    <t>lbarr005</t>
  </si>
  <si>
    <t>P5265742</t>
  </si>
  <si>
    <t>Andre Luis Batista De Abreu</t>
  </si>
  <si>
    <t>aabre003</t>
  </si>
  <si>
    <t>P4800088</t>
  </si>
  <si>
    <t>Marcos Nascimento Correia</t>
  </si>
  <si>
    <t>mcorr006</t>
  </si>
  <si>
    <t>P5440540</t>
  </si>
  <si>
    <t>Lucas Da Silva Pinto</t>
  </si>
  <si>
    <t>lpint007</t>
  </si>
  <si>
    <t>P6990158</t>
  </si>
  <si>
    <t>Stefany Aparecida Alexandre De Franca</t>
  </si>
  <si>
    <t>sfran060</t>
  </si>
  <si>
    <t>P4325338</t>
  </si>
  <si>
    <t>Clarina Praxedes Alfredo</t>
  </si>
  <si>
    <t>calfr001</t>
  </si>
  <si>
    <t>P6632347</t>
  </si>
  <si>
    <t>Mariana Tadim Estevao</t>
  </si>
  <si>
    <t>mtadi009</t>
  </si>
  <si>
    <t>P2025036</t>
  </si>
  <si>
    <t>Danielle Borges De Oliveira</t>
  </si>
  <si>
    <t>doliv018</t>
  </si>
  <si>
    <t>P1889086</t>
  </si>
  <si>
    <t>Filipe Augusto Fernandes De Oliveira</t>
  </si>
  <si>
    <t>foliv004</t>
  </si>
  <si>
    <t>P3002829</t>
  </si>
  <si>
    <t>Wellington Da Silva De Oliveira</t>
  </si>
  <si>
    <t>wsilv029</t>
  </si>
  <si>
    <t>P4317193</t>
  </si>
  <si>
    <t>Eduardo Paixao Oliveira</t>
  </si>
  <si>
    <t>eoliv027</t>
  </si>
  <si>
    <t>P7316808</t>
  </si>
  <si>
    <t>Kaio Fernandes</t>
  </si>
  <si>
    <t>kfern001</t>
  </si>
  <si>
    <t>P7505685</t>
  </si>
  <si>
    <t>Katiane Souza Almeida</t>
  </si>
  <si>
    <t>kalme001</t>
  </si>
  <si>
    <t>P8062756</t>
  </si>
  <si>
    <t>Alessandra Garcia Pasin</t>
  </si>
  <si>
    <t>Revenue Generation</t>
  </si>
  <si>
    <t>alessandre.pasin</t>
  </si>
  <si>
    <t>APASIN</t>
  </si>
  <si>
    <t>Mauricio Guimaraes Renesto</t>
  </si>
  <si>
    <t>TCO</t>
  </si>
  <si>
    <t>mrene001</t>
  </si>
  <si>
    <t>P4514679</t>
  </si>
  <si>
    <t>Anderson Soares Silveira</t>
  </si>
  <si>
    <t>asilv070</t>
  </si>
  <si>
    <t>P0152626</t>
  </si>
  <si>
    <t>Wesley Bertoldo Teixeira</t>
  </si>
  <si>
    <t>wteix002</t>
  </si>
  <si>
    <t>P5754610</t>
  </si>
  <si>
    <t>Gilmar Alves Gomes</t>
  </si>
  <si>
    <t>ggome001</t>
  </si>
  <si>
    <t>P4553604</t>
  </si>
  <si>
    <t>Viviane De Souza Magrini</t>
  </si>
  <si>
    <t>Emanuelle Lidiane Silva Matos</t>
  </si>
  <si>
    <t>emato002</t>
  </si>
  <si>
    <t>P6085529</t>
  </si>
  <si>
    <t>Fernando Quintino Tavares</t>
  </si>
  <si>
    <t>ftava001</t>
  </si>
  <si>
    <t>P5032821</t>
  </si>
  <si>
    <t>Ariel De Sousa Moura</t>
  </si>
  <si>
    <t>amour004</t>
  </si>
  <si>
    <t>P7802773</t>
  </si>
  <si>
    <t>Fabricio Serra</t>
  </si>
  <si>
    <t>fserr009</t>
  </si>
  <si>
    <t>P6296189</t>
  </si>
  <si>
    <t>Emerson De Lima Franca</t>
  </si>
  <si>
    <t>efran011</t>
  </si>
  <si>
    <t>P5426113</t>
  </si>
  <si>
    <t>Oliviana Saraiva Almeida</t>
  </si>
  <si>
    <t>oalme001</t>
  </si>
  <si>
    <t>P8161396</t>
  </si>
  <si>
    <t>Tatiane Barbosa Fonseca</t>
  </si>
  <si>
    <t>tfons001</t>
  </si>
  <si>
    <t>P7686813</t>
  </si>
  <si>
    <t>Patrik Ferreira Araujo</t>
  </si>
  <si>
    <t>parau003</t>
  </si>
  <si>
    <t>P1198859</t>
  </si>
  <si>
    <t>Jose Ricardo Torres Junior</t>
  </si>
  <si>
    <t>jjuni012</t>
  </si>
  <si>
    <t>P7210237</t>
  </si>
  <si>
    <t>Andrea Carla De Magalhaes</t>
  </si>
  <si>
    <t>Bruna Lima Canteiro</t>
  </si>
  <si>
    <t>Unassisted</t>
  </si>
  <si>
    <t>Ricardo Cairo Oliveira</t>
  </si>
  <si>
    <t>amaga002</t>
  </si>
  <si>
    <t>P3929743</t>
  </si>
  <si>
    <t>Lucas Alonso Huamani</t>
  </si>
  <si>
    <t>lhuam001</t>
  </si>
  <si>
    <t>P0921851</t>
  </si>
  <si>
    <t>Diego Ferrete Hernandes</t>
  </si>
  <si>
    <t>dhern053</t>
  </si>
  <si>
    <t>P4820778</t>
  </si>
  <si>
    <t>Suellen Souza Brandao</t>
  </si>
  <si>
    <t>sbran001</t>
  </si>
  <si>
    <t>P6720721</t>
  </si>
  <si>
    <t>Rafael Dal Bem Santa Cruz</t>
  </si>
  <si>
    <t>rcruz002</t>
  </si>
  <si>
    <t>P4937989</t>
  </si>
  <si>
    <t>Ana Cristina Da Silva Esteves</t>
  </si>
  <si>
    <t>aeste004</t>
  </si>
  <si>
    <t>P0307984</t>
  </si>
  <si>
    <t>bcant001</t>
  </si>
  <si>
    <t>P8168260</t>
  </si>
  <si>
    <t>Aline Vieira Ometto</t>
  </si>
  <si>
    <t>aomet001</t>
  </si>
  <si>
    <t>P1922130</t>
  </si>
  <si>
    <t>Lucas Borgheri Monteiro</t>
  </si>
  <si>
    <t>lmont012</t>
  </si>
  <si>
    <t>P0449925</t>
  </si>
  <si>
    <t>Case TAT</t>
  </si>
  <si>
    <t>Case Modified</t>
  </si>
  <si>
    <t>Agente de Criação</t>
  </si>
  <si>
    <t>Agente de Modificação</t>
  </si>
  <si>
    <t>Case SKILL</t>
  </si>
  <si>
    <t>PL</t>
  </si>
  <si>
    <t>TORRE</t>
  </si>
  <si>
    <t>CB-13862475</t>
  </si>
  <si>
    <t>CB-13864882</t>
  </si>
  <si>
    <t>LUZES DE ERRO // ERRO FATAL</t>
  </si>
  <si>
    <t>CB-13861393</t>
  </si>
  <si>
    <t>CB-13862526</t>
  </si>
  <si>
    <t>Zaelly Costa</t>
  </si>
  <si>
    <t>CB-13862605</t>
  </si>
  <si>
    <t>vinicius marques</t>
  </si>
  <si>
    <t>CB-13866412</t>
  </si>
  <si>
    <t>Caso: Número do caso</t>
  </si>
  <si>
    <t>Caso: Status</t>
  </si>
  <si>
    <t>Data de criação</t>
  </si>
  <si>
    <t>Nome callback</t>
  </si>
  <si>
    <t>Callback Tempo Programado (Agente)</t>
  </si>
  <si>
    <t>Caso: Assunto</t>
  </si>
  <si>
    <t>Caso: Modificado por último pelo Agente: Agente Número do Funcionário</t>
  </si>
  <si>
    <t>Proprietário: Nome completo</t>
  </si>
  <si>
    <t>Caso: Proprietário do caso: Nome completo</t>
  </si>
  <si>
    <t>Caso: Ativo: Descrição do produto</t>
  </si>
  <si>
    <t>Caso: Ativo: Linha de produto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</si>
</sst>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</cellXfs>
  <cellStyles count="1">
    <cellStyle name="Normal" xfId="0" builtinId="0"/>
  </cellStyles>
  <dxfs count="4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SLA" displayName="tbSLA" ref="A4:M10" totalsRowShown="0" headerRowDxfId="47" dataDxfId="46">
  <autoFilter ref="A4:M10" xr:uid="{00000000-0009-0000-0100-000003000000}"/>
  <tableColumns count="13">
    <tableColumn id="1" xr3:uid="{00000000-0010-0000-0000-000001000000}" name="Caso: Número do caso" dataDxfId="45"/>
    <tableColumn id="2" xr3:uid="{00000000-0010-0000-0000-000002000000}" name="Caso: Status" dataDxfId="44"/>
    <tableColumn id="3" xr3:uid="{00000000-0010-0000-0000-000003000000}" name="Data de criação" dataDxfId="43"/>
    <tableColumn id="4" xr3:uid="{00000000-0010-0000-0000-000004000000}" name="Data da última modificação" dataDxfId="42"/>
    <tableColumn id="5" xr3:uid="{00000000-0010-0000-0000-000005000000}" name="Nome callback" dataDxfId="41"/>
    <tableColumn id="6" xr3:uid="{00000000-0010-0000-0000-000006000000}" name="Callback Tempo Programado (Agente)" dataDxfId="40"/>
    <tableColumn id="7" xr3:uid="{00000000-0010-0000-0000-000007000000}" name="Caso: Assunto" dataDxfId="39"/>
    <tableColumn id="8" xr3:uid="{00000000-0010-0000-0000-000008000000}" name="Criado por: Agente Número do Funcionário" dataDxfId="38"/>
    <tableColumn id="9" xr3:uid="{00000000-0010-0000-0000-000009000000}" name="Caso: Modificado por último pelo Agente: Agente Número do Funcionário" dataDxfId="37"/>
    <tableColumn id="10" xr3:uid="{00000000-0010-0000-0000-00000A000000}" name="Proprietário: Nome completo" dataDxfId="36"/>
    <tableColumn id="11" xr3:uid="{00000000-0010-0000-0000-00000B000000}" name="Caso: Proprietário do caso: Nome completo" dataDxfId="35"/>
    <tableColumn id="12" xr3:uid="{00000000-0010-0000-0000-00000C000000}" name="Caso: Ativo: Descrição do produto" dataDxfId="34"/>
    <tableColumn id="13" xr3:uid="{00000000-0010-0000-0000-00000D000000}" name="Caso: Ativo: Linha de produto" dataDxfId="33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BASE" displayName="tblBASE" ref="A5:W51" totalsRowShown="0" headerRowDxfId="32" dataDxfId="31">
  <autoFilter ref="A5:W51" xr:uid="{00000000-0009-0000-0100-000001000000}"/>
  <tableColumns count="23">
    <tableColumn id="1" xr3:uid="{00000000-0010-0000-0100-000001000000}" name="Origem do caso" dataDxfId="30"/>
    <tableColumn id="2" xr3:uid="{00000000-0010-0000-0100-000002000000}" name="Número do caso" dataDxfId="29"/>
    <tableColumn id="3" xr3:uid="{00000000-0010-0000-0100-000003000000}" name="Nome da conta: Nome da conta" dataDxfId="28"/>
    <tableColumn id="4" xr3:uid="{00000000-0010-0000-0100-000004000000}" name="Nome do contato: Telefone residencial" dataDxfId="27"/>
    <tableColumn id="5" xr3:uid="{00000000-0010-0000-0100-000005000000}" name="Nome do contato: Celular" dataDxfId="26"/>
    <tableColumn id="6" xr3:uid="{00000000-0010-0000-0100-000006000000}" name="Nome do contato: Outro telefone" dataDxfId="25"/>
    <tableColumn id="7" xr3:uid="{00000000-0010-0000-0100-000007000000}" name="Status" dataDxfId="24"/>
    <tableColumn id="8" xr3:uid="{00000000-0010-0000-0100-000008000000}" name="Assunto" dataDxfId="23"/>
    <tableColumn id="9" xr3:uid="{00000000-0010-0000-0100-000009000000}" name="Criado por: Agente Número do Funcionário" dataDxfId="22"/>
    <tableColumn id="10" xr3:uid="{00000000-0010-0000-0100-00000A000000}" name="Modificado por último pelo Agente: Agente Número do Funcionário" dataDxfId="21"/>
    <tableColumn id="11" xr3:uid="{00000000-0010-0000-0100-00000B000000}" name="Proprietário do caso: Nome completo" dataDxfId="20"/>
    <tableColumn id="12" xr3:uid="{00000000-0010-0000-0100-00000C000000}" name="Ativo: Descrição do produto" dataDxfId="19"/>
    <tableColumn id="13" xr3:uid="{00000000-0010-0000-0100-00000D000000}" name="Ativo: Produto: Linha de produto" dataDxfId="18"/>
    <tableColumn id="14" xr3:uid="{00000000-0010-0000-0100-00000E000000}" name="Tipo garantia" dataDxfId="17"/>
    <tableColumn id="15" xr3:uid="{00000000-0010-0000-0100-00000F000000}" name="Data/Hora de abertura" dataDxfId="16"/>
    <tableColumn id="16" xr3:uid="{00000000-0010-0000-0100-000010000000}" name="Data da última modificação" dataDxfId="15"/>
    <tableColumn id="17" xr3:uid="{00000000-0010-0000-0100-000011000000}" name="Case TAT" dataDxfId="14">
      <calculatedColumnFormula>IF(O6="","",ROUND(TODAY() -O6,0))</calculatedColumnFormula>
    </tableColumn>
    <tableColumn id="18" xr3:uid="{00000000-0010-0000-0100-000012000000}" name="Case Modified" dataDxfId="13">
      <calculatedColumnFormula>IF(P6="","",ROUND(TODAY() -P6,0))</calculatedColumnFormula>
    </tableColumn>
    <tableColumn id="19" xr3:uid="{00000000-0010-0000-0100-000013000000}" name="Agente de Criação" dataDxfId="12">
      <calculatedColumnFormula>IFERROR(INDEX(tbMAPA[],MATCH(I6,tbMAPA[BPID],0),1),"")</calculatedColumnFormula>
    </tableColumn>
    <tableColumn id="20" xr3:uid="{00000000-0010-0000-0100-000014000000}" name="Agente de Modificação" dataDxfId="11">
      <calculatedColumnFormula>IFERROR(INDEX(tbMAPA[],MATCH(J6,tbMAPA[BPID],0),1),"")</calculatedColumnFormula>
    </tableColumn>
    <tableColumn id="21" xr3:uid="{00000000-0010-0000-0100-000015000000}" name="Case SKILL" dataDxfId="10">
      <calculatedColumnFormula>IFERROR(INDEX('MAPA OPERACIONAL'!$H$5:$I$51,MATCH(BACKLOG!M6,'MAPA OPERACIONAL'!$H$5:$H$51,0),2),"")</calculatedColumnFormula>
    </tableColumn>
    <tableColumn id="22" xr3:uid="{00000000-0010-0000-0100-000016000000}" name="Callback Tempo Programado (Agente)" dataDxfId="9">
      <calculatedColumnFormula>IFERROR(INDEX(tbSLA[],MATCH(B6,tbSLA[Caso: Número do caso],0),MATCH(V$5,tbSLA[#Headers],0)),"")</calculatedColumnFormula>
    </tableColumn>
    <tableColumn id="23" xr3:uid="{00000000-0010-0000-0100-000017000000}" name="Nome callback" dataDxfId="8">
      <calculatedColumnFormula>IFERROR(INDEX(tbSLA[],MATCH(B6,tbSLA[Caso: Número do caso],0),MATCH(W$5,tbSLA[#Headers],0)),"")</calculatedColumnFormula>
    </tableColumn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MAPA" displayName="tbMAPA" ref="A5:F153" totalsRowShown="0" headerRowDxfId="7" dataDxfId="6">
  <tableColumns count="6">
    <tableColumn id="4" xr3:uid="{00000000-0010-0000-0200-000004000000}" name="Name" dataDxfId="5"/>
    <tableColumn id="5" xr3:uid="{00000000-0010-0000-0200-000005000000}" name="Leader" dataDxfId="4"/>
    <tableColumn id="6" xr3:uid="{00000000-0010-0000-0200-000006000000}" name="Status" dataDxfId="3"/>
    <tableColumn id="7" xr3:uid="{00000000-0010-0000-0200-000007000000}" name="Cell" dataDxfId="2"/>
    <tableColumn id="39" xr3:uid="{00000000-0010-0000-0200-000027000000}" name="Network" dataDxfId="1"/>
    <tableColumn id="43" xr3:uid="{00000000-0010-0000-0200-00002B000000}" name="BPID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CAPA"/>
  <dimension ref="A1"/>
  <sheetViews>
    <sheetView showGridLines="0" workbookViewId="0">
      <selection activeCell="A5" sqref="A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SLA"/>
  <dimension ref="A4:M10"/>
  <sheetViews>
    <sheetView showGridLines="0" topLeftCell="C1" workbookViewId="0">
      <selection activeCell="E4" sqref="E4"/>
    </sheetView>
  </sheetViews>
  <sheetFormatPr defaultRowHeight="15" x14ac:dyDescent="0.25"/>
  <cols>
    <col min="1" max="1" width="25.5703125" style="1" bestFit="1" customWidth="1"/>
    <col min="2" max="2" width="31.28515625" style="1" bestFit="1" customWidth="1"/>
    <col min="3" max="3" width="19.28515625" style="1" bestFit="1" customWidth="1"/>
    <col min="4" max="4" width="30.5703125" style="1" bestFit="1" customWidth="1"/>
    <col min="5" max="5" width="18.5703125" style="1" bestFit="1" customWidth="1"/>
    <col min="6" max="6" width="40.140625" style="1" bestFit="1" customWidth="1"/>
    <col min="7" max="7" width="59.7109375" style="1" bestFit="1" customWidth="1"/>
    <col min="8" max="8" width="44.85546875" style="1" bestFit="1" customWidth="1"/>
    <col min="9" max="9" width="73.140625" style="1" bestFit="1" customWidth="1"/>
    <col min="10" max="10" width="32" style="1" bestFit="1" customWidth="1"/>
    <col min="11" max="11" width="45" style="1" bestFit="1" customWidth="1"/>
    <col min="12" max="12" width="45.5703125" style="1" bestFit="1" customWidth="1"/>
    <col min="13" max="13" width="32.5703125" style="1" bestFit="1" customWidth="1"/>
    <col min="14" max="16384" width="9.140625" style="1"/>
  </cols>
  <sheetData>
    <row r="4" spans="1:13" x14ac:dyDescent="0.25">
      <c r="A4" s="6" t="s">
        <v>803</v>
      </c>
      <c r="B4" s="6" t="s">
        <v>804</v>
      </c>
      <c r="C4" s="7" t="s">
        <v>805</v>
      </c>
      <c r="D4" s="7" t="s">
        <v>15</v>
      </c>
      <c r="E4" s="6" t="s">
        <v>806</v>
      </c>
      <c r="F4" s="9" t="s">
        <v>807</v>
      </c>
      <c r="G4" s="6" t="s">
        <v>808</v>
      </c>
      <c r="H4" s="6" t="s">
        <v>8</v>
      </c>
      <c r="I4" s="6" t="s">
        <v>809</v>
      </c>
      <c r="J4" s="6" t="s">
        <v>810</v>
      </c>
      <c r="K4" s="6" t="s">
        <v>811</v>
      </c>
      <c r="L4" s="6" t="s">
        <v>812</v>
      </c>
      <c r="M4" s="6" t="s">
        <v>813</v>
      </c>
    </row>
    <row r="5" spans="1:13" x14ac:dyDescent="0.25">
      <c r="A5" s="1" t="s">
        <v>17</v>
      </c>
      <c r="B5" s="1" t="s">
        <v>21</v>
      </c>
      <c r="C5" s="8">
        <v>42768</v>
      </c>
      <c r="D5" s="8">
        <v>42768</v>
      </c>
      <c r="E5" s="1" t="s">
        <v>794</v>
      </c>
      <c r="F5" s="10">
        <v>42769.479166666664</v>
      </c>
      <c r="G5" s="1" t="s">
        <v>200</v>
      </c>
      <c r="H5" s="1" t="s">
        <v>42</v>
      </c>
      <c r="I5" s="1" t="s">
        <v>42</v>
      </c>
      <c r="J5" s="1" t="s">
        <v>164</v>
      </c>
      <c r="K5" s="1" t="s">
        <v>164</v>
      </c>
      <c r="L5" s="1" t="s">
        <v>34</v>
      </c>
      <c r="M5" s="1" t="s">
        <v>35</v>
      </c>
    </row>
    <row r="6" spans="1:13" x14ac:dyDescent="0.25">
      <c r="A6" s="1" t="s">
        <v>28</v>
      </c>
      <c r="B6" s="1" t="s">
        <v>21</v>
      </c>
      <c r="C6" s="8">
        <v>42768</v>
      </c>
      <c r="D6" s="8">
        <v>42768</v>
      </c>
      <c r="E6" s="1" t="s">
        <v>795</v>
      </c>
      <c r="F6" s="10">
        <v>42769.479166666664</v>
      </c>
      <c r="G6" s="1" t="s">
        <v>796</v>
      </c>
      <c r="H6" s="1" t="s">
        <v>42</v>
      </c>
      <c r="I6" s="1" t="s">
        <v>42</v>
      </c>
      <c r="J6" s="1" t="s">
        <v>164</v>
      </c>
      <c r="K6" s="1" t="s">
        <v>164</v>
      </c>
      <c r="L6" s="1" t="s">
        <v>34</v>
      </c>
      <c r="M6" s="1" t="s">
        <v>35</v>
      </c>
    </row>
    <row r="7" spans="1:13" x14ac:dyDescent="0.25">
      <c r="A7" s="1" t="s">
        <v>37</v>
      </c>
      <c r="B7" s="1" t="s">
        <v>21</v>
      </c>
      <c r="C7" s="8">
        <v>42768</v>
      </c>
      <c r="D7" s="8">
        <v>42768</v>
      </c>
      <c r="E7" s="1" t="s">
        <v>797</v>
      </c>
      <c r="F7" s="10">
        <v>42769.5</v>
      </c>
      <c r="G7" s="1" t="s">
        <v>64</v>
      </c>
      <c r="H7" s="1" t="s">
        <v>181</v>
      </c>
      <c r="I7" s="1" t="s">
        <v>181</v>
      </c>
      <c r="J7" s="1" t="s">
        <v>164</v>
      </c>
      <c r="K7" s="1" t="s">
        <v>164</v>
      </c>
      <c r="L7" s="1" t="s">
        <v>58</v>
      </c>
      <c r="M7" s="1" t="s">
        <v>59</v>
      </c>
    </row>
    <row r="8" spans="1:13" x14ac:dyDescent="0.25">
      <c r="A8" s="1" t="s">
        <v>44</v>
      </c>
      <c r="B8" s="1" t="s">
        <v>21</v>
      </c>
      <c r="C8" s="8">
        <v>42768</v>
      </c>
      <c r="D8" s="8">
        <v>42768</v>
      </c>
      <c r="E8" s="1" t="s">
        <v>798</v>
      </c>
      <c r="F8" s="10">
        <v>42769.5</v>
      </c>
      <c r="G8" s="1" t="s">
        <v>64</v>
      </c>
      <c r="H8" s="1" t="s">
        <v>33</v>
      </c>
      <c r="I8" s="1" t="s">
        <v>33</v>
      </c>
      <c r="J8" s="1" t="s">
        <v>164</v>
      </c>
      <c r="K8" s="1" t="s">
        <v>799</v>
      </c>
      <c r="L8" s="1" t="s">
        <v>152</v>
      </c>
      <c r="M8" s="1" t="s">
        <v>97</v>
      </c>
    </row>
    <row r="9" spans="1:13" x14ac:dyDescent="0.25">
      <c r="A9" s="1" t="s">
        <v>52</v>
      </c>
      <c r="B9" s="1" t="s">
        <v>21</v>
      </c>
      <c r="C9" s="8">
        <v>42768</v>
      </c>
      <c r="D9" s="8">
        <v>42768</v>
      </c>
      <c r="E9" s="1" t="s">
        <v>800</v>
      </c>
      <c r="F9" s="10">
        <v>42769.583333333336</v>
      </c>
      <c r="G9" s="1" t="s">
        <v>213</v>
      </c>
      <c r="H9" s="1" t="s">
        <v>72</v>
      </c>
      <c r="I9" s="1" t="s">
        <v>42</v>
      </c>
      <c r="J9" s="1" t="s">
        <v>164</v>
      </c>
      <c r="K9" s="1" t="s">
        <v>801</v>
      </c>
      <c r="L9" s="1" t="s">
        <v>34</v>
      </c>
      <c r="M9" s="1" t="s">
        <v>35</v>
      </c>
    </row>
    <row r="10" spans="1:13" x14ac:dyDescent="0.25">
      <c r="A10" s="1" t="s">
        <v>60</v>
      </c>
      <c r="B10" s="1" t="s">
        <v>21</v>
      </c>
      <c r="C10" s="8">
        <v>42768</v>
      </c>
      <c r="D10" s="8">
        <v>42768</v>
      </c>
      <c r="E10" s="1" t="s">
        <v>802</v>
      </c>
      <c r="F10" s="10">
        <v>42769.583333333336</v>
      </c>
      <c r="G10" s="1" t="s">
        <v>255</v>
      </c>
      <c r="H10" s="1" t="s">
        <v>33</v>
      </c>
      <c r="I10" s="1" t="s">
        <v>33</v>
      </c>
      <c r="J10" s="1" t="s">
        <v>164</v>
      </c>
      <c r="K10" s="1" t="s">
        <v>164</v>
      </c>
      <c r="L10" s="1" t="s">
        <v>34</v>
      </c>
      <c r="M10" s="1" t="s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BACKLOG"/>
  <dimension ref="A5:W51"/>
  <sheetViews>
    <sheetView showGridLines="0" topLeftCell="A5" workbookViewId="0">
      <selection activeCell="A5" sqref="A5"/>
    </sheetView>
  </sheetViews>
  <sheetFormatPr defaultRowHeight="15" x14ac:dyDescent="0.25"/>
  <cols>
    <col min="1" max="1" width="19.28515625" style="1" bestFit="1" customWidth="1"/>
    <col min="2" max="2" width="20" style="1" bestFit="1" customWidth="1"/>
    <col min="3" max="3" width="41.140625" style="1" bestFit="1" customWidth="1"/>
    <col min="4" max="4" width="40.85546875" style="1" bestFit="1" customWidth="1"/>
    <col min="5" max="5" width="28.5703125" style="1" bestFit="1" customWidth="1"/>
    <col min="6" max="6" width="35.85546875" style="1" bestFit="1" customWidth="1"/>
    <col min="7" max="7" width="31.28515625" style="1" bestFit="1" customWidth="1"/>
    <col min="8" max="8" width="59.7109375" style="1" bestFit="1" customWidth="1"/>
    <col min="9" max="9" width="44.42578125" style="1" bestFit="1" customWidth="1"/>
    <col min="10" max="10" width="67.140625" style="1" bestFit="1" customWidth="1"/>
    <col min="11" max="11" width="39.42578125" style="1" bestFit="1" customWidth="1"/>
    <col min="12" max="12" width="50.5703125" style="1" bestFit="1" customWidth="1"/>
    <col min="13" max="13" width="35.140625" style="1" bestFit="1" customWidth="1"/>
    <col min="14" max="14" width="17.85546875" style="1" bestFit="1" customWidth="1"/>
    <col min="15" max="15" width="25.5703125" style="1" bestFit="1" customWidth="1"/>
    <col min="16" max="16" width="29.85546875" style="1" bestFit="1" customWidth="1"/>
    <col min="17" max="17" width="23.28515625" style="1" bestFit="1" customWidth="1"/>
    <col min="18" max="18" width="18.5703125" style="1" bestFit="1" customWidth="1"/>
    <col min="19" max="20" width="33.140625" style="1" bestFit="1" customWidth="1"/>
    <col min="21" max="21" width="14.5703125" style="1" bestFit="1" customWidth="1"/>
    <col min="22" max="22" width="39.7109375" style="1" bestFit="1" customWidth="1"/>
    <col min="23" max="23" width="18.5703125" style="1" bestFit="1" customWidth="1"/>
    <col min="24" max="16384" width="9.140625" style="1"/>
  </cols>
  <sheetData>
    <row r="5" spans="1:23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  <c r="M5" s="1" t="s">
        <v>12</v>
      </c>
      <c r="N5" s="1" t="s">
        <v>13</v>
      </c>
      <c r="O5" s="1" t="s">
        <v>14</v>
      </c>
      <c r="P5" s="1" t="s">
        <v>15</v>
      </c>
      <c r="Q5" s="1" t="s">
        <v>787</v>
      </c>
      <c r="R5" s="1" t="s">
        <v>788</v>
      </c>
      <c r="S5" s="1" t="s">
        <v>789</v>
      </c>
      <c r="T5" s="1" t="s">
        <v>790</v>
      </c>
      <c r="U5" s="1" t="s">
        <v>791</v>
      </c>
      <c r="V5" s="1" t="s">
        <v>807</v>
      </c>
      <c r="W5" s="1" t="s">
        <v>806</v>
      </c>
    </row>
    <row r="6" spans="1:23" x14ac:dyDescent="0.25">
      <c r="A6" s="2" t="s">
        <v>16</v>
      </c>
      <c r="B6" s="2" t="s">
        <v>17</v>
      </c>
      <c r="C6" s="2" t="s">
        <v>18</v>
      </c>
      <c r="D6" s="2" t="s">
        <v>19</v>
      </c>
      <c r="E6" s="2" t="s">
        <v>20</v>
      </c>
      <c r="F6" s="2"/>
      <c r="G6" s="2" t="s">
        <v>21</v>
      </c>
      <c r="H6" s="2" t="s">
        <v>22</v>
      </c>
      <c r="I6" s="2" t="s">
        <v>23</v>
      </c>
      <c r="J6" s="2" t="s">
        <v>23</v>
      </c>
      <c r="K6" s="2" t="s">
        <v>24</v>
      </c>
      <c r="L6" s="2" t="s">
        <v>25</v>
      </c>
      <c r="M6" s="2" t="s">
        <v>26</v>
      </c>
      <c r="N6" s="2" t="s">
        <v>27</v>
      </c>
      <c r="O6" s="3">
        <v>42759.456250000003</v>
      </c>
      <c r="P6" s="3">
        <v>42769.431944444441</v>
      </c>
      <c r="Q6" s="4">
        <f t="shared" ref="Q6:Q51" ca="1" si="0">IF(O6="","",ROUND(TODAY() -O6,0))</f>
        <v>320</v>
      </c>
      <c r="R6" s="4">
        <f t="shared" ref="R6:R51" ca="1" si="1">IF(P6="","",ROUND(TODAY() -P6,0))</f>
        <v>310</v>
      </c>
      <c r="S6" s="1" t="str">
        <f>IFERROR(INDEX(tbMAPA[],MATCH(I6,tbMAPA[BPID],0),1),"")</f>
        <v>Jonatas Gomes Tenorio</v>
      </c>
      <c r="T6" s="1" t="str">
        <f>IFERROR(INDEX(tbMAPA[],MATCH(J6,tbMAPA[BPID],0),1),"")</f>
        <v>Jonatas Gomes Tenorio</v>
      </c>
      <c r="U6" s="1" t="str">
        <f>IFERROR(INDEX('MAPA OPERACIONAL'!$H$5:$I$51,MATCH(BACKLOG!M6,'MAPA OPERACIONAL'!$H$5:$H$51,0),2),"")</f>
        <v>PSG</v>
      </c>
      <c r="V6" s="10">
        <f>IFERROR(INDEX(tbSLA[],MATCH(B6,tbSLA[Caso: Número do caso],0),MATCH(V$5,tbSLA[#Headers],0)),"")</f>
        <v>42769.479166666664</v>
      </c>
      <c r="W6" s="10" t="str">
        <f>IFERROR(INDEX(tbSLA[],MATCH(B6,tbSLA[Caso: Número do caso],0),MATCH(W$5,tbSLA[#Headers],0)),"")</f>
        <v>CB-13862475</v>
      </c>
    </row>
    <row r="7" spans="1:23" x14ac:dyDescent="0.25">
      <c r="A7" s="2" t="s">
        <v>16</v>
      </c>
      <c r="B7" s="2" t="s">
        <v>28</v>
      </c>
      <c r="C7" s="2" t="s">
        <v>29</v>
      </c>
      <c r="D7" s="2" t="s">
        <v>30</v>
      </c>
      <c r="E7" s="2" t="s">
        <v>31</v>
      </c>
      <c r="F7" s="2"/>
      <c r="G7" s="2" t="s">
        <v>21</v>
      </c>
      <c r="H7" s="2" t="s">
        <v>32</v>
      </c>
      <c r="I7" s="2" t="s">
        <v>33</v>
      </c>
      <c r="J7" s="2" t="s">
        <v>23</v>
      </c>
      <c r="K7" s="2" t="s">
        <v>24</v>
      </c>
      <c r="L7" s="2" t="s">
        <v>34</v>
      </c>
      <c r="M7" s="2" t="s">
        <v>35</v>
      </c>
      <c r="N7" s="2" t="s">
        <v>36</v>
      </c>
      <c r="O7" s="3">
        <v>42759.664583333331</v>
      </c>
      <c r="P7" s="3">
        <v>42769.517361111109</v>
      </c>
      <c r="Q7" s="4">
        <f t="shared" ca="1" si="0"/>
        <v>319</v>
      </c>
      <c r="R7" s="1">
        <f t="shared" ca="1" si="1"/>
        <v>309</v>
      </c>
      <c r="S7" s="1" t="str">
        <f>IFERROR(INDEX(tbMAPA[],MATCH(I7,tbMAPA[BPID],0),1),"")</f>
        <v>Zaelly Suerfia Ferreira da Costa</v>
      </c>
      <c r="T7" s="1" t="str">
        <f>IFERROR(INDEX(tbMAPA[],MATCH(J7,tbMAPA[BPID],0),1),"")</f>
        <v>Jonatas Gomes Tenorio</v>
      </c>
      <c r="U7" s="1" t="str">
        <f>IFERROR(INDEX('MAPA OPERACIONAL'!$H$5:$I$51,MATCH(BACKLOG!M7,'MAPA OPERACIONAL'!$H$5:$H$51,0),2),"")</f>
        <v>IPG</v>
      </c>
      <c r="V7" s="10">
        <f>IFERROR(INDEX(tbSLA[],MATCH(B7,tbSLA[Caso: Número do caso],0),MATCH(V$5,tbSLA[#Headers],0)),"")</f>
        <v>42769.479166666664</v>
      </c>
      <c r="W7" s="10" t="str">
        <f>IFERROR(INDEX(tbSLA[],MATCH(B7,tbSLA[Caso: Número do caso],0),MATCH(W$5,tbSLA[#Headers],0)),"")</f>
        <v>CB-13864882</v>
      </c>
    </row>
    <row r="8" spans="1:23" x14ac:dyDescent="0.25">
      <c r="A8" s="2" t="s">
        <v>16</v>
      </c>
      <c r="B8" s="2" t="s">
        <v>37</v>
      </c>
      <c r="C8" s="2" t="s">
        <v>38</v>
      </c>
      <c r="D8" s="2" t="s">
        <v>39</v>
      </c>
      <c r="E8" s="2" t="s">
        <v>40</v>
      </c>
      <c r="F8" s="2"/>
      <c r="G8" s="2" t="s">
        <v>21</v>
      </c>
      <c r="H8" s="2" t="s">
        <v>41</v>
      </c>
      <c r="I8" s="2" t="s">
        <v>42</v>
      </c>
      <c r="J8" s="2" t="s">
        <v>23</v>
      </c>
      <c r="K8" s="2" t="s">
        <v>24</v>
      </c>
      <c r="L8" s="2" t="s">
        <v>43</v>
      </c>
      <c r="M8" s="2" t="s">
        <v>35</v>
      </c>
      <c r="N8" s="2" t="s">
        <v>27</v>
      </c>
      <c r="O8" s="3">
        <v>42760.464583333334</v>
      </c>
      <c r="P8" s="3">
        <v>42769.522916666669</v>
      </c>
      <c r="Q8" s="4">
        <f t="shared" ca="1" si="0"/>
        <v>319</v>
      </c>
      <c r="R8" s="1">
        <f t="shared" ca="1" si="1"/>
        <v>309</v>
      </c>
      <c r="S8" s="1" t="str">
        <f>IFERROR(INDEX(tbMAPA[],MATCH(I8,tbMAPA[BPID],0),1),"")</f>
        <v>Vinicius Marques Ferreira Silva</v>
      </c>
      <c r="T8" s="1" t="str">
        <f>IFERROR(INDEX(tbMAPA[],MATCH(J8,tbMAPA[BPID],0),1),"")</f>
        <v>Jonatas Gomes Tenorio</v>
      </c>
      <c r="U8" s="1" t="str">
        <f>IFERROR(INDEX('MAPA OPERACIONAL'!$H$5:$I$51,MATCH(BACKLOG!M8,'MAPA OPERACIONAL'!$H$5:$H$51,0),2),"")</f>
        <v>IPG</v>
      </c>
      <c r="V8" s="10">
        <f>IFERROR(INDEX(tbSLA[],MATCH(B8,tbSLA[Caso: Número do caso],0),MATCH(V$5,tbSLA[#Headers],0)),"")</f>
        <v>42769.5</v>
      </c>
      <c r="W8" s="10" t="str">
        <f>IFERROR(INDEX(tbSLA[],MATCH(B8,tbSLA[Caso: Número do caso],0),MATCH(W$5,tbSLA[#Headers],0)),"")</f>
        <v>CB-13861393</v>
      </c>
    </row>
    <row r="9" spans="1:23" x14ac:dyDescent="0.25">
      <c r="A9" s="2" t="s">
        <v>16</v>
      </c>
      <c r="B9" s="2" t="s">
        <v>44</v>
      </c>
      <c r="C9" s="2" t="s">
        <v>45</v>
      </c>
      <c r="D9" s="2" t="s">
        <v>46</v>
      </c>
      <c r="E9" s="2" t="s">
        <v>47</v>
      </c>
      <c r="F9" s="2"/>
      <c r="G9" s="2" t="s">
        <v>21</v>
      </c>
      <c r="H9" s="2" t="s">
        <v>48</v>
      </c>
      <c r="I9" s="2" t="s">
        <v>49</v>
      </c>
      <c r="J9" s="2" t="s">
        <v>23</v>
      </c>
      <c r="K9" s="2" t="s">
        <v>24</v>
      </c>
      <c r="L9" s="2" t="s">
        <v>50</v>
      </c>
      <c r="M9" s="2" t="s">
        <v>51</v>
      </c>
      <c r="N9" s="2" t="s">
        <v>36</v>
      </c>
      <c r="O9" s="3">
        <v>42761.38958333333</v>
      </c>
      <c r="P9" s="3">
        <v>42769.526388888888</v>
      </c>
      <c r="Q9" s="4">
        <f t="shared" ca="1" si="0"/>
        <v>318</v>
      </c>
      <c r="R9" s="1">
        <f t="shared" ca="1" si="1"/>
        <v>309</v>
      </c>
      <c r="S9" s="1" t="str">
        <f>IFERROR(INDEX(tbMAPA[],MATCH(I9,tbMAPA[BPID],0),1),"")</f>
        <v>Lais Silva Pereira</v>
      </c>
      <c r="T9" s="1" t="str">
        <f>IFERROR(INDEX(tbMAPA[],MATCH(J9,tbMAPA[BPID],0),1),"")</f>
        <v>Jonatas Gomes Tenorio</v>
      </c>
      <c r="U9" s="1" t="str">
        <f>IFERROR(INDEX('MAPA OPERACIONAL'!$H$5:$I$51,MATCH(BACKLOG!M9,'MAPA OPERACIONAL'!$H$5:$H$51,0),2),"")</f>
        <v>PSG</v>
      </c>
      <c r="V9" s="10">
        <f>IFERROR(INDEX(tbSLA[],MATCH(B9,tbSLA[Caso: Número do caso],0),MATCH(V$5,tbSLA[#Headers],0)),"")</f>
        <v>42769.5</v>
      </c>
      <c r="W9" s="10" t="str">
        <f>IFERROR(INDEX(tbSLA[],MATCH(B9,tbSLA[Caso: Número do caso],0),MATCH(W$5,tbSLA[#Headers],0)),"")</f>
        <v>CB-13862526</v>
      </c>
    </row>
    <row r="10" spans="1:23" x14ac:dyDescent="0.25">
      <c r="A10" s="2" t="s">
        <v>16</v>
      </c>
      <c r="B10" s="2" t="s">
        <v>52</v>
      </c>
      <c r="C10" s="2" t="s">
        <v>53</v>
      </c>
      <c r="D10" s="2" t="s">
        <v>54</v>
      </c>
      <c r="E10" s="2" t="s">
        <v>55</v>
      </c>
      <c r="F10" s="2"/>
      <c r="G10" s="2" t="s">
        <v>21</v>
      </c>
      <c r="H10" s="2" t="s">
        <v>56</v>
      </c>
      <c r="I10" s="2" t="s">
        <v>57</v>
      </c>
      <c r="J10" s="2" t="s">
        <v>23</v>
      </c>
      <c r="K10" s="2" t="s">
        <v>24</v>
      </c>
      <c r="L10" s="2" t="s">
        <v>58</v>
      </c>
      <c r="M10" s="2" t="s">
        <v>59</v>
      </c>
      <c r="N10" s="2" t="s">
        <v>36</v>
      </c>
      <c r="O10" s="3">
        <v>42761.395833333336</v>
      </c>
      <c r="P10" s="3">
        <v>42769.537499999999</v>
      </c>
      <c r="Q10" s="4">
        <f t="shared" ca="1" si="0"/>
        <v>318</v>
      </c>
      <c r="R10" s="1">
        <f t="shared" ca="1" si="1"/>
        <v>309</v>
      </c>
      <c r="S10" s="1" t="str">
        <f>IFERROR(INDEX(tbMAPA[],MATCH(I10,tbMAPA[BPID],0),1),"")</f>
        <v>Henrique Eulalio De Sousa</v>
      </c>
      <c r="T10" s="1" t="str">
        <f>IFERROR(INDEX(tbMAPA[],MATCH(J10,tbMAPA[BPID],0),1),"")</f>
        <v>Jonatas Gomes Tenorio</v>
      </c>
      <c r="U10" s="1" t="str">
        <f>IFERROR(INDEX('MAPA OPERACIONAL'!$H$5:$I$51,MATCH(BACKLOG!M10,'MAPA OPERACIONAL'!$H$5:$H$51,0),2),"")</f>
        <v>PSG</v>
      </c>
      <c r="V10" s="10">
        <f>IFERROR(INDEX(tbSLA[],MATCH(B10,tbSLA[Caso: Número do caso],0),MATCH(V$5,tbSLA[#Headers],0)),"")</f>
        <v>42769.583333333336</v>
      </c>
      <c r="W10" s="10" t="str">
        <f>IFERROR(INDEX(tbSLA[],MATCH(B10,tbSLA[Caso: Número do caso],0),MATCH(W$5,tbSLA[#Headers],0)),"")</f>
        <v>CB-13862605</v>
      </c>
    </row>
    <row r="11" spans="1:23" x14ac:dyDescent="0.25">
      <c r="A11" s="2" t="s">
        <v>16</v>
      </c>
      <c r="B11" s="2" t="s">
        <v>60</v>
      </c>
      <c r="C11" s="2" t="s">
        <v>61</v>
      </c>
      <c r="D11" s="2" t="s">
        <v>62</v>
      </c>
      <c r="E11" s="2" t="s">
        <v>63</v>
      </c>
      <c r="F11" s="2"/>
      <c r="G11" s="2" t="s">
        <v>21</v>
      </c>
      <c r="H11" s="2" t="s">
        <v>64</v>
      </c>
      <c r="I11" s="2" t="s">
        <v>33</v>
      </c>
      <c r="J11" s="2" t="s">
        <v>23</v>
      </c>
      <c r="K11" s="2" t="s">
        <v>24</v>
      </c>
      <c r="L11" s="2" t="s">
        <v>65</v>
      </c>
      <c r="M11" s="2" t="s">
        <v>51</v>
      </c>
      <c r="N11" s="2" t="s">
        <v>36</v>
      </c>
      <c r="O11" s="3">
        <v>42761.648611111108</v>
      </c>
      <c r="P11" s="3">
        <v>42769.54583333333</v>
      </c>
      <c r="Q11" s="4">
        <f t="shared" ca="1" si="0"/>
        <v>317</v>
      </c>
      <c r="R11" s="1">
        <f t="shared" ca="1" si="1"/>
        <v>309</v>
      </c>
      <c r="S11" s="1" t="str">
        <f>IFERROR(INDEX(tbMAPA[],MATCH(I11,tbMAPA[BPID],0),1),"")</f>
        <v>Zaelly Suerfia Ferreira da Costa</v>
      </c>
      <c r="T11" s="1" t="str">
        <f>IFERROR(INDEX(tbMAPA[],MATCH(J11,tbMAPA[BPID],0),1),"")</f>
        <v>Jonatas Gomes Tenorio</v>
      </c>
      <c r="U11" s="1" t="str">
        <f>IFERROR(INDEX('MAPA OPERACIONAL'!$H$5:$I$51,MATCH(BACKLOG!M11,'MAPA OPERACIONAL'!$H$5:$H$51,0),2),"")</f>
        <v>PSG</v>
      </c>
      <c r="V11" s="10">
        <f>IFERROR(INDEX(tbSLA[],MATCH(B11,tbSLA[Caso: Número do caso],0),MATCH(V$5,tbSLA[#Headers],0)),"")</f>
        <v>42769.583333333336</v>
      </c>
      <c r="W11" s="10" t="str">
        <f>IFERROR(INDEX(tbSLA[],MATCH(B11,tbSLA[Caso: Número do caso],0),MATCH(W$5,tbSLA[#Headers],0)),"")</f>
        <v>CB-13866412</v>
      </c>
    </row>
    <row r="12" spans="1:23" x14ac:dyDescent="0.25">
      <c r="A12" s="2" t="s">
        <v>16</v>
      </c>
      <c r="B12" s="2" t="s">
        <v>66</v>
      </c>
      <c r="C12" s="2" t="s">
        <v>67</v>
      </c>
      <c r="D12" s="2" t="s">
        <v>68</v>
      </c>
      <c r="E12" s="2" t="s">
        <v>69</v>
      </c>
      <c r="F12" s="2" t="s">
        <v>70</v>
      </c>
      <c r="G12" s="2" t="s">
        <v>21</v>
      </c>
      <c r="H12" s="2" t="s">
        <v>71</v>
      </c>
      <c r="I12" s="2" t="s">
        <v>72</v>
      </c>
      <c r="J12" s="2" t="s">
        <v>23</v>
      </c>
      <c r="K12" s="2" t="s">
        <v>24</v>
      </c>
      <c r="L12" s="2" t="s">
        <v>73</v>
      </c>
      <c r="M12" s="2" t="s">
        <v>74</v>
      </c>
      <c r="N12" s="2" t="s">
        <v>36</v>
      </c>
      <c r="O12" s="3">
        <v>42762.425000000003</v>
      </c>
      <c r="P12" s="3">
        <v>42769.565972222219</v>
      </c>
      <c r="Q12" s="4">
        <f t="shared" ca="1" si="0"/>
        <v>317</v>
      </c>
      <c r="R12" s="1">
        <f t="shared" ca="1" si="1"/>
        <v>309</v>
      </c>
      <c r="S12" s="1" t="str">
        <f>IFERROR(INDEX(tbMAPA[],MATCH(I12,tbMAPA[BPID],0),1),"")</f>
        <v>Denyse Souza Santos</v>
      </c>
      <c r="T12" s="1" t="str">
        <f>IFERROR(INDEX(tbMAPA[],MATCH(J12,tbMAPA[BPID],0),1),"")</f>
        <v>Jonatas Gomes Tenorio</v>
      </c>
      <c r="U12" s="1" t="str">
        <f>IFERROR(INDEX('MAPA OPERACIONAL'!$H$5:$I$51,MATCH(BACKLOG!M12,'MAPA OPERACIONAL'!$H$5:$H$51,0),2),"")</f>
        <v>PSG</v>
      </c>
      <c r="V12" s="10" t="str">
        <f>IFERROR(INDEX(tbSLA[],MATCH(B12,tbSLA[Caso: Número do caso],0),MATCH(V$5,tbSLA[#Headers],0)),"")</f>
        <v/>
      </c>
      <c r="W12" s="10" t="str">
        <f>IFERROR(INDEX(tbSLA[],MATCH(B12,tbSLA[Caso: Número do caso],0),MATCH(W$5,tbSLA[#Headers],0)),"")</f>
        <v/>
      </c>
    </row>
    <row r="13" spans="1:23" x14ac:dyDescent="0.25">
      <c r="A13" s="2" t="s">
        <v>16</v>
      </c>
      <c r="B13" s="2" t="s">
        <v>75</v>
      </c>
      <c r="C13" s="2" t="s">
        <v>76</v>
      </c>
      <c r="D13" s="2" t="s">
        <v>77</v>
      </c>
      <c r="E13" s="2" t="s">
        <v>78</v>
      </c>
      <c r="F13" s="2"/>
      <c r="G13" s="2" t="s">
        <v>21</v>
      </c>
      <c r="H13" s="2" t="s">
        <v>79</v>
      </c>
      <c r="I13" s="2" t="s">
        <v>33</v>
      </c>
      <c r="J13" s="2" t="s">
        <v>23</v>
      </c>
      <c r="K13" s="2" t="s">
        <v>24</v>
      </c>
      <c r="L13" s="2" t="s">
        <v>80</v>
      </c>
      <c r="M13" s="2" t="s">
        <v>59</v>
      </c>
      <c r="N13" s="2" t="s">
        <v>36</v>
      </c>
      <c r="O13" s="3">
        <v>42762.452777777777</v>
      </c>
      <c r="P13" s="3">
        <v>42769.584722222222</v>
      </c>
      <c r="Q13" s="4">
        <f t="shared" ca="1" si="0"/>
        <v>317</v>
      </c>
      <c r="R13" s="1">
        <f t="shared" ca="1" si="1"/>
        <v>309</v>
      </c>
      <c r="S13" s="1" t="str">
        <f>IFERROR(INDEX(tbMAPA[],MATCH(I13,tbMAPA[BPID],0),1),"")</f>
        <v>Zaelly Suerfia Ferreira da Costa</v>
      </c>
      <c r="T13" s="1" t="str">
        <f>IFERROR(INDEX(tbMAPA[],MATCH(J13,tbMAPA[BPID],0),1),"")</f>
        <v>Jonatas Gomes Tenorio</v>
      </c>
      <c r="U13" s="1" t="str">
        <f>IFERROR(INDEX('MAPA OPERACIONAL'!$H$5:$I$51,MATCH(BACKLOG!M13,'MAPA OPERACIONAL'!$H$5:$H$51,0),2),"")</f>
        <v>PSG</v>
      </c>
      <c r="V13" s="10" t="str">
        <f>IFERROR(INDEX(tbSLA[],MATCH(B13,tbSLA[Caso: Número do caso],0),MATCH(V$5,tbSLA[#Headers],0)),"")</f>
        <v/>
      </c>
      <c r="W13" s="10" t="str">
        <f>IFERROR(INDEX(tbSLA[],MATCH(B13,tbSLA[Caso: Número do caso],0),MATCH(W$5,tbSLA[#Headers],0)),"")</f>
        <v/>
      </c>
    </row>
    <row r="14" spans="1:23" x14ac:dyDescent="0.25">
      <c r="A14" s="2" t="s">
        <v>16</v>
      </c>
      <c r="B14" s="2" t="s">
        <v>81</v>
      </c>
      <c r="C14" s="2" t="s">
        <v>82</v>
      </c>
      <c r="D14" s="2" t="s">
        <v>83</v>
      </c>
      <c r="E14" s="2" t="s">
        <v>84</v>
      </c>
      <c r="F14" s="2"/>
      <c r="G14" s="2" t="s">
        <v>21</v>
      </c>
      <c r="H14" s="2" t="s">
        <v>85</v>
      </c>
      <c r="I14" s="2" t="s">
        <v>49</v>
      </c>
      <c r="J14" s="2" t="s">
        <v>23</v>
      </c>
      <c r="K14" s="2" t="s">
        <v>24</v>
      </c>
      <c r="L14" s="2" t="s">
        <v>86</v>
      </c>
      <c r="M14" s="2" t="s">
        <v>59</v>
      </c>
      <c r="N14" s="2" t="s">
        <v>36</v>
      </c>
      <c r="O14" s="3">
        <v>42762.46875</v>
      </c>
      <c r="P14" s="3">
        <v>42769.594444444447</v>
      </c>
      <c r="Q14" s="4">
        <f t="shared" ca="1" si="0"/>
        <v>317</v>
      </c>
      <c r="R14" s="1">
        <f t="shared" ca="1" si="1"/>
        <v>309</v>
      </c>
      <c r="S14" s="1" t="str">
        <f>IFERROR(INDEX(tbMAPA[],MATCH(I14,tbMAPA[BPID],0),1),"")</f>
        <v>Lais Silva Pereira</v>
      </c>
      <c r="T14" s="1" t="str">
        <f>IFERROR(INDEX(tbMAPA[],MATCH(J14,tbMAPA[BPID],0),1),"")</f>
        <v>Jonatas Gomes Tenorio</v>
      </c>
      <c r="U14" s="1" t="str">
        <f>IFERROR(INDEX('MAPA OPERACIONAL'!$H$5:$I$51,MATCH(BACKLOG!M14,'MAPA OPERACIONAL'!$H$5:$H$51,0),2),"")</f>
        <v>PSG</v>
      </c>
      <c r="V14" s="10" t="str">
        <f>IFERROR(INDEX(tbSLA[],MATCH(B14,tbSLA[Caso: Número do caso],0),MATCH(V$5,tbSLA[#Headers],0)),"")</f>
        <v/>
      </c>
      <c r="W14" s="10" t="str">
        <f>IFERROR(INDEX(tbSLA[],MATCH(B14,tbSLA[Caso: Número do caso],0),MATCH(W$5,tbSLA[#Headers],0)),"")</f>
        <v/>
      </c>
    </row>
    <row r="15" spans="1:23" x14ac:dyDescent="0.25">
      <c r="A15" s="2" t="s">
        <v>16</v>
      </c>
      <c r="B15" s="2" t="s">
        <v>87</v>
      </c>
      <c r="C15" s="2" t="s">
        <v>88</v>
      </c>
      <c r="D15" s="2" t="s">
        <v>89</v>
      </c>
      <c r="E15" s="2" t="s">
        <v>89</v>
      </c>
      <c r="F15" s="2"/>
      <c r="G15" s="2" t="s">
        <v>21</v>
      </c>
      <c r="H15" s="2" t="s">
        <v>90</v>
      </c>
      <c r="I15" s="2" t="s">
        <v>57</v>
      </c>
      <c r="J15" s="2" t="s">
        <v>23</v>
      </c>
      <c r="K15" s="2" t="s">
        <v>24</v>
      </c>
      <c r="L15" s="2" t="s">
        <v>34</v>
      </c>
      <c r="M15" s="2" t="s">
        <v>35</v>
      </c>
      <c r="N15" s="2" t="s">
        <v>36</v>
      </c>
      <c r="O15" s="3">
        <v>42762.522222222222</v>
      </c>
      <c r="P15" s="3">
        <v>42769.597916666666</v>
      </c>
      <c r="Q15" s="4">
        <f t="shared" ca="1" si="0"/>
        <v>316</v>
      </c>
      <c r="R15" s="1">
        <f t="shared" ca="1" si="1"/>
        <v>309</v>
      </c>
      <c r="S15" s="1" t="str">
        <f>IFERROR(INDEX(tbMAPA[],MATCH(I15,tbMAPA[BPID],0),1),"")</f>
        <v>Henrique Eulalio De Sousa</v>
      </c>
      <c r="T15" s="1" t="str">
        <f>IFERROR(INDEX(tbMAPA[],MATCH(J15,tbMAPA[BPID],0),1),"")</f>
        <v>Jonatas Gomes Tenorio</v>
      </c>
      <c r="U15" s="1" t="str">
        <f>IFERROR(INDEX('MAPA OPERACIONAL'!$H$5:$I$51,MATCH(BACKLOG!M15,'MAPA OPERACIONAL'!$H$5:$H$51,0),2),"")</f>
        <v>IPG</v>
      </c>
      <c r="V15" s="10" t="str">
        <f>IFERROR(INDEX(tbSLA[],MATCH(B15,tbSLA[Caso: Número do caso],0),MATCH(V$5,tbSLA[#Headers],0)),"")</f>
        <v/>
      </c>
      <c r="W15" s="10" t="str">
        <f>IFERROR(INDEX(tbSLA[],MATCH(B15,tbSLA[Caso: Número do caso],0),MATCH(W$5,tbSLA[#Headers],0)),"")</f>
        <v/>
      </c>
    </row>
    <row r="16" spans="1:23" x14ac:dyDescent="0.25">
      <c r="A16" s="2" t="s">
        <v>16</v>
      </c>
      <c r="B16" s="2" t="s">
        <v>91</v>
      </c>
      <c r="C16" s="2" t="s">
        <v>92</v>
      </c>
      <c r="D16" s="2" t="s">
        <v>93</v>
      </c>
      <c r="E16" s="2" t="s">
        <v>94</v>
      </c>
      <c r="F16" s="2" t="s">
        <v>95</v>
      </c>
      <c r="G16" s="2" t="s">
        <v>21</v>
      </c>
      <c r="H16" s="2" t="s">
        <v>64</v>
      </c>
      <c r="I16" s="2" t="s">
        <v>33</v>
      </c>
      <c r="J16" s="2" t="s">
        <v>23</v>
      </c>
      <c r="K16" s="2" t="s">
        <v>24</v>
      </c>
      <c r="L16" s="2" t="s">
        <v>96</v>
      </c>
      <c r="M16" s="2" t="s">
        <v>97</v>
      </c>
      <c r="N16" s="2" t="s">
        <v>36</v>
      </c>
      <c r="O16" s="3">
        <v>42765.414583333331</v>
      </c>
      <c r="P16" s="3">
        <v>42769.674305555556</v>
      </c>
      <c r="Q16" s="4">
        <f t="shared" ca="1" si="0"/>
        <v>314</v>
      </c>
      <c r="R16" s="1">
        <f t="shared" ca="1" si="1"/>
        <v>309</v>
      </c>
      <c r="S16" s="1" t="str">
        <f>IFERROR(INDEX(tbMAPA[],MATCH(I16,tbMAPA[BPID],0),1),"")</f>
        <v>Zaelly Suerfia Ferreira da Costa</v>
      </c>
      <c r="T16" s="1" t="str">
        <f>IFERROR(INDEX(tbMAPA[],MATCH(J16,tbMAPA[BPID],0),1),"")</f>
        <v>Jonatas Gomes Tenorio</v>
      </c>
      <c r="U16" s="1" t="str">
        <f>IFERROR(INDEX('MAPA OPERACIONAL'!$H$5:$I$51,MATCH(BACKLOG!M16,'MAPA OPERACIONAL'!$H$5:$H$51,0),2),"")</f>
        <v>PSG</v>
      </c>
      <c r="V16" s="10" t="str">
        <f>IFERROR(INDEX(tbSLA[],MATCH(B16,tbSLA[Caso: Número do caso],0),MATCH(V$5,tbSLA[#Headers],0)),"")</f>
        <v/>
      </c>
      <c r="W16" s="10" t="str">
        <f>IFERROR(INDEX(tbSLA[],MATCH(B16,tbSLA[Caso: Número do caso],0),MATCH(W$5,tbSLA[#Headers],0)),"")</f>
        <v/>
      </c>
    </row>
    <row r="17" spans="1:23" x14ac:dyDescent="0.25">
      <c r="A17" s="2" t="s">
        <v>16</v>
      </c>
      <c r="B17" s="2" t="s">
        <v>98</v>
      </c>
      <c r="C17" s="2" t="s">
        <v>99</v>
      </c>
      <c r="D17" s="2" t="s">
        <v>100</v>
      </c>
      <c r="E17" s="2" t="s">
        <v>101</v>
      </c>
      <c r="F17" s="2"/>
      <c r="G17" s="2" t="s">
        <v>21</v>
      </c>
      <c r="H17" s="2" t="s">
        <v>102</v>
      </c>
      <c r="I17" s="2" t="s">
        <v>42</v>
      </c>
      <c r="J17" s="2" t="s">
        <v>23</v>
      </c>
      <c r="K17" s="2" t="s">
        <v>24</v>
      </c>
      <c r="L17" s="2" t="s">
        <v>103</v>
      </c>
      <c r="M17" s="2" t="s">
        <v>35</v>
      </c>
      <c r="N17" s="2" t="s">
        <v>27</v>
      </c>
      <c r="O17" s="3">
        <v>42765.532638888886</v>
      </c>
      <c r="P17" s="3">
        <v>42769.681250000001</v>
      </c>
      <c r="Q17" s="4">
        <f t="shared" ca="1" si="0"/>
        <v>313</v>
      </c>
      <c r="R17" s="1">
        <f t="shared" ca="1" si="1"/>
        <v>309</v>
      </c>
      <c r="S17" s="1" t="str">
        <f>IFERROR(INDEX(tbMAPA[],MATCH(I17,tbMAPA[BPID],0),1),"")</f>
        <v>Vinicius Marques Ferreira Silva</v>
      </c>
      <c r="T17" s="1" t="str">
        <f>IFERROR(INDEX(tbMAPA[],MATCH(J17,tbMAPA[BPID],0),1),"")</f>
        <v>Jonatas Gomes Tenorio</v>
      </c>
      <c r="U17" s="1" t="str">
        <f>IFERROR(INDEX('MAPA OPERACIONAL'!$H$5:$I$51,MATCH(BACKLOG!M17,'MAPA OPERACIONAL'!$H$5:$H$51,0),2),"")</f>
        <v>IPG</v>
      </c>
      <c r="V17" s="10" t="str">
        <f>IFERROR(INDEX(tbSLA[],MATCH(B17,tbSLA[Caso: Número do caso],0),MATCH(V$5,tbSLA[#Headers],0)),"")</f>
        <v/>
      </c>
      <c r="W17" s="10" t="str">
        <f>IFERROR(INDEX(tbSLA[],MATCH(B17,tbSLA[Caso: Número do caso],0),MATCH(W$5,tbSLA[#Headers],0)),"")</f>
        <v/>
      </c>
    </row>
    <row r="18" spans="1:23" x14ac:dyDescent="0.25">
      <c r="A18" s="2" t="s">
        <v>16</v>
      </c>
      <c r="B18" s="2" t="s">
        <v>104</v>
      </c>
      <c r="C18" s="2" t="s">
        <v>105</v>
      </c>
      <c r="D18" s="2" t="s">
        <v>106</v>
      </c>
      <c r="E18" s="2" t="s">
        <v>106</v>
      </c>
      <c r="F18" s="2"/>
      <c r="G18" s="2" t="s">
        <v>107</v>
      </c>
      <c r="H18" s="2" t="s">
        <v>108</v>
      </c>
      <c r="I18" s="2" t="s">
        <v>109</v>
      </c>
      <c r="J18" s="2" t="s">
        <v>109</v>
      </c>
      <c r="K18" s="2" t="s">
        <v>110</v>
      </c>
      <c r="L18" s="2" t="s">
        <v>111</v>
      </c>
      <c r="M18" s="2" t="s">
        <v>35</v>
      </c>
      <c r="N18" s="2" t="s">
        <v>36</v>
      </c>
      <c r="O18" s="3">
        <v>42766.359722222223</v>
      </c>
      <c r="P18" s="3">
        <v>42768.587500000001</v>
      </c>
      <c r="Q18" s="4">
        <f t="shared" ca="1" si="0"/>
        <v>313</v>
      </c>
      <c r="R18" s="1">
        <f t="shared" ca="1" si="1"/>
        <v>310</v>
      </c>
      <c r="S18" s="1" t="str">
        <f>IFERROR(INDEX(tbMAPA[],MATCH(I18,tbMAPA[BPID],0),1),"")</f>
        <v>Jesse Prates Martins</v>
      </c>
      <c r="T18" s="1" t="str">
        <f>IFERROR(INDEX(tbMAPA[],MATCH(J18,tbMAPA[BPID],0),1),"")</f>
        <v>Jesse Prates Martins</v>
      </c>
      <c r="U18" s="1" t="str">
        <f>IFERROR(INDEX('MAPA OPERACIONAL'!$H$5:$I$51,MATCH(BACKLOG!M18,'MAPA OPERACIONAL'!$H$5:$H$51,0),2),"")</f>
        <v>IPG</v>
      </c>
      <c r="V18" s="10" t="str">
        <f>IFERROR(INDEX(tbSLA[],MATCH(B18,tbSLA[Caso: Número do caso],0),MATCH(V$5,tbSLA[#Headers],0)),"")</f>
        <v/>
      </c>
      <c r="W18" s="10" t="str">
        <f>IFERROR(INDEX(tbSLA[],MATCH(B18,tbSLA[Caso: Número do caso],0),MATCH(W$5,tbSLA[#Headers],0)),"")</f>
        <v/>
      </c>
    </row>
    <row r="19" spans="1:23" x14ac:dyDescent="0.25">
      <c r="A19" s="2" t="s">
        <v>16</v>
      </c>
      <c r="B19" s="2" t="s">
        <v>112</v>
      </c>
      <c r="C19" s="2" t="s">
        <v>113</v>
      </c>
      <c r="D19" s="2" t="s">
        <v>114</v>
      </c>
      <c r="E19" s="2" t="s">
        <v>115</v>
      </c>
      <c r="F19" s="2"/>
      <c r="G19" s="2" t="s">
        <v>116</v>
      </c>
      <c r="H19" s="2" t="s">
        <v>117</v>
      </c>
      <c r="I19" s="2" t="s">
        <v>42</v>
      </c>
      <c r="J19" s="2" t="s">
        <v>118</v>
      </c>
      <c r="K19" s="2" t="s">
        <v>119</v>
      </c>
      <c r="L19" s="2" t="s">
        <v>120</v>
      </c>
      <c r="M19" s="2" t="s">
        <v>59</v>
      </c>
      <c r="N19" s="2" t="s">
        <v>27</v>
      </c>
      <c r="O19" s="3">
        <v>42766.511805555558</v>
      </c>
      <c r="P19" s="3">
        <v>42768.609027777777</v>
      </c>
      <c r="Q19" s="4">
        <f t="shared" ca="1" si="0"/>
        <v>312</v>
      </c>
      <c r="R19" s="1">
        <f t="shared" ca="1" si="1"/>
        <v>310</v>
      </c>
      <c r="S19" s="1" t="str">
        <f>IFERROR(INDEX(tbMAPA[],MATCH(I19,tbMAPA[BPID],0),1),"")</f>
        <v>Vinicius Marques Ferreira Silva</v>
      </c>
      <c r="T19" s="1" t="str">
        <f>IFERROR(INDEX(tbMAPA[],MATCH(J19,tbMAPA[BPID],0),1),"")</f>
        <v>Thiago Souza Herraez</v>
      </c>
      <c r="U19" s="1" t="str">
        <f>IFERROR(INDEX('MAPA OPERACIONAL'!$H$5:$I$51,MATCH(BACKLOG!M19,'MAPA OPERACIONAL'!$H$5:$H$51,0),2),"")</f>
        <v>PSG</v>
      </c>
      <c r="V19" s="10" t="str">
        <f>IFERROR(INDEX(tbSLA[],MATCH(B19,tbSLA[Caso: Número do caso],0),MATCH(V$5,tbSLA[#Headers],0)),"")</f>
        <v/>
      </c>
      <c r="W19" s="10" t="str">
        <f>IFERROR(INDEX(tbSLA[],MATCH(B19,tbSLA[Caso: Número do caso],0),MATCH(W$5,tbSLA[#Headers],0)),"")</f>
        <v/>
      </c>
    </row>
    <row r="20" spans="1:23" x14ac:dyDescent="0.25">
      <c r="A20" s="2" t="s">
        <v>16</v>
      </c>
      <c r="B20" s="2" t="s">
        <v>121</v>
      </c>
      <c r="C20" s="2" t="s">
        <v>122</v>
      </c>
      <c r="D20" s="2" t="s">
        <v>123</v>
      </c>
      <c r="E20" s="2" t="s">
        <v>124</v>
      </c>
      <c r="F20" s="2"/>
      <c r="G20" s="2" t="s">
        <v>125</v>
      </c>
      <c r="H20" s="2" t="s">
        <v>126</v>
      </c>
      <c r="I20" s="2" t="s">
        <v>127</v>
      </c>
      <c r="J20" s="2" t="s">
        <v>128</v>
      </c>
      <c r="K20" s="2" t="s">
        <v>129</v>
      </c>
      <c r="L20" s="2"/>
      <c r="M20" s="2"/>
      <c r="N20" s="2"/>
      <c r="O20" s="3">
        <v>42766.518750000003</v>
      </c>
      <c r="P20" s="3">
        <v>42768.438888888886</v>
      </c>
      <c r="Q20" s="4">
        <f t="shared" ca="1" si="0"/>
        <v>312</v>
      </c>
      <c r="R20" s="1">
        <f t="shared" ca="1" si="1"/>
        <v>311</v>
      </c>
      <c r="S20" s="1" t="str">
        <f>IFERROR(INDEX(tbMAPA[],MATCH(I20,tbMAPA[BPID],0),1),"")</f>
        <v>Ivanildo Cavalcante De Souza Junior</v>
      </c>
      <c r="T20" s="1" t="str">
        <f>IFERROR(INDEX(tbMAPA[],MATCH(J20,tbMAPA[BPID],0),1),"")</f>
        <v>Fernando Quintino Tavares</v>
      </c>
      <c r="U20" s="1" t="str">
        <f>IFERROR(INDEX('MAPA OPERACIONAL'!$H$5:$I$51,MATCH(BACKLOG!M20,'MAPA OPERACIONAL'!$H$5:$H$51,0),2),"")</f>
        <v/>
      </c>
      <c r="V20" s="10" t="str">
        <f>IFERROR(INDEX(tbSLA[],MATCH(B20,tbSLA[Caso: Número do caso],0),MATCH(V$5,tbSLA[#Headers],0)),"")</f>
        <v/>
      </c>
      <c r="W20" s="10" t="str">
        <f>IFERROR(INDEX(tbSLA[],MATCH(B20,tbSLA[Caso: Número do caso],0),MATCH(W$5,tbSLA[#Headers],0)),"")</f>
        <v/>
      </c>
    </row>
    <row r="21" spans="1:23" x14ac:dyDescent="0.25">
      <c r="A21" s="2" t="s">
        <v>16</v>
      </c>
      <c r="B21" s="2" t="s">
        <v>130</v>
      </c>
      <c r="C21" s="2" t="s">
        <v>131</v>
      </c>
      <c r="D21" s="2" t="s">
        <v>132</v>
      </c>
      <c r="E21" s="2" t="s">
        <v>133</v>
      </c>
      <c r="F21" s="2"/>
      <c r="G21" s="2" t="s">
        <v>116</v>
      </c>
      <c r="H21" s="2" t="s">
        <v>134</v>
      </c>
      <c r="I21" s="2" t="s">
        <v>33</v>
      </c>
      <c r="J21" s="2" t="s">
        <v>23</v>
      </c>
      <c r="K21" s="2" t="s">
        <v>24</v>
      </c>
      <c r="L21" s="2" t="s">
        <v>135</v>
      </c>
      <c r="M21" s="2" t="s">
        <v>26</v>
      </c>
      <c r="N21" s="2" t="s">
        <v>27</v>
      </c>
      <c r="O21" s="3">
        <v>42766.601388888892</v>
      </c>
      <c r="P21" s="3">
        <v>42768.594444444447</v>
      </c>
      <c r="Q21" s="4">
        <f t="shared" ca="1" si="0"/>
        <v>312</v>
      </c>
      <c r="R21" s="1">
        <f t="shared" ca="1" si="1"/>
        <v>310</v>
      </c>
      <c r="S21" s="1" t="str">
        <f>IFERROR(INDEX(tbMAPA[],MATCH(I21,tbMAPA[BPID],0),1),"")</f>
        <v>Zaelly Suerfia Ferreira da Costa</v>
      </c>
      <c r="T21" s="1" t="str">
        <f>IFERROR(INDEX(tbMAPA[],MATCH(J21,tbMAPA[BPID],0),1),"")</f>
        <v>Jonatas Gomes Tenorio</v>
      </c>
      <c r="U21" s="1" t="str">
        <f>IFERROR(INDEX('MAPA OPERACIONAL'!$H$5:$I$51,MATCH(BACKLOG!M21,'MAPA OPERACIONAL'!$H$5:$H$51,0),2),"")</f>
        <v>PSG</v>
      </c>
      <c r="V21" s="10" t="str">
        <f>IFERROR(INDEX(tbSLA[],MATCH(B21,tbSLA[Caso: Número do caso],0),MATCH(V$5,tbSLA[#Headers],0)),"")</f>
        <v/>
      </c>
      <c r="W21" s="10" t="str">
        <f>IFERROR(INDEX(tbSLA[],MATCH(B21,tbSLA[Caso: Número do caso],0),MATCH(W$5,tbSLA[#Headers],0)),"")</f>
        <v/>
      </c>
    </row>
    <row r="22" spans="1:23" x14ac:dyDescent="0.25">
      <c r="A22" s="2" t="s">
        <v>16</v>
      </c>
      <c r="B22" s="2" t="s">
        <v>136</v>
      </c>
      <c r="C22" s="2" t="s">
        <v>137</v>
      </c>
      <c r="D22" s="2" t="s">
        <v>138</v>
      </c>
      <c r="E22" s="2" t="s">
        <v>139</v>
      </c>
      <c r="F22" s="2"/>
      <c r="G22" s="2" t="s">
        <v>116</v>
      </c>
      <c r="H22" s="2" t="s">
        <v>140</v>
      </c>
      <c r="I22" s="2" t="s">
        <v>141</v>
      </c>
      <c r="J22" s="2" t="s">
        <v>23</v>
      </c>
      <c r="K22" s="2" t="s">
        <v>24</v>
      </c>
      <c r="L22" s="2" t="s">
        <v>142</v>
      </c>
      <c r="M22" s="2" t="s">
        <v>143</v>
      </c>
      <c r="N22" s="2" t="s">
        <v>27</v>
      </c>
      <c r="O22" s="3">
        <v>42766.659722222219</v>
      </c>
      <c r="P22" s="3">
        <v>42768.606249999997</v>
      </c>
      <c r="Q22" s="4">
        <f t="shared" ca="1" si="0"/>
        <v>312</v>
      </c>
      <c r="R22" s="1">
        <f t="shared" ca="1" si="1"/>
        <v>310</v>
      </c>
      <c r="S22" s="1" t="str">
        <f>IFERROR(INDEX(tbMAPA[],MATCH(I22,tbMAPA[BPID],0),1),"")</f>
        <v>Luiz Fernando dos Santos Ferreira</v>
      </c>
      <c r="T22" s="1" t="str">
        <f>IFERROR(INDEX(tbMAPA[],MATCH(J22,tbMAPA[BPID],0),1),"")</f>
        <v>Jonatas Gomes Tenorio</v>
      </c>
      <c r="U22" s="1" t="str">
        <f>IFERROR(INDEX('MAPA OPERACIONAL'!$H$5:$I$51,MATCH(BACKLOG!M22,'MAPA OPERACIONAL'!$H$5:$H$51,0),2),"")</f>
        <v>IPG</v>
      </c>
      <c r="V22" s="10" t="str">
        <f>IFERROR(INDEX(tbSLA[],MATCH(B22,tbSLA[Caso: Número do caso],0),MATCH(V$5,tbSLA[#Headers],0)),"")</f>
        <v/>
      </c>
      <c r="W22" s="10" t="str">
        <f>IFERROR(INDEX(tbSLA[],MATCH(B22,tbSLA[Caso: Número do caso],0),MATCH(W$5,tbSLA[#Headers],0)),"")</f>
        <v/>
      </c>
    </row>
    <row r="23" spans="1:23" x14ac:dyDescent="0.25">
      <c r="A23" s="2" t="s">
        <v>16</v>
      </c>
      <c r="B23" s="2" t="s">
        <v>144</v>
      </c>
      <c r="C23" s="2" t="s">
        <v>145</v>
      </c>
      <c r="D23" s="2" t="s">
        <v>146</v>
      </c>
      <c r="E23" s="2" t="s">
        <v>147</v>
      </c>
      <c r="F23" s="2"/>
      <c r="G23" s="2" t="s">
        <v>148</v>
      </c>
      <c r="H23" s="2" t="s">
        <v>149</v>
      </c>
      <c r="I23" s="2" t="s">
        <v>42</v>
      </c>
      <c r="J23" s="2" t="s">
        <v>150</v>
      </c>
      <c r="K23" s="2" t="s">
        <v>151</v>
      </c>
      <c r="L23" s="2" t="s">
        <v>152</v>
      </c>
      <c r="M23" s="2" t="s">
        <v>97</v>
      </c>
      <c r="N23" s="2" t="s">
        <v>36</v>
      </c>
      <c r="O23" s="3">
        <v>42767.45208333333</v>
      </c>
      <c r="P23" s="3">
        <v>42769.694444444445</v>
      </c>
      <c r="Q23" s="4">
        <f t="shared" ca="1" si="0"/>
        <v>312</v>
      </c>
      <c r="R23" s="1">
        <f t="shared" ca="1" si="1"/>
        <v>309</v>
      </c>
      <c r="S23" s="1" t="str">
        <f>IFERROR(INDEX(tbMAPA[],MATCH(I23,tbMAPA[BPID],0),1),"")</f>
        <v>Vinicius Marques Ferreira Silva</v>
      </c>
      <c r="T23" s="1" t="str">
        <f>IFERROR(INDEX(tbMAPA[],MATCH(J23,tbMAPA[BPID],0),1),"")</f>
        <v>Renato Miranda Dos Santos</v>
      </c>
      <c r="U23" s="1" t="str">
        <f>IFERROR(INDEX('MAPA OPERACIONAL'!$H$5:$I$51,MATCH(BACKLOG!M23,'MAPA OPERACIONAL'!$H$5:$H$51,0),2),"")</f>
        <v>PSG</v>
      </c>
      <c r="V23" s="10" t="str">
        <f>IFERROR(INDEX(tbSLA[],MATCH(B23,tbSLA[Caso: Número do caso],0),MATCH(V$5,tbSLA[#Headers],0)),"")</f>
        <v/>
      </c>
      <c r="W23" s="10" t="str">
        <f>IFERROR(INDEX(tbSLA[],MATCH(B23,tbSLA[Caso: Número do caso],0),MATCH(W$5,tbSLA[#Headers],0)),"")</f>
        <v/>
      </c>
    </row>
    <row r="24" spans="1:23" x14ac:dyDescent="0.25">
      <c r="A24" s="2" t="s">
        <v>16</v>
      </c>
      <c r="B24" s="2" t="s">
        <v>153</v>
      </c>
      <c r="C24" s="2" t="s">
        <v>154</v>
      </c>
      <c r="D24" s="2" t="s">
        <v>155</v>
      </c>
      <c r="E24" s="2" t="s">
        <v>156</v>
      </c>
      <c r="F24" s="2"/>
      <c r="G24" s="2" t="s">
        <v>21</v>
      </c>
      <c r="H24" s="2" t="s">
        <v>157</v>
      </c>
      <c r="I24" s="2" t="s">
        <v>33</v>
      </c>
      <c r="J24" s="2" t="s">
        <v>23</v>
      </c>
      <c r="K24" s="2" t="s">
        <v>24</v>
      </c>
      <c r="L24" s="2" t="s">
        <v>158</v>
      </c>
      <c r="M24" s="2" t="s">
        <v>26</v>
      </c>
      <c r="N24" s="2" t="s">
        <v>36</v>
      </c>
      <c r="O24" s="3">
        <v>42767.456944444442</v>
      </c>
      <c r="P24" s="3">
        <v>42769.68472222222</v>
      </c>
      <c r="Q24" s="4">
        <f t="shared" ca="1" si="0"/>
        <v>312</v>
      </c>
      <c r="R24" s="1">
        <f t="shared" ca="1" si="1"/>
        <v>309</v>
      </c>
      <c r="S24" s="1" t="str">
        <f>IFERROR(INDEX(tbMAPA[],MATCH(I24,tbMAPA[BPID],0),1),"")</f>
        <v>Zaelly Suerfia Ferreira da Costa</v>
      </c>
      <c r="T24" s="1" t="str">
        <f>IFERROR(INDEX(tbMAPA[],MATCH(J24,tbMAPA[BPID],0),1),"")</f>
        <v>Jonatas Gomes Tenorio</v>
      </c>
      <c r="U24" s="1" t="str">
        <f>IFERROR(INDEX('MAPA OPERACIONAL'!$H$5:$I$51,MATCH(BACKLOG!M24,'MAPA OPERACIONAL'!$H$5:$H$51,0),2),"")</f>
        <v>PSG</v>
      </c>
      <c r="V24" s="10" t="str">
        <f>IFERROR(INDEX(tbSLA[],MATCH(B24,tbSLA[Caso: Número do caso],0),MATCH(V$5,tbSLA[#Headers],0)),"")</f>
        <v/>
      </c>
      <c r="W24" s="10" t="str">
        <f>IFERROR(INDEX(tbSLA[],MATCH(B24,tbSLA[Caso: Número do caso],0),MATCH(W$5,tbSLA[#Headers],0)),"")</f>
        <v/>
      </c>
    </row>
    <row r="25" spans="1:23" x14ac:dyDescent="0.25">
      <c r="A25" s="2" t="s">
        <v>16</v>
      </c>
      <c r="B25" s="2" t="s">
        <v>159</v>
      </c>
      <c r="C25" s="2" t="s">
        <v>160</v>
      </c>
      <c r="D25" s="2" t="s">
        <v>161</v>
      </c>
      <c r="E25" s="2" t="s">
        <v>162</v>
      </c>
      <c r="F25" s="2"/>
      <c r="G25" s="2" t="s">
        <v>116</v>
      </c>
      <c r="H25" s="2" t="s">
        <v>163</v>
      </c>
      <c r="I25" s="2" t="s">
        <v>42</v>
      </c>
      <c r="J25" s="2" t="s">
        <v>127</v>
      </c>
      <c r="K25" s="2" t="s">
        <v>164</v>
      </c>
      <c r="L25" s="2" t="s">
        <v>80</v>
      </c>
      <c r="M25" s="2" t="s">
        <v>59</v>
      </c>
      <c r="N25" s="2" t="s">
        <v>36</v>
      </c>
      <c r="O25" s="3">
        <v>42767.470138888886</v>
      </c>
      <c r="P25" s="3">
        <v>42769.673611111109</v>
      </c>
      <c r="Q25" s="4">
        <f t="shared" ca="1" si="0"/>
        <v>312</v>
      </c>
      <c r="R25" s="1">
        <f t="shared" ca="1" si="1"/>
        <v>309</v>
      </c>
      <c r="S25" s="1" t="str">
        <f>IFERROR(INDEX(tbMAPA[],MATCH(I25,tbMAPA[BPID],0),1),"")</f>
        <v>Vinicius Marques Ferreira Silva</v>
      </c>
      <c r="T25" s="1" t="str">
        <f>IFERROR(INDEX(tbMAPA[],MATCH(J25,tbMAPA[BPID],0),1),"")</f>
        <v>Ivanildo Cavalcante De Souza Junior</v>
      </c>
      <c r="U25" s="1" t="str">
        <f>IFERROR(INDEX('MAPA OPERACIONAL'!$H$5:$I$51,MATCH(BACKLOG!M25,'MAPA OPERACIONAL'!$H$5:$H$51,0),2),"")</f>
        <v>PSG</v>
      </c>
      <c r="V25" s="10" t="str">
        <f>IFERROR(INDEX(tbSLA[],MATCH(B25,tbSLA[Caso: Número do caso],0),MATCH(V$5,tbSLA[#Headers],0)),"")</f>
        <v/>
      </c>
      <c r="W25" s="10" t="str">
        <f>IFERROR(INDEX(tbSLA[],MATCH(B25,tbSLA[Caso: Número do caso],0),MATCH(W$5,tbSLA[#Headers],0)),"")</f>
        <v/>
      </c>
    </row>
    <row r="26" spans="1:23" x14ac:dyDescent="0.25">
      <c r="A26" s="2" t="s">
        <v>16</v>
      </c>
      <c r="B26" s="2" t="s">
        <v>165</v>
      </c>
      <c r="C26" s="2" t="s">
        <v>166</v>
      </c>
      <c r="D26" s="2" t="s">
        <v>167</v>
      </c>
      <c r="E26" s="2" t="s">
        <v>168</v>
      </c>
      <c r="F26" s="2"/>
      <c r="G26" s="2" t="s">
        <v>116</v>
      </c>
      <c r="H26" s="2" t="s">
        <v>169</v>
      </c>
      <c r="I26" s="2" t="s">
        <v>170</v>
      </c>
      <c r="J26" s="2" t="s">
        <v>170</v>
      </c>
      <c r="K26" s="2" t="s">
        <v>119</v>
      </c>
      <c r="L26" s="2" t="s">
        <v>58</v>
      </c>
      <c r="M26" s="2" t="s">
        <v>59</v>
      </c>
      <c r="N26" s="2" t="s">
        <v>27</v>
      </c>
      <c r="O26" s="3">
        <v>42768.415972222225</v>
      </c>
      <c r="P26" s="3">
        <v>42768.425694444442</v>
      </c>
      <c r="Q26" s="4">
        <f t="shared" ca="1" si="0"/>
        <v>311</v>
      </c>
      <c r="R26" s="1">
        <f t="shared" ca="1" si="1"/>
        <v>311</v>
      </c>
      <c r="S26" s="1" t="str">
        <f>IFERROR(INDEX(tbMAPA[],MATCH(I26,tbMAPA[BPID],0),1),"")</f>
        <v>Wendrey Schumaher Lara</v>
      </c>
      <c r="T26" s="1" t="str">
        <f>IFERROR(INDEX(tbMAPA[],MATCH(J26,tbMAPA[BPID],0),1),"")</f>
        <v>Wendrey Schumaher Lara</v>
      </c>
      <c r="U26" s="1" t="str">
        <f>IFERROR(INDEX('MAPA OPERACIONAL'!$H$5:$I$51,MATCH(BACKLOG!M26,'MAPA OPERACIONAL'!$H$5:$H$51,0),2),"")</f>
        <v>PSG</v>
      </c>
      <c r="V26" s="10" t="str">
        <f>IFERROR(INDEX(tbSLA[],MATCH(B26,tbSLA[Caso: Número do caso],0),MATCH(V$5,tbSLA[#Headers],0)),"")</f>
        <v/>
      </c>
      <c r="W26" s="10" t="str">
        <f>IFERROR(INDEX(tbSLA[],MATCH(B26,tbSLA[Caso: Número do caso],0),MATCH(W$5,tbSLA[#Headers],0)),"")</f>
        <v/>
      </c>
    </row>
    <row r="27" spans="1:23" x14ac:dyDescent="0.25">
      <c r="A27" s="2" t="s">
        <v>16</v>
      </c>
      <c r="B27" s="2" t="s">
        <v>171</v>
      </c>
      <c r="C27" s="2" t="s">
        <v>172</v>
      </c>
      <c r="D27" s="2" t="s">
        <v>173</v>
      </c>
      <c r="E27" s="2" t="s">
        <v>174</v>
      </c>
      <c r="F27" s="2"/>
      <c r="G27" s="2" t="s">
        <v>107</v>
      </c>
      <c r="H27" s="2" t="s">
        <v>175</v>
      </c>
      <c r="I27" s="2" t="s">
        <v>170</v>
      </c>
      <c r="J27" s="2" t="s">
        <v>23</v>
      </c>
      <c r="K27" s="2" t="s">
        <v>24</v>
      </c>
      <c r="L27" s="2" t="s">
        <v>86</v>
      </c>
      <c r="M27" s="2" t="s">
        <v>59</v>
      </c>
      <c r="N27" s="2" t="s">
        <v>36</v>
      </c>
      <c r="O27" s="3">
        <v>42768.45208333333</v>
      </c>
      <c r="P27" s="3">
        <v>42769.672222222223</v>
      </c>
      <c r="Q27" s="4">
        <f t="shared" ca="1" si="0"/>
        <v>311</v>
      </c>
      <c r="R27" s="1">
        <f t="shared" ca="1" si="1"/>
        <v>309</v>
      </c>
      <c r="S27" s="1" t="str">
        <f>IFERROR(INDEX(tbMAPA[],MATCH(I27,tbMAPA[BPID],0),1),"")</f>
        <v>Wendrey Schumaher Lara</v>
      </c>
      <c r="T27" s="1" t="str">
        <f>IFERROR(INDEX(tbMAPA[],MATCH(J27,tbMAPA[BPID],0),1),"")</f>
        <v>Jonatas Gomes Tenorio</v>
      </c>
      <c r="U27" s="1" t="str">
        <f>IFERROR(INDEX('MAPA OPERACIONAL'!$H$5:$I$51,MATCH(BACKLOG!M27,'MAPA OPERACIONAL'!$H$5:$H$51,0),2),"")</f>
        <v>PSG</v>
      </c>
      <c r="V27" s="10" t="str">
        <f>IFERROR(INDEX(tbSLA[],MATCH(B27,tbSLA[Caso: Número do caso],0),MATCH(V$5,tbSLA[#Headers],0)),"")</f>
        <v/>
      </c>
      <c r="W27" s="10" t="str">
        <f>IFERROR(INDEX(tbSLA[],MATCH(B27,tbSLA[Caso: Número do caso],0),MATCH(W$5,tbSLA[#Headers],0)),"")</f>
        <v/>
      </c>
    </row>
    <row r="28" spans="1:23" x14ac:dyDescent="0.25">
      <c r="A28" s="2" t="s">
        <v>16</v>
      </c>
      <c r="B28" s="2" t="s">
        <v>176</v>
      </c>
      <c r="C28" s="2" t="s">
        <v>177</v>
      </c>
      <c r="D28" s="2" t="s">
        <v>178</v>
      </c>
      <c r="E28" s="2" t="s">
        <v>179</v>
      </c>
      <c r="F28" s="2"/>
      <c r="G28" s="2" t="s">
        <v>107</v>
      </c>
      <c r="H28" s="2" t="s">
        <v>180</v>
      </c>
      <c r="I28" s="2" t="s">
        <v>181</v>
      </c>
      <c r="J28" s="2" t="s">
        <v>181</v>
      </c>
      <c r="K28" s="2" t="s">
        <v>110</v>
      </c>
      <c r="L28" s="2" t="s">
        <v>43</v>
      </c>
      <c r="M28" s="2" t="s">
        <v>35</v>
      </c>
      <c r="N28" s="2" t="s">
        <v>36</v>
      </c>
      <c r="O28" s="3">
        <v>42768.46875</v>
      </c>
      <c r="P28" s="3">
        <v>42768.484027777777</v>
      </c>
      <c r="Q28" s="4">
        <f t="shared" ca="1" si="0"/>
        <v>311</v>
      </c>
      <c r="R28" s="1">
        <f t="shared" ca="1" si="1"/>
        <v>311</v>
      </c>
      <c r="S28" s="1" t="str">
        <f>IFERROR(INDEX(tbMAPA[],MATCH(I28,tbMAPA[BPID],0),1),"")</f>
        <v>Edilson Nunes De Souza</v>
      </c>
      <c r="T28" s="1" t="str">
        <f>IFERROR(INDEX(tbMAPA[],MATCH(J28,tbMAPA[BPID],0),1),"")</f>
        <v>Edilson Nunes De Souza</v>
      </c>
      <c r="U28" s="1" t="str">
        <f>IFERROR(INDEX('MAPA OPERACIONAL'!$H$5:$I$51,MATCH(BACKLOG!M28,'MAPA OPERACIONAL'!$H$5:$H$51,0),2),"")</f>
        <v>IPG</v>
      </c>
      <c r="V28" s="10" t="str">
        <f>IFERROR(INDEX(tbSLA[],MATCH(B28,tbSLA[Caso: Número do caso],0),MATCH(V$5,tbSLA[#Headers],0)),"")</f>
        <v/>
      </c>
      <c r="W28" s="10" t="str">
        <f>IFERROR(INDEX(tbSLA[],MATCH(B28,tbSLA[Caso: Número do caso],0),MATCH(W$5,tbSLA[#Headers],0)),"")</f>
        <v/>
      </c>
    </row>
    <row r="29" spans="1:23" x14ac:dyDescent="0.25">
      <c r="A29" s="2" t="s">
        <v>16</v>
      </c>
      <c r="B29" s="2" t="s">
        <v>182</v>
      </c>
      <c r="C29" s="2" t="s">
        <v>183</v>
      </c>
      <c r="D29" s="2" t="s">
        <v>184</v>
      </c>
      <c r="E29" s="2" t="s">
        <v>184</v>
      </c>
      <c r="F29" s="2"/>
      <c r="G29" s="2" t="s">
        <v>107</v>
      </c>
      <c r="H29" s="2" t="s">
        <v>185</v>
      </c>
      <c r="I29" s="2" t="s">
        <v>72</v>
      </c>
      <c r="J29" s="2" t="s">
        <v>127</v>
      </c>
      <c r="K29" s="2" t="s">
        <v>110</v>
      </c>
      <c r="L29" s="2" t="s">
        <v>34</v>
      </c>
      <c r="M29" s="2" t="s">
        <v>35</v>
      </c>
      <c r="N29" s="2" t="s">
        <v>36</v>
      </c>
      <c r="O29" s="3">
        <v>42768.479861111111</v>
      </c>
      <c r="P29" s="3">
        <v>42769.398611111108</v>
      </c>
      <c r="Q29" s="4">
        <f t="shared" ca="1" si="0"/>
        <v>311</v>
      </c>
      <c r="R29" s="1">
        <f t="shared" ca="1" si="1"/>
        <v>310</v>
      </c>
      <c r="S29" s="1" t="str">
        <f>IFERROR(INDEX(tbMAPA[],MATCH(I29,tbMAPA[BPID],0),1),"")</f>
        <v>Denyse Souza Santos</v>
      </c>
      <c r="T29" s="1" t="str">
        <f>IFERROR(INDEX(tbMAPA[],MATCH(J29,tbMAPA[BPID],0),1),"")</f>
        <v>Ivanildo Cavalcante De Souza Junior</v>
      </c>
      <c r="U29" s="1" t="str">
        <f>IFERROR(INDEX('MAPA OPERACIONAL'!$H$5:$I$51,MATCH(BACKLOG!M29,'MAPA OPERACIONAL'!$H$5:$H$51,0),2),"")</f>
        <v>IPG</v>
      </c>
      <c r="V29" s="10" t="str">
        <f>IFERROR(INDEX(tbSLA[],MATCH(B29,tbSLA[Caso: Número do caso],0),MATCH(V$5,tbSLA[#Headers],0)),"")</f>
        <v/>
      </c>
      <c r="W29" s="10" t="str">
        <f>IFERROR(INDEX(tbSLA[],MATCH(B29,tbSLA[Caso: Número do caso],0),MATCH(W$5,tbSLA[#Headers],0)),"")</f>
        <v/>
      </c>
    </row>
    <row r="30" spans="1:23" x14ac:dyDescent="0.25">
      <c r="A30" s="2" t="s">
        <v>16</v>
      </c>
      <c r="B30" s="2" t="s">
        <v>186</v>
      </c>
      <c r="C30" s="2" t="s">
        <v>187</v>
      </c>
      <c r="D30" s="2" t="s">
        <v>188</v>
      </c>
      <c r="E30" s="2" t="s">
        <v>188</v>
      </c>
      <c r="F30" s="2"/>
      <c r="G30" s="2" t="s">
        <v>107</v>
      </c>
      <c r="H30" s="2" t="s">
        <v>189</v>
      </c>
      <c r="I30" s="2" t="s">
        <v>109</v>
      </c>
      <c r="J30" s="2" t="s">
        <v>109</v>
      </c>
      <c r="K30" s="2" t="s">
        <v>110</v>
      </c>
      <c r="L30" s="2" t="s">
        <v>190</v>
      </c>
      <c r="M30" s="2" t="s">
        <v>35</v>
      </c>
      <c r="N30" s="2" t="s">
        <v>36</v>
      </c>
      <c r="O30" s="3">
        <v>42768.480555555558</v>
      </c>
      <c r="P30" s="3">
        <v>42768.497916666667</v>
      </c>
      <c r="Q30" s="4">
        <f t="shared" ca="1" si="0"/>
        <v>311</v>
      </c>
      <c r="R30" s="1">
        <f t="shared" ca="1" si="1"/>
        <v>311</v>
      </c>
      <c r="S30" s="1" t="str">
        <f>IFERROR(INDEX(tbMAPA[],MATCH(I30,tbMAPA[BPID],0),1),"")</f>
        <v>Jesse Prates Martins</v>
      </c>
      <c r="T30" s="1" t="str">
        <f>IFERROR(INDEX(tbMAPA[],MATCH(J30,tbMAPA[BPID],0),1),"")</f>
        <v>Jesse Prates Martins</v>
      </c>
      <c r="U30" s="1" t="str">
        <f>IFERROR(INDEX('MAPA OPERACIONAL'!$H$5:$I$51,MATCH(BACKLOG!M30,'MAPA OPERACIONAL'!$H$5:$H$51,0),2),"")</f>
        <v>IPG</v>
      </c>
      <c r="V30" s="10" t="str">
        <f>IFERROR(INDEX(tbSLA[],MATCH(B30,tbSLA[Caso: Número do caso],0),MATCH(V$5,tbSLA[#Headers],0)),"")</f>
        <v/>
      </c>
      <c r="W30" s="10" t="str">
        <f>IFERROR(INDEX(tbSLA[],MATCH(B30,tbSLA[Caso: Número do caso],0),MATCH(W$5,tbSLA[#Headers],0)),"")</f>
        <v/>
      </c>
    </row>
    <row r="31" spans="1:23" x14ac:dyDescent="0.25">
      <c r="A31" s="2" t="s">
        <v>16</v>
      </c>
      <c r="B31" s="2" t="s">
        <v>191</v>
      </c>
      <c r="C31" s="2" t="s">
        <v>192</v>
      </c>
      <c r="D31" s="2" t="s">
        <v>193</v>
      </c>
      <c r="E31" s="2" t="s">
        <v>194</v>
      </c>
      <c r="F31" s="2"/>
      <c r="G31" s="2" t="s">
        <v>107</v>
      </c>
      <c r="H31" s="2" t="s">
        <v>195</v>
      </c>
      <c r="I31" s="2" t="s">
        <v>170</v>
      </c>
      <c r="J31" s="2" t="s">
        <v>170</v>
      </c>
      <c r="K31" s="2" t="s">
        <v>110</v>
      </c>
      <c r="L31" s="2" t="s">
        <v>96</v>
      </c>
      <c r="M31" s="2" t="s">
        <v>97</v>
      </c>
      <c r="N31" s="2" t="s">
        <v>36</v>
      </c>
      <c r="O31" s="3">
        <v>42768.482638888891</v>
      </c>
      <c r="P31" s="3">
        <v>42768.501388888886</v>
      </c>
      <c r="Q31" s="4">
        <f t="shared" ca="1" si="0"/>
        <v>311</v>
      </c>
      <c r="R31" s="1">
        <f t="shared" ca="1" si="1"/>
        <v>310</v>
      </c>
      <c r="S31" s="1" t="str">
        <f>IFERROR(INDEX(tbMAPA[],MATCH(I31,tbMAPA[BPID],0),1),"")</f>
        <v>Wendrey Schumaher Lara</v>
      </c>
      <c r="T31" s="1" t="str">
        <f>IFERROR(INDEX(tbMAPA[],MATCH(J31,tbMAPA[BPID],0),1),"")</f>
        <v>Wendrey Schumaher Lara</v>
      </c>
      <c r="U31" s="1" t="str">
        <f>IFERROR(INDEX('MAPA OPERACIONAL'!$H$5:$I$51,MATCH(BACKLOG!M31,'MAPA OPERACIONAL'!$H$5:$H$51,0),2),"")</f>
        <v>PSG</v>
      </c>
      <c r="V31" s="10" t="str">
        <f>IFERROR(INDEX(tbSLA[],MATCH(B31,tbSLA[Caso: Número do caso],0),MATCH(V$5,tbSLA[#Headers],0)),"")</f>
        <v/>
      </c>
      <c r="W31" s="10" t="str">
        <f>IFERROR(INDEX(tbSLA[],MATCH(B31,tbSLA[Caso: Número do caso],0),MATCH(W$5,tbSLA[#Headers],0)),"")</f>
        <v/>
      </c>
    </row>
    <row r="32" spans="1:23" x14ac:dyDescent="0.25">
      <c r="A32" s="2" t="s">
        <v>16</v>
      </c>
      <c r="B32" s="2" t="s">
        <v>196</v>
      </c>
      <c r="C32" s="2" t="s">
        <v>197</v>
      </c>
      <c r="D32" s="2" t="s">
        <v>198</v>
      </c>
      <c r="E32" s="2" t="s">
        <v>199</v>
      </c>
      <c r="F32" s="2"/>
      <c r="G32" s="2" t="s">
        <v>21</v>
      </c>
      <c r="H32" s="2" t="s">
        <v>200</v>
      </c>
      <c r="I32" s="2" t="s">
        <v>42</v>
      </c>
      <c r="J32" s="2" t="s">
        <v>23</v>
      </c>
      <c r="K32" s="2" t="s">
        <v>24</v>
      </c>
      <c r="L32" s="2" t="s">
        <v>34</v>
      </c>
      <c r="M32" s="2" t="s">
        <v>35</v>
      </c>
      <c r="N32" s="2" t="s">
        <v>36</v>
      </c>
      <c r="O32" s="3">
        <v>42768.5</v>
      </c>
      <c r="P32" s="3">
        <v>42769.707638888889</v>
      </c>
      <c r="Q32" s="4">
        <f t="shared" ca="1" si="0"/>
        <v>311</v>
      </c>
      <c r="R32" s="1">
        <f t="shared" ca="1" si="1"/>
        <v>309</v>
      </c>
      <c r="S32" s="1" t="str">
        <f>IFERROR(INDEX(tbMAPA[],MATCH(I32,tbMAPA[BPID],0),1),"")</f>
        <v>Vinicius Marques Ferreira Silva</v>
      </c>
      <c r="T32" s="1" t="str">
        <f>IFERROR(INDEX(tbMAPA[],MATCH(J32,tbMAPA[BPID],0),1),"")</f>
        <v>Jonatas Gomes Tenorio</v>
      </c>
      <c r="U32" s="1" t="str">
        <f>IFERROR(INDEX('MAPA OPERACIONAL'!$H$5:$I$51,MATCH(BACKLOG!M32,'MAPA OPERACIONAL'!$H$5:$H$51,0),2),"")</f>
        <v>IPG</v>
      </c>
      <c r="V32" s="10" t="str">
        <f>IFERROR(INDEX(tbSLA[],MATCH(B32,tbSLA[Caso: Número do caso],0),MATCH(V$5,tbSLA[#Headers],0)),"")</f>
        <v/>
      </c>
      <c r="W32" s="10" t="str">
        <f>IFERROR(INDEX(tbSLA[],MATCH(B32,tbSLA[Caso: Número do caso],0),MATCH(W$5,tbSLA[#Headers],0)),"")</f>
        <v/>
      </c>
    </row>
    <row r="33" spans="1:23" x14ac:dyDescent="0.25">
      <c r="A33" s="2" t="s">
        <v>16</v>
      </c>
      <c r="B33" s="2" t="s">
        <v>201</v>
      </c>
      <c r="C33" s="2" t="s">
        <v>202</v>
      </c>
      <c r="D33" s="2" t="s">
        <v>203</v>
      </c>
      <c r="E33" s="2" t="s">
        <v>204</v>
      </c>
      <c r="F33" s="2"/>
      <c r="G33" s="2" t="s">
        <v>107</v>
      </c>
      <c r="H33" s="2" t="s">
        <v>205</v>
      </c>
      <c r="I33" s="2" t="s">
        <v>181</v>
      </c>
      <c r="J33" s="2" t="s">
        <v>206</v>
      </c>
      <c r="K33" s="2" t="s">
        <v>207</v>
      </c>
      <c r="L33" s="2" t="s">
        <v>120</v>
      </c>
      <c r="M33" s="2" t="s">
        <v>59</v>
      </c>
      <c r="N33" s="2" t="s">
        <v>36</v>
      </c>
      <c r="O33" s="3">
        <v>42768.502083333333</v>
      </c>
      <c r="P33" s="3">
        <v>42769.433333333334</v>
      </c>
      <c r="Q33" s="4">
        <f t="shared" ca="1" si="0"/>
        <v>310</v>
      </c>
      <c r="R33" s="1">
        <f t="shared" ca="1" si="1"/>
        <v>310</v>
      </c>
      <c r="S33" s="1" t="str">
        <f>IFERROR(INDEX(tbMAPA[],MATCH(I33,tbMAPA[BPID],0),1),"")</f>
        <v>Edilson Nunes De Souza</v>
      </c>
      <c r="T33" s="1" t="str">
        <f>IFERROR(INDEX(tbMAPA[],MATCH(J33,tbMAPA[BPID],0),1),"")</f>
        <v>Daniel Dantas De Oliveira</v>
      </c>
      <c r="U33" s="1" t="str">
        <f>IFERROR(INDEX('MAPA OPERACIONAL'!$H$5:$I$51,MATCH(BACKLOG!M33,'MAPA OPERACIONAL'!$H$5:$H$51,0),2),"")</f>
        <v>PSG</v>
      </c>
      <c r="V33" s="10" t="str">
        <f>IFERROR(INDEX(tbSLA[],MATCH(B33,tbSLA[Caso: Número do caso],0),MATCH(V$5,tbSLA[#Headers],0)),"")</f>
        <v/>
      </c>
      <c r="W33" s="10" t="str">
        <f>IFERROR(INDEX(tbSLA[],MATCH(B33,tbSLA[Caso: Número do caso],0),MATCH(W$5,tbSLA[#Headers],0)),"")</f>
        <v/>
      </c>
    </row>
    <row r="34" spans="1:23" x14ac:dyDescent="0.25">
      <c r="A34" s="2" t="s">
        <v>16</v>
      </c>
      <c r="B34" s="2" t="s">
        <v>208</v>
      </c>
      <c r="C34" s="2" t="s">
        <v>209</v>
      </c>
      <c r="D34" s="2" t="s">
        <v>210</v>
      </c>
      <c r="E34" s="2" t="s">
        <v>211</v>
      </c>
      <c r="F34" s="2" t="s">
        <v>212</v>
      </c>
      <c r="G34" s="2" t="s">
        <v>21</v>
      </c>
      <c r="H34" s="2" t="s">
        <v>213</v>
      </c>
      <c r="I34" s="2" t="s">
        <v>72</v>
      </c>
      <c r="J34" s="2" t="s">
        <v>23</v>
      </c>
      <c r="K34" s="2" t="s">
        <v>24</v>
      </c>
      <c r="L34" s="2" t="s">
        <v>34</v>
      </c>
      <c r="M34" s="2" t="s">
        <v>35</v>
      </c>
      <c r="N34" s="2" t="s">
        <v>36</v>
      </c>
      <c r="O34" s="3">
        <v>42768.51666666667</v>
      </c>
      <c r="P34" s="3">
        <v>42769.552777777775</v>
      </c>
      <c r="Q34" s="4">
        <f t="shared" ca="1" si="0"/>
        <v>310</v>
      </c>
      <c r="R34" s="1">
        <f t="shared" ca="1" si="1"/>
        <v>309</v>
      </c>
      <c r="S34" s="1" t="str">
        <f>IFERROR(INDEX(tbMAPA[],MATCH(I34,tbMAPA[BPID],0),1),"")</f>
        <v>Denyse Souza Santos</v>
      </c>
      <c r="T34" s="1" t="str">
        <f>IFERROR(INDEX(tbMAPA[],MATCH(J34,tbMAPA[BPID],0),1),"")</f>
        <v>Jonatas Gomes Tenorio</v>
      </c>
      <c r="U34" s="1" t="str">
        <f>IFERROR(INDEX('MAPA OPERACIONAL'!$H$5:$I$51,MATCH(BACKLOG!M34,'MAPA OPERACIONAL'!$H$5:$H$51,0),2),"")</f>
        <v>IPG</v>
      </c>
      <c r="V34" s="10" t="str">
        <f>IFERROR(INDEX(tbSLA[],MATCH(B34,tbSLA[Caso: Número do caso],0),MATCH(V$5,tbSLA[#Headers],0)),"")</f>
        <v/>
      </c>
      <c r="W34" s="10" t="str">
        <f>IFERROR(INDEX(tbSLA[],MATCH(B34,tbSLA[Caso: Número do caso],0),MATCH(W$5,tbSLA[#Headers],0)),"")</f>
        <v/>
      </c>
    </row>
    <row r="35" spans="1:23" x14ac:dyDescent="0.25">
      <c r="A35" s="2" t="s">
        <v>16</v>
      </c>
      <c r="B35" s="2" t="s">
        <v>214</v>
      </c>
      <c r="C35" s="2" t="s">
        <v>215</v>
      </c>
      <c r="D35" s="2" t="s">
        <v>216</v>
      </c>
      <c r="E35" s="2" t="s">
        <v>217</v>
      </c>
      <c r="F35" s="2"/>
      <c r="G35" s="2" t="s">
        <v>21</v>
      </c>
      <c r="H35" s="2" t="s">
        <v>64</v>
      </c>
      <c r="I35" s="2" t="s">
        <v>33</v>
      </c>
      <c r="J35" s="2" t="s">
        <v>23</v>
      </c>
      <c r="K35" s="2" t="s">
        <v>24</v>
      </c>
      <c r="L35" s="2" t="s">
        <v>152</v>
      </c>
      <c r="M35" s="2" t="s">
        <v>97</v>
      </c>
      <c r="N35" s="2" t="s">
        <v>36</v>
      </c>
      <c r="O35" s="3">
        <v>42768.51666666667</v>
      </c>
      <c r="P35" s="3">
        <v>42769.5</v>
      </c>
      <c r="Q35" s="4">
        <f t="shared" ca="1" si="0"/>
        <v>310</v>
      </c>
      <c r="R35" s="1">
        <f t="shared" ca="1" si="1"/>
        <v>310</v>
      </c>
      <c r="S35" s="1" t="str">
        <f>IFERROR(INDEX(tbMAPA[],MATCH(I35,tbMAPA[BPID],0),1),"")</f>
        <v>Zaelly Suerfia Ferreira da Costa</v>
      </c>
      <c r="T35" s="1" t="str">
        <f>IFERROR(INDEX(tbMAPA[],MATCH(J35,tbMAPA[BPID],0),1),"")</f>
        <v>Jonatas Gomes Tenorio</v>
      </c>
      <c r="U35" s="1" t="str">
        <f>IFERROR(INDEX('MAPA OPERACIONAL'!$H$5:$I$51,MATCH(BACKLOG!M35,'MAPA OPERACIONAL'!$H$5:$H$51,0),2),"")</f>
        <v>PSG</v>
      </c>
      <c r="V35" s="10" t="str">
        <f>IFERROR(INDEX(tbSLA[],MATCH(B35,tbSLA[Caso: Número do caso],0),MATCH(V$5,tbSLA[#Headers],0)),"")</f>
        <v/>
      </c>
      <c r="W35" s="10" t="str">
        <f>IFERROR(INDEX(tbSLA[],MATCH(B35,tbSLA[Caso: Número do caso],0),MATCH(W$5,tbSLA[#Headers],0)),"")</f>
        <v/>
      </c>
    </row>
    <row r="36" spans="1:23" x14ac:dyDescent="0.25">
      <c r="A36" s="2" t="s">
        <v>16</v>
      </c>
      <c r="B36" s="2" t="s">
        <v>218</v>
      </c>
      <c r="C36" s="2" t="s">
        <v>219</v>
      </c>
      <c r="D36" s="2" t="s">
        <v>220</v>
      </c>
      <c r="E36" s="2" t="s">
        <v>221</v>
      </c>
      <c r="F36" s="2"/>
      <c r="G36" s="2" t="s">
        <v>107</v>
      </c>
      <c r="H36" s="2" t="s">
        <v>222</v>
      </c>
      <c r="I36" s="2" t="s">
        <v>170</v>
      </c>
      <c r="J36" s="2" t="s">
        <v>170</v>
      </c>
      <c r="K36" s="2" t="s">
        <v>110</v>
      </c>
      <c r="L36" s="2" t="s">
        <v>34</v>
      </c>
      <c r="M36" s="2" t="s">
        <v>35</v>
      </c>
      <c r="N36" s="2" t="s">
        <v>36</v>
      </c>
      <c r="O36" s="3">
        <v>42768.536111111112</v>
      </c>
      <c r="P36" s="3">
        <v>42768.542361111111</v>
      </c>
      <c r="Q36" s="4">
        <f t="shared" ca="1" si="0"/>
        <v>310</v>
      </c>
      <c r="R36" s="1">
        <f t="shared" ca="1" si="1"/>
        <v>310</v>
      </c>
      <c r="S36" s="1" t="str">
        <f>IFERROR(INDEX(tbMAPA[],MATCH(I36,tbMAPA[BPID],0),1),"")</f>
        <v>Wendrey Schumaher Lara</v>
      </c>
      <c r="T36" s="1" t="str">
        <f>IFERROR(INDEX(tbMAPA[],MATCH(J36,tbMAPA[BPID],0),1),"")</f>
        <v>Wendrey Schumaher Lara</v>
      </c>
      <c r="U36" s="1" t="str">
        <f>IFERROR(INDEX('MAPA OPERACIONAL'!$H$5:$I$51,MATCH(BACKLOG!M36,'MAPA OPERACIONAL'!$H$5:$H$51,0),2),"")</f>
        <v>IPG</v>
      </c>
      <c r="V36" s="10" t="str">
        <f>IFERROR(INDEX(tbSLA[],MATCH(B36,tbSLA[Caso: Número do caso],0),MATCH(V$5,tbSLA[#Headers],0)),"")</f>
        <v/>
      </c>
      <c r="W36" s="10" t="str">
        <f>IFERROR(INDEX(tbSLA[],MATCH(B36,tbSLA[Caso: Número do caso],0),MATCH(W$5,tbSLA[#Headers],0)),"")</f>
        <v/>
      </c>
    </row>
    <row r="37" spans="1:23" x14ac:dyDescent="0.25">
      <c r="A37" s="2" t="s">
        <v>16</v>
      </c>
      <c r="B37" s="2" t="s">
        <v>223</v>
      </c>
      <c r="C37" s="2" t="s">
        <v>224</v>
      </c>
      <c r="D37" s="2" t="s">
        <v>225</v>
      </c>
      <c r="E37" s="2" t="s">
        <v>226</v>
      </c>
      <c r="F37" s="2"/>
      <c r="G37" s="2" t="s">
        <v>107</v>
      </c>
      <c r="H37" s="2" t="s">
        <v>227</v>
      </c>
      <c r="I37" s="2" t="s">
        <v>109</v>
      </c>
      <c r="J37" s="2" t="s">
        <v>109</v>
      </c>
      <c r="K37" s="2" t="s">
        <v>110</v>
      </c>
      <c r="L37" s="2" t="s">
        <v>228</v>
      </c>
      <c r="M37" s="2" t="s">
        <v>229</v>
      </c>
      <c r="N37" s="2" t="s">
        <v>36</v>
      </c>
      <c r="O37" s="3">
        <v>42768.540972222225</v>
      </c>
      <c r="P37" s="3">
        <v>42768.551388888889</v>
      </c>
      <c r="Q37" s="4">
        <f t="shared" ca="1" si="0"/>
        <v>310</v>
      </c>
      <c r="R37" s="1">
        <f t="shared" ca="1" si="1"/>
        <v>310</v>
      </c>
      <c r="S37" s="1" t="str">
        <f>IFERROR(INDEX(tbMAPA[],MATCH(I37,tbMAPA[BPID],0),1),"")</f>
        <v>Jesse Prates Martins</v>
      </c>
      <c r="T37" s="1" t="str">
        <f>IFERROR(INDEX(tbMAPA[],MATCH(J37,tbMAPA[BPID],0),1),"")</f>
        <v>Jesse Prates Martins</v>
      </c>
      <c r="U37" s="1" t="str">
        <f>IFERROR(INDEX('MAPA OPERACIONAL'!$H$5:$I$51,MATCH(BACKLOG!M37,'MAPA OPERACIONAL'!$H$5:$H$51,0),2),"")</f>
        <v>IPG</v>
      </c>
      <c r="V37" s="10" t="str">
        <f>IFERROR(INDEX(tbSLA[],MATCH(B37,tbSLA[Caso: Número do caso],0),MATCH(V$5,tbSLA[#Headers],0)),"")</f>
        <v/>
      </c>
      <c r="W37" s="10" t="str">
        <f>IFERROR(INDEX(tbSLA[],MATCH(B37,tbSLA[Caso: Número do caso],0),MATCH(W$5,tbSLA[#Headers],0)),"")</f>
        <v/>
      </c>
    </row>
    <row r="38" spans="1:23" x14ac:dyDescent="0.25">
      <c r="A38" s="2" t="s">
        <v>16</v>
      </c>
      <c r="B38" s="2" t="s">
        <v>230</v>
      </c>
      <c r="C38" s="2" t="s">
        <v>231</v>
      </c>
      <c r="D38" s="2" t="s">
        <v>232</v>
      </c>
      <c r="E38" s="2" t="s">
        <v>233</v>
      </c>
      <c r="F38" s="2"/>
      <c r="G38" s="2" t="s">
        <v>116</v>
      </c>
      <c r="H38" s="2" t="s">
        <v>234</v>
      </c>
      <c r="I38" s="2" t="s">
        <v>235</v>
      </c>
      <c r="J38" s="2" t="s">
        <v>235</v>
      </c>
      <c r="K38" s="2" t="s">
        <v>119</v>
      </c>
      <c r="L38" s="2" t="s">
        <v>228</v>
      </c>
      <c r="M38" s="2" t="s">
        <v>229</v>
      </c>
      <c r="N38" s="2" t="s">
        <v>27</v>
      </c>
      <c r="O38" s="3">
        <v>42768.546527777777</v>
      </c>
      <c r="P38" s="3">
        <v>42768.893055555556</v>
      </c>
      <c r="Q38" s="4">
        <f t="shared" ca="1" si="0"/>
        <v>310</v>
      </c>
      <c r="R38" s="1">
        <f t="shared" ca="1" si="1"/>
        <v>310</v>
      </c>
      <c r="S38" s="1" t="str">
        <f>IFERROR(INDEX(tbMAPA[],MATCH(I38,tbMAPA[BPID],0),1),"")</f>
        <v>Matheus Cardoso Silva</v>
      </c>
      <c r="T38" s="1" t="str">
        <f>IFERROR(INDEX(tbMAPA[],MATCH(J38,tbMAPA[BPID],0),1),"")</f>
        <v>Matheus Cardoso Silva</v>
      </c>
      <c r="U38" s="1" t="str">
        <f>IFERROR(INDEX('MAPA OPERACIONAL'!$H$5:$I$51,MATCH(BACKLOG!M38,'MAPA OPERACIONAL'!$H$5:$H$51,0),2),"")</f>
        <v>IPG</v>
      </c>
      <c r="V38" s="10" t="str">
        <f>IFERROR(INDEX(tbSLA[],MATCH(B38,tbSLA[Caso: Número do caso],0),MATCH(V$5,tbSLA[#Headers],0)),"")</f>
        <v/>
      </c>
      <c r="W38" s="10" t="str">
        <f>IFERROR(INDEX(tbSLA[],MATCH(B38,tbSLA[Caso: Número do caso],0),MATCH(W$5,tbSLA[#Headers],0)),"")</f>
        <v/>
      </c>
    </row>
    <row r="39" spans="1:23" x14ac:dyDescent="0.25">
      <c r="A39" s="2" t="s">
        <v>16</v>
      </c>
      <c r="B39" s="2" t="s">
        <v>236</v>
      </c>
      <c r="C39" s="2" t="s">
        <v>237</v>
      </c>
      <c r="D39" s="2" t="s">
        <v>238</v>
      </c>
      <c r="E39" s="2" t="s">
        <v>239</v>
      </c>
      <c r="F39" s="2"/>
      <c r="G39" s="2" t="s">
        <v>107</v>
      </c>
      <c r="H39" s="2" t="s">
        <v>79</v>
      </c>
      <c r="I39" s="2" t="s">
        <v>33</v>
      </c>
      <c r="J39" s="2" t="s">
        <v>240</v>
      </c>
      <c r="K39" s="2" t="s">
        <v>110</v>
      </c>
      <c r="L39" s="2" t="s">
        <v>86</v>
      </c>
      <c r="M39" s="2" t="s">
        <v>59</v>
      </c>
      <c r="N39" s="2" t="s">
        <v>36</v>
      </c>
      <c r="O39" s="3">
        <v>42768.583333333336</v>
      </c>
      <c r="P39" s="3">
        <v>42768.620833333334</v>
      </c>
      <c r="Q39" s="4">
        <f t="shared" ca="1" si="0"/>
        <v>310</v>
      </c>
      <c r="R39" s="1">
        <f t="shared" ca="1" si="1"/>
        <v>310</v>
      </c>
      <c r="S39" s="1" t="str">
        <f>IFERROR(INDEX(tbMAPA[],MATCH(I39,tbMAPA[BPID],0),1),"")</f>
        <v>Zaelly Suerfia Ferreira da Costa</v>
      </c>
      <c r="T39" s="1" t="str">
        <f>IFERROR(INDEX(tbMAPA[],MATCH(J39,tbMAPA[BPID],0),1),"")</f>
        <v>Thiago Santos Amaral</v>
      </c>
      <c r="U39" s="1" t="str">
        <f>IFERROR(INDEX('MAPA OPERACIONAL'!$H$5:$I$51,MATCH(BACKLOG!M39,'MAPA OPERACIONAL'!$H$5:$H$51,0),2),"")</f>
        <v>PSG</v>
      </c>
      <c r="V39" s="10" t="str">
        <f>IFERROR(INDEX(tbSLA[],MATCH(B39,tbSLA[Caso: Número do caso],0),MATCH(V$5,tbSLA[#Headers],0)),"")</f>
        <v/>
      </c>
      <c r="W39" s="10" t="str">
        <f>IFERROR(INDEX(tbSLA[],MATCH(B39,tbSLA[Caso: Número do caso],0),MATCH(W$5,tbSLA[#Headers],0)),"")</f>
        <v/>
      </c>
    </row>
    <row r="40" spans="1:23" x14ac:dyDescent="0.25">
      <c r="A40" s="2" t="s">
        <v>16</v>
      </c>
      <c r="B40" s="2" t="s">
        <v>241</v>
      </c>
      <c r="C40" s="2" t="s">
        <v>242</v>
      </c>
      <c r="D40" s="2" t="s">
        <v>243</v>
      </c>
      <c r="E40" s="2" t="s">
        <v>243</v>
      </c>
      <c r="F40" s="2"/>
      <c r="G40" s="2" t="s">
        <v>116</v>
      </c>
      <c r="H40" s="2" t="s">
        <v>244</v>
      </c>
      <c r="I40" s="2" t="s">
        <v>141</v>
      </c>
      <c r="J40" s="2" t="s">
        <v>141</v>
      </c>
      <c r="K40" s="2" t="s">
        <v>245</v>
      </c>
      <c r="L40" s="2" t="s">
        <v>246</v>
      </c>
      <c r="M40" s="2" t="s">
        <v>74</v>
      </c>
      <c r="N40" s="2" t="s">
        <v>27</v>
      </c>
      <c r="O40" s="3">
        <v>42768.615972222222</v>
      </c>
      <c r="P40" s="3">
        <v>42768.625</v>
      </c>
      <c r="Q40" s="4">
        <f t="shared" ca="1" si="0"/>
        <v>310</v>
      </c>
      <c r="R40" s="1">
        <f t="shared" ca="1" si="1"/>
        <v>310</v>
      </c>
      <c r="S40" s="1" t="str">
        <f>IFERROR(INDEX(tbMAPA[],MATCH(I40,tbMAPA[BPID],0),1),"")</f>
        <v>Luiz Fernando dos Santos Ferreira</v>
      </c>
      <c r="T40" s="1" t="str">
        <f>IFERROR(INDEX(tbMAPA[],MATCH(J40,tbMAPA[BPID],0),1),"")</f>
        <v>Luiz Fernando dos Santos Ferreira</v>
      </c>
      <c r="U40" s="1" t="str">
        <f>IFERROR(INDEX('MAPA OPERACIONAL'!$H$5:$I$51,MATCH(BACKLOG!M40,'MAPA OPERACIONAL'!$H$5:$H$51,0),2),"")</f>
        <v>PSG</v>
      </c>
      <c r="V40" s="10" t="str">
        <f>IFERROR(INDEX(tbSLA[],MATCH(B40,tbSLA[Caso: Número do caso],0),MATCH(V$5,tbSLA[#Headers],0)),"")</f>
        <v/>
      </c>
      <c r="W40" s="10" t="str">
        <f>IFERROR(INDEX(tbSLA[],MATCH(B40,tbSLA[Caso: Número do caso],0),MATCH(W$5,tbSLA[#Headers],0)),"")</f>
        <v/>
      </c>
    </row>
    <row r="41" spans="1:23" x14ac:dyDescent="0.25">
      <c r="A41" s="2" t="s">
        <v>16</v>
      </c>
      <c r="B41" s="2" t="s">
        <v>247</v>
      </c>
      <c r="C41" s="2" t="s">
        <v>248</v>
      </c>
      <c r="D41" s="2" t="s">
        <v>249</v>
      </c>
      <c r="E41" s="2" t="s">
        <v>250</v>
      </c>
      <c r="F41" s="2"/>
      <c r="G41" s="2" t="s">
        <v>116</v>
      </c>
      <c r="H41" s="2" t="s">
        <v>205</v>
      </c>
      <c r="I41" s="2" t="s">
        <v>181</v>
      </c>
      <c r="J41" s="2" t="s">
        <v>181</v>
      </c>
      <c r="K41" s="2" t="s">
        <v>119</v>
      </c>
      <c r="L41" s="2" t="s">
        <v>58</v>
      </c>
      <c r="M41" s="2" t="s">
        <v>59</v>
      </c>
      <c r="N41" s="2" t="s">
        <v>27</v>
      </c>
      <c r="O41" s="3">
        <v>42768.665972222225</v>
      </c>
      <c r="P41" s="3">
        <v>42768.706250000003</v>
      </c>
      <c r="Q41" s="4">
        <f t="shared" ca="1" si="0"/>
        <v>310</v>
      </c>
      <c r="R41" s="1">
        <f t="shared" ca="1" si="1"/>
        <v>310</v>
      </c>
      <c r="S41" s="1" t="str">
        <f>IFERROR(INDEX(tbMAPA[],MATCH(I41,tbMAPA[BPID],0),1),"")</f>
        <v>Edilson Nunes De Souza</v>
      </c>
      <c r="T41" s="1" t="str">
        <f>IFERROR(INDEX(tbMAPA[],MATCH(J41,tbMAPA[BPID],0),1),"")</f>
        <v>Edilson Nunes De Souza</v>
      </c>
      <c r="U41" s="1" t="str">
        <f>IFERROR(INDEX('MAPA OPERACIONAL'!$H$5:$I$51,MATCH(BACKLOG!M41,'MAPA OPERACIONAL'!$H$5:$H$51,0),2),"")</f>
        <v>PSG</v>
      </c>
      <c r="V41" s="10" t="str">
        <f>IFERROR(INDEX(tbSLA[],MATCH(B41,tbSLA[Caso: Número do caso],0),MATCH(V$5,tbSLA[#Headers],0)),"")</f>
        <v/>
      </c>
      <c r="W41" s="10" t="str">
        <f>IFERROR(INDEX(tbSLA[],MATCH(B41,tbSLA[Caso: Número do caso],0),MATCH(W$5,tbSLA[#Headers],0)),"")</f>
        <v/>
      </c>
    </row>
    <row r="42" spans="1:23" x14ac:dyDescent="0.25">
      <c r="A42" s="2" t="s">
        <v>16</v>
      </c>
      <c r="B42" s="2" t="s">
        <v>251</v>
      </c>
      <c r="C42" s="2" t="s">
        <v>252</v>
      </c>
      <c r="D42" s="2" t="s">
        <v>253</v>
      </c>
      <c r="E42" s="2" t="s">
        <v>254</v>
      </c>
      <c r="F42" s="2"/>
      <c r="G42" s="2" t="s">
        <v>21</v>
      </c>
      <c r="H42" s="2" t="s">
        <v>255</v>
      </c>
      <c r="I42" s="2" t="s">
        <v>33</v>
      </c>
      <c r="J42" s="2" t="s">
        <v>23</v>
      </c>
      <c r="K42" s="2" t="s">
        <v>24</v>
      </c>
      <c r="L42" s="2" t="s">
        <v>34</v>
      </c>
      <c r="M42" s="2" t="s">
        <v>35</v>
      </c>
      <c r="N42" s="2" t="s">
        <v>36</v>
      </c>
      <c r="O42" s="3">
        <v>42768.800000000003</v>
      </c>
      <c r="P42" s="3">
        <v>42769.710416666669</v>
      </c>
      <c r="Q42" s="4">
        <f t="shared" ca="1" si="0"/>
        <v>310</v>
      </c>
      <c r="R42" s="1">
        <f t="shared" ca="1" si="1"/>
        <v>309</v>
      </c>
      <c r="S42" s="1" t="str">
        <f>IFERROR(INDEX(tbMAPA[],MATCH(I42,tbMAPA[BPID],0),1),"")</f>
        <v>Zaelly Suerfia Ferreira da Costa</v>
      </c>
      <c r="T42" s="1" t="str">
        <f>IFERROR(INDEX(tbMAPA[],MATCH(J42,tbMAPA[BPID],0),1),"")</f>
        <v>Jonatas Gomes Tenorio</v>
      </c>
      <c r="U42" s="1" t="str">
        <f>IFERROR(INDEX('MAPA OPERACIONAL'!$H$5:$I$51,MATCH(BACKLOG!M42,'MAPA OPERACIONAL'!$H$5:$H$51,0),2),"")</f>
        <v>IPG</v>
      </c>
      <c r="V42" s="10" t="str">
        <f>IFERROR(INDEX(tbSLA[],MATCH(B42,tbSLA[Caso: Número do caso],0),MATCH(V$5,tbSLA[#Headers],0)),"")</f>
        <v/>
      </c>
      <c r="W42" s="10" t="str">
        <f>IFERROR(INDEX(tbSLA[],MATCH(B42,tbSLA[Caso: Número do caso],0),MATCH(W$5,tbSLA[#Headers],0)),"")</f>
        <v/>
      </c>
    </row>
    <row r="43" spans="1:23" x14ac:dyDescent="0.25">
      <c r="A43" s="2" t="s">
        <v>16</v>
      </c>
      <c r="B43" s="2" t="s">
        <v>256</v>
      </c>
      <c r="C43" s="2" t="s">
        <v>257</v>
      </c>
      <c r="D43" s="2" t="s">
        <v>258</v>
      </c>
      <c r="E43" s="2" t="s">
        <v>259</v>
      </c>
      <c r="F43" s="2"/>
      <c r="G43" s="2" t="s">
        <v>21</v>
      </c>
      <c r="H43" s="2" t="s">
        <v>260</v>
      </c>
      <c r="I43" s="2" t="s">
        <v>181</v>
      </c>
      <c r="J43" s="2" t="s">
        <v>127</v>
      </c>
      <c r="K43" s="2" t="s">
        <v>164</v>
      </c>
      <c r="L43" s="2" t="s">
        <v>261</v>
      </c>
      <c r="M43" s="2" t="s">
        <v>59</v>
      </c>
      <c r="N43" s="2" t="s">
        <v>36</v>
      </c>
      <c r="O43" s="3">
        <v>42769.364583333336</v>
      </c>
      <c r="P43" s="3">
        <v>42769.704861111109</v>
      </c>
      <c r="Q43" s="4">
        <f t="shared" ca="1" si="0"/>
        <v>310</v>
      </c>
      <c r="R43" s="1">
        <f t="shared" ca="1" si="1"/>
        <v>309</v>
      </c>
      <c r="S43" s="1" t="str">
        <f>IFERROR(INDEX(tbMAPA[],MATCH(I43,tbMAPA[BPID],0),1),"")</f>
        <v>Edilson Nunes De Souza</v>
      </c>
      <c r="T43" s="1" t="str">
        <f>IFERROR(INDEX(tbMAPA[],MATCH(J43,tbMAPA[BPID],0),1),"")</f>
        <v>Ivanildo Cavalcante De Souza Junior</v>
      </c>
      <c r="U43" s="1" t="str">
        <f>IFERROR(INDEX('MAPA OPERACIONAL'!$H$5:$I$51,MATCH(BACKLOG!M43,'MAPA OPERACIONAL'!$H$5:$H$51,0),2),"")</f>
        <v>PSG</v>
      </c>
      <c r="V43" s="10" t="str">
        <f>IFERROR(INDEX(tbSLA[],MATCH(B43,tbSLA[Caso: Número do caso],0),MATCH(V$5,tbSLA[#Headers],0)),"")</f>
        <v/>
      </c>
      <c r="W43" s="10" t="str">
        <f>IFERROR(INDEX(tbSLA[],MATCH(B43,tbSLA[Caso: Número do caso],0),MATCH(W$5,tbSLA[#Headers],0)),"")</f>
        <v/>
      </c>
    </row>
    <row r="44" spans="1:23" x14ac:dyDescent="0.25">
      <c r="A44" s="2" t="s">
        <v>16</v>
      </c>
      <c r="B44" s="2" t="s">
        <v>262</v>
      </c>
      <c r="C44" s="2" t="s">
        <v>263</v>
      </c>
      <c r="D44" s="2" t="s">
        <v>264</v>
      </c>
      <c r="E44" s="2" t="s">
        <v>265</v>
      </c>
      <c r="F44" s="2"/>
      <c r="G44" s="2" t="s">
        <v>21</v>
      </c>
      <c r="H44" s="2" t="s">
        <v>266</v>
      </c>
      <c r="I44" s="2" t="s">
        <v>72</v>
      </c>
      <c r="J44" s="2" t="s">
        <v>127</v>
      </c>
      <c r="K44" s="2" t="s">
        <v>164</v>
      </c>
      <c r="L44" s="2" t="s">
        <v>267</v>
      </c>
      <c r="M44" s="2" t="s">
        <v>26</v>
      </c>
      <c r="N44" s="2" t="s">
        <v>36</v>
      </c>
      <c r="O44" s="3">
        <v>42769.397916666669</v>
      </c>
      <c r="P44" s="3">
        <v>42769.643055555556</v>
      </c>
      <c r="Q44" s="4">
        <f t="shared" ca="1" si="0"/>
        <v>310</v>
      </c>
      <c r="R44" s="1">
        <f t="shared" ca="1" si="1"/>
        <v>309</v>
      </c>
      <c r="S44" s="1" t="str">
        <f>IFERROR(INDEX(tbMAPA[],MATCH(I44,tbMAPA[BPID],0),1),"")</f>
        <v>Denyse Souza Santos</v>
      </c>
      <c r="T44" s="1" t="str">
        <f>IFERROR(INDEX(tbMAPA[],MATCH(J44,tbMAPA[BPID],0),1),"")</f>
        <v>Ivanildo Cavalcante De Souza Junior</v>
      </c>
      <c r="U44" s="1" t="str">
        <f>IFERROR(INDEX('MAPA OPERACIONAL'!$H$5:$I$51,MATCH(BACKLOG!M44,'MAPA OPERACIONAL'!$H$5:$H$51,0),2),"")</f>
        <v>PSG</v>
      </c>
      <c r="V44" s="10" t="str">
        <f>IFERROR(INDEX(tbSLA[],MATCH(B44,tbSLA[Caso: Número do caso],0),MATCH(V$5,tbSLA[#Headers],0)),"")</f>
        <v/>
      </c>
      <c r="W44" s="10" t="str">
        <f>IFERROR(INDEX(tbSLA[],MATCH(B44,tbSLA[Caso: Número do caso],0),MATCH(W$5,tbSLA[#Headers],0)),"")</f>
        <v/>
      </c>
    </row>
    <row r="45" spans="1:23" x14ac:dyDescent="0.25">
      <c r="A45" s="2" t="s">
        <v>16</v>
      </c>
      <c r="B45" s="2" t="s">
        <v>268</v>
      </c>
      <c r="C45" s="2" t="s">
        <v>269</v>
      </c>
      <c r="D45" s="2" t="s">
        <v>270</v>
      </c>
      <c r="E45" s="2" t="s">
        <v>271</v>
      </c>
      <c r="F45" s="2"/>
      <c r="G45" s="2" t="s">
        <v>107</v>
      </c>
      <c r="H45" s="2" t="s">
        <v>272</v>
      </c>
      <c r="I45" s="2" t="s">
        <v>109</v>
      </c>
      <c r="J45" s="2" t="s">
        <v>109</v>
      </c>
      <c r="K45" s="2" t="s">
        <v>273</v>
      </c>
      <c r="L45" s="2" t="s">
        <v>190</v>
      </c>
      <c r="M45" s="2" t="s">
        <v>35</v>
      </c>
      <c r="N45" s="2" t="s">
        <v>36</v>
      </c>
      <c r="O45" s="3">
        <v>42769.406944444447</v>
      </c>
      <c r="P45" s="3">
        <v>42769.640277777777</v>
      </c>
      <c r="Q45" s="4">
        <f t="shared" ca="1" si="0"/>
        <v>310</v>
      </c>
      <c r="R45" s="1">
        <f t="shared" ca="1" si="1"/>
        <v>309</v>
      </c>
      <c r="S45" s="1" t="str">
        <f>IFERROR(INDEX(tbMAPA[],MATCH(I45,tbMAPA[BPID],0),1),"")</f>
        <v>Jesse Prates Martins</v>
      </c>
      <c r="T45" s="1" t="str">
        <f>IFERROR(INDEX(tbMAPA[],MATCH(J45,tbMAPA[BPID],0),1),"")</f>
        <v>Jesse Prates Martins</v>
      </c>
      <c r="U45" s="1" t="str">
        <f>IFERROR(INDEX('MAPA OPERACIONAL'!$H$5:$I$51,MATCH(BACKLOG!M45,'MAPA OPERACIONAL'!$H$5:$H$51,0),2),"")</f>
        <v>IPG</v>
      </c>
      <c r="V45" s="10" t="str">
        <f>IFERROR(INDEX(tbSLA[],MATCH(B45,tbSLA[Caso: Número do caso],0),MATCH(V$5,tbSLA[#Headers],0)),"")</f>
        <v/>
      </c>
      <c r="W45" s="10" t="str">
        <f>IFERROR(INDEX(tbSLA[],MATCH(B45,tbSLA[Caso: Número do caso],0),MATCH(W$5,tbSLA[#Headers],0)),"")</f>
        <v/>
      </c>
    </row>
    <row r="46" spans="1:23" x14ac:dyDescent="0.25">
      <c r="A46" s="2" t="s">
        <v>16</v>
      </c>
      <c r="B46" s="2" t="s">
        <v>274</v>
      </c>
      <c r="C46" s="2" t="s">
        <v>275</v>
      </c>
      <c r="D46" s="2" t="s">
        <v>276</v>
      </c>
      <c r="E46" s="2" t="s">
        <v>277</v>
      </c>
      <c r="F46" s="2" t="s">
        <v>278</v>
      </c>
      <c r="G46" s="2" t="s">
        <v>116</v>
      </c>
      <c r="H46" s="2" t="s">
        <v>227</v>
      </c>
      <c r="I46" s="2" t="s">
        <v>109</v>
      </c>
      <c r="J46" s="2" t="s">
        <v>109</v>
      </c>
      <c r="K46" s="2" t="s">
        <v>245</v>
      </c>
      <c r="L46" s="2" t="s">
        <v>279</v>
      </c>
      <c r="M46" s="2" t="s">
        <v>280</v>
      </c>
      <c r="N46" s="2" t="s">
        <v>27</v>
      </c>
      <c r="O46" s="3">
        <v>42769.473611111112</v>
      </c>
      <c r="P46" s="3">
        <v>42769.482638888891</v>
      </c>
      <c r="Q46" s="4">
        <f t="shared" ca="1" si="0"/>
        <v>310</v>
      </c>
      <c r="R46" s="1">
        <f t="shared" ca="1" si="1"/>
        <v>310</v>
      </c>
      <c r="S46" s="1" t="str">
        <f>IFERROR(INDEX(tbMAPA[],MATCH(I46,tbMAPA[BPID],0),1),"")</f>
        <v>Jesse Prates Martins</v>
      </c>
      <c r="T46" s="1" t="str">
        <f>IFERROR(INDEX(tbMAPA[],MATCH(J46,tbMAPA[BPID],0),1),"")</f>
        <v>Jesse Prates Martins</v>
      </c>
      <c r="U46" s="1" t="str">
        <f>IFERROR(INDEX('MAPA OPERACIONAL'!$H$5:$I$51,MATCH(BACKLOG!M46,'MAPA OPERACIONAL'!$H$5:$H$51,0),2),"")</f>
        <v>PSG</v>
      </c>
      <c r="V46" s="10" t="str">
        <f>IFERROR(INDEX(tbSLA[],MATCH(B46,tbSLA[Caso: Número do caso],0),MATCH(V$5,tbSLA[#Headers],0)),"")</f>
        <v/>
      </c>
      <c r="W46" s="10" t="str">
        <f>IFERROR(INDEX(tbSLA[],MATCH(B46,tbSLA[Caso: Número do caso],0),MATCH(W$5,tbSLA[#Headers],0)),"")</f>
        <v/>
      </c>
    </row>
    <row r="47" spans="1:23" x14ac:dyDescent="0.25">
      <c r="A47" s="2" t="s">
        <v>16</v>
      </c>
      <c r="B47" s="2" t="s">
        <v>281</v>
      </c>
      <c r="C47" s="2" t="s">
        <v>282</v>
      </c>
      <c r="D47" s="2" t="s">
        <v>283</v>
      </c>
      <c r="E47" s="2" t="s">
        <v>284</v>
      </c>
      <c r="F47" s="2"/>
      <c r="G47" s="2" t="s">
        <v>21</v>
      </c>
      <c r="H47" s="2" t="s">
        <v>285</v>
      </c>
      <c r="I47" s="2" t="s">
        <v>181</v>
      </c>
      <c r="J47" s="2" t="s">
        <v>127</v>
      </c>
      <c r="K47" s="2" t="s">
        <v>164</v>
      </c>
      <c r="L47" s="2" t="s">
        <v>286</v>
      </c>
      <c r="M47" s="2" t="s">
        <v>26</v>
      </c>
      <c r="N47" s="2" t="s">
        <v>36</v>
      </c>
      <c r="O47" s="3">
        <v>42769.478472222225</v>
      </c>
      <c r="P47" s="3">
        <v>42769.705555555556</v>
      </c>
      <c r="Q47" s="4">
        <f t="shared" ca="1" si="0"/>
        <v>310</v>
      </c>
      <c r="R47" s="1">
        <f t="shared" ca="1" si="1"/>
        <v>309</v>
      </c>
      <c r="S47" s="1" t="str">
        <f>IFERROR(INDEX(tbMAPA[],MATCH(I47,tbMAPA[BPID],0),1),"")</f>
        <v>Edilson Nunes De Souza</v>
      </c>
      <c r="T47" s="1" t="str">
        <f>IFERROR(INDEX(tbMAPA[],MATCH(J47,tbMAPA[BPID],0),1),"")</f>
        <v>Ivanildo Cavalcante De Souza Junior</v>
      </c>
      <c r="U47" s="1" t="str">
        <f>IFERROR(INDEX('MAPA OPERACIONAL'!$H$5:$I$51,MATCH(BACKLOG!M47,'MAPA OPERACIONAL'!$H$5:$H$51,0),2),"")</f>
        <v>PSG</v>
      </c>
      <c r="V47" s="10" t="str">
        <f>IFERROR(INDEX(tbSLA[],MATCH(B47,tbSLA[Caso: Número do caso],0),MATCH(V$5,tbSLA[#Headers],0)),"")</f>
        <v/>
      </c>
      <c r="W47" s="10" t="str">
        <f>IFERROR(INDEX(tbSLA[],MATCH(B47,tbSLA[Caso: Número do caso],0),MATCH(W$5,tbSLA[#Headers],0)),"")</f>
        <v/>
      </c>
    </row>
    <row r="48" spans="1:23" x14ac:dyDescent="0.25">
      <c r="A48" s="2" t="s">
        <v>16</v>
      </c>
      <c r="B48" s="2" t="s">
        <v>287</v>
      </c>
      <c r="C48" s="2" t="s">
        <v>288</v>
      </c>
      <c r="D48" s="2" t="s">
        <v>289</v>
      </c>
      <c r="E48" s="2" t="s">
        <v>290</v>
      </c>
      <c r="F48" s="2"/>
      <c r="G48" s="2" t="s">
        <v>21</v>
      </c>
      <c r="H48" s="2" t="s">
        <v>291</v>
      </c>
      <c r="I48" s="2" t="s">
        <v>72</v>
      </c>
      <c r="J48" s="2" t="s">
        <v>127</v>
      </c>
      <c r="K48" s="2" t="s">
        <v>164</v>
      </c>
      <c r="L48" s="2" t="s">
        <v>292</v>
      </c>
      <c r="M48" s="2" t="s">
        <v>59</v>
      </c>
      <c r="N48" s="2" t="s">
        <v>36</v>
      </c>
      <c r="O48" s="3">
        <v>42769.507638888892</v>
      </c>
      <c r="P48" s="3">
        <v>42769.642361111109</v>
      </c>
      <c r="Q48" s="4">
        <f t="shared" ca="1" si="0"/>
        <v>309</v>
      </c>
      <c r="R48" s="1">
        <f t="shared" ca="1" si="1"/>
        <v>309</v>
      </c>
      <c r="S48" s="1" t="str">
        <f>IFERROR(INDEX(tbMAPA[],MATCH(I48,tbMAPA[BPID],0),1),"")</f>
        <v>Denyse Souza Santos</v>
      </c>
      <c r="T48" s="1" t="str">
        <f>IFERROR(INDEX(tbMAPA[],MATCH(J48,tbMAPA[BPID],0),1),"")</f>
        <v>Ivanildo Cavalcante De Souza Junior</v>
      </c>
      <c r="U48" s="1" t="str">
        <f>IFERROR(INDEX('MAPA OPERACIONAL'!$H$5:$I$51,MATCH(BACKLOG!M48,'MAPA OPERACIONAL'!$H$5:$H$51,0),2),"")</f>
        <v>PSG</v>
      </c>
      <c r="V48" s="10" t="str">
        <f>IFERROR(INDEX(tbSLA[],MATCH(B48,tbSLA[Caso: Número do caso],0),MATCH(V$5,tbSLA[#Headers],0)),"")</f>
        <v/>
      </c>
      <c r="W48" s="10" t="str">
        <f>IFERROR(INDEX(tbSLA[],MATCH(B48,tbSLA[Caso: Número do caso],0),MATCH(W$5,tbSLA[#Headers],0)),"")</f>
        <v/>
      </c>
    </row>
    <row r="49" spans="1:23" x14ac:dyDescent="0.25">
      <c r="A49" s="2" t="s">
        <v>16</v>
      </c>
      <c r="B49" s="2" t="s">
        <v>293</v>
      </c>
      <c r="C49" s="2" t="s">
        <v>294</v>
      </c>
      <c r="D49" s="2" t="s">
        <v>295</v>
      </c>
      <c r="E49" s="2" t="s">
        <v>296</v>
      </c>
      <c r="F49" s="2" t="s">
        <v>297</v>
      </c>
      <c r="G49" s="2" t="s">
        <v>21</v>
      </c>
      <c r="H49" s="2" t="s">
        <v>298</v>
      </c>
      <c r="I49" s="2" t="s">
        <v>42</v>
      </c>
      <c r="J49" s="2" t="s">
        <v>127</v>
      </c>
      <c r="K49" s="2" t="s">
        <v>164</v>
      </c>
      <c r="L49" s="2" t="s">
        <v>25</v>
      </c>
      <c r="M49" s="2" t="s">
        <v>26</v>
      </c>
      <c r="N49" s="2" t="s">
        <v>36</v>
      </c>
      <c r="O49" s="3">
        <v>42769.510416666664</v>
      </c>
      <c r="P49" s="3">
        <v>42769.704861111109</v>
      </c>
      <c r="Q49" s="4">
        <f t="shared" ca="1" si="0"/>
        <v>309</v>
      </c>
      <c r="R49" s="1">
        <f t="shared" ca="1" si="1"/>
        <v>309</v>
      </c>
      <c r="S49" s="1" t="str">
        <f>IFERROR(INDEX(tbMAPA[],MATCH(I49,tbMAPA[BPID],0),1),"")</f>
        <v>Vinicius Marques Ferreira Silva</v>
      </c>
      <c r="T49" s="1" t="str">
        <f>IFERROR(INDEX(tbMAPA[],MATCH(J49,tbMAPA[BPID],0),1),"")</f>
        <v>Ivanildo Cavalcante De Souza Junior</v>
      </c>
      <c r="U49" s="1" t="str">
        <f>IFERROR(INDEX('MAPA OPERACIONAL'!$H$5:$I$51,MATCH(BACKLOG!M49,'MAPA OPERACIONAL'!$H$5:$H$51,0),2),"")</f>
        <v>PSG</v>
      </c>
      <c r="V49" s="10" t="str">
        <f>IFERROR(INDEX(tbSLA[],MATCH(B49,tbSLA[Caso: Número do caso],0),MATCH(V$5,tbSLA[#Headers],0)),"")</f>
        <v/>
      </c>
      <c r="W49" s="10" t="str">
        <f>IFERROR(INDEX(tbSLA[],MATCH(B49,tbSLA[Caso: Número do caso],0),MATCH(W$5,tbSLA[#Headers],0)),"")</f>
        <v/>
      </c>
    </row>
    <row r="50" spans="1:23" x14ac:dyDescent="0.25">
      <c r="A50" s="2" t="s">
        <v>16</v>
      </c>
      <c r="B50" s="2" t="s">
        <v>299</v>
      </c>
      <c r="C50" s="2" t="s">
        <v>300</v>
      </c>
      <c r="D50" s="2" t="s">
        <v>301</v>
      </c>
      <c r="E50" s="2" t="s">
        <v>302</v>
      </c>
      <c r="F50" s="2"/>
      <c r="G50" s="2" t="s">
        <v>116</v>
      </c>
      <c r="H50" s="2" t="s">
        <v>303</v>
      </c>
      <c r="I50" s="2" t="s">
        <v>109</v>
      </c>
      <c r="J50" s="2" t="s">
        <v>304</v>
      </c>
      <c r="K50" s="2" t="s">
        <v>305</v>
      </c>
      <c r="L50" s="2" t="s">
        <v>86</v>
      </c>
      <c r="M50" s="2" t="s">
        <v>59</v>
      </c>
      <c r="N50" s="2" t="s">
        <v>27</v>
      </c>
      <c r="O50" s="3">
        <v>42769.631249999999</v>
      </c>
      <c r="P50" s="3">
        <v>42769.659722222219</v>
      </c>
      <c r="Q50" s="4">
        <f t="shared" ca="1" si="0"/>
        <v>309</v>
      </c>
      <c r="R50" s="1">
        <f t="shared" ca="1" si="1"/>
        <v>309</v>
      </c>
      <c r="S50" s="1" t="str">
        <f>IFERROR(INDEX(tbMAPA[],MATCH(I50,tbMAPA[BPID],0),1),"")</f>
        <v>Jesse Prates Martins</v>
      </c>
      <c r="T50" s="1" t="str">
        <f>IFERROR(INDEX(tbMAPA[],MATCH(J50,tbMAPA[BPID],0),1),"")</f>
        <v>Rosangela Cosmo De Souza</v>
      </c>
      <c r="U50" s="1" t="str">
        <f>IFERROR(INDEX('MAPA OPERACIONAL'!$H$5:$I$51,MATCH(BACKLOG!M50,'MAPA OPERACIONAL'!$H$5:$H$51,0),2),"")</f>
        <v>PSG</v>
      </c>
      <c r="V50" s="10" t="str">
        <f>IFERROR(INDEX(tbSLA[],MATCH(B50,tbSLA[Caso: Número do caso],0),MATCH(V$5,tbSLA[#Headers],0)),"")</f>
        <v/>
      </c>
      <c r="W50" s="10" t="str">
        <f>IFERROR(INDEX(tbSLA[],MATCH(B50,tbSLA[Caso: Número do caso],0),MATCH(W$5,tbSLA[#Headers],0)),"")</f>
        <v/>
      </c>
    </row>
    <row r="51" spans="1:23" x14ac:dyDescent="0.25">
      <c r="A51" s="2" t="s">
        <v>16</v>
      </c>
      <c r="B51" s="2" t="s">
        <v>306</v>
      </c>
      <c r="C51" s="2" t="s">
        <v>307</v>
      </c>
      <c r="D51" s="2" t="s">
        <v>308</v>
      </c>
      <c r="E51" s="2" t="s">
        <v>309</v>
      </c>
      <c r="F51" s="2" t="s">
        <v>310</v>
      </c>
      <c r="G51" s="2" t="s">
        <v>21</v>
      </c>
      <c r="H51" s="2" t="s">
        <v>311</v>
      </c>
      <c r="I51" s="2" t="s">
        <v>170</v>
      </c>
      <c r="J51" s="2" t="s">
        <v>127</v>
      </c>
      <c r="K51" s="2" t="s">
        <v>164</v>
      </c>
      <c r="L51" s="2" t="s">
        <v>111</v>
      </c>
      <c r="M51" s="2" t="s">
        <v>35</v>
      </c>
      <c r="N51" s="2" t="s">
        <v>36</v>
      </c>
      <c r="O51" s="3">
        <v>42769.661111111112</v>
      </c>
      <c r="P51" s="3">
        <v>42769.705555555556</v>
      </c>
      <c r="Q51" s="4">
        <f t="shared" ca="1" si="0"/>
        <v>309</v>
      </c>
      <c r="R51" s="1">
        <f t="shared" ca="1" si="1"/>
        <v>309</v>
      </c>
      <c r="S51" s="1" t="str">
        <f>IFERROR(INDEX(tbMAPA[],MATCH(I51,tbMAPA[BPID],0),1),"")</f>
        <v>Wendrey Schumaher Lara</v>
      </c>
      <c r="T51" s="1" t="str">
        <f>IFERROR(INDEX(tbMAPA[],MATCH(J51,tbMAPA[BPID],0),1),"")</f>
        <v>Ivanildo Cavalcante De Souza Junior</v>
      </c>
      <c r="U51" s="1" t="str">
        <f>IFERROR(INDEX('MAPA OPERACIONAL'!$H$5:$I$51,MATCH(BACKLOG!M51,'MAPA OPERACIONAL'!$H$5:$H$51,0),2),"")</f>
        <v>IPG</v>
      </c>
      <c r="V51" s="10" t="str">
        <f>IFERROR(INDEX(tbSLA[],MATCH(B51,tbSLA[Caso: Número do caso],0),MATCH(V$5,tbSLA[#Headers],0)),"")</f>
        <v/>
      </c>
      <c r="W51" s="10" t="str">
        <f>IFERROR(INDEX(tbSLA[],MATCH(B51,tbSLA[Caso: Número do caso],0),MATCH(W$5,tbSLA[#Headers],0)),"")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CASOS"/>
  <dimension ref="A2:E2"/>
  <sheetViews>
    <sheetView showGridLines="0" workbookViewId="0">
      <selection activeCell="E2" sqref="E2"/>
    </sheetView>
  </sheetViews>
  <sheetFormatPr defaultRowHeight="15" x14ac:dyDescent="0.25"/>
  <sheetData>
    <row r="2" spans="1:5" x14ac:dyDescent="0.25">
      <c r="A2" t="s">
        <v>1</v>
      </c>
      <c r="B2" t="s">
        <v>11</v>
      </c>
      <c r="C2" t="s">
        <v>787</v>
      </c>
      <c r="D2" t="s">
        <v>788</v>
      </c>
      <c r="E2" t="s">
        <v>789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5:I153"/>
  <sheetViews>
    <sheetView showGridLines="0" tabSelected="1" topLeftCell="A5" workbookViewId="0">
      <selection activeCell="F15" sqref="F15"/>
    </sheetView>
  </sheetViews>
  <sheetFormatPr defaultRowHeight="15" x14ac:dyDescent="0.25"/>
  <cols>
    <col min="1" max="1" width="38.42578125" style="1" bestFit="1" customWidth="1"/>
    <col min="2" max="2" width="32.5703125" style="1" bestFit="1" customWidth="1"/>
    <col min="3" max="3" width="12.42578125" style="1" bestFit="1" customWidth="1"/>
    <col min="4" max="4" width="19.5703125" style="1" bestFit="1" customWidth="1"/>
    <col min="5" max="5" width="16" style="1" bestFit="1" customWidth="1"/>
    <col min="6" max="6" width="9.140625" style="1" bestFit="1" customWidth="1"/>
    <col min="7" max="7" width="9.7109375" style="1" bestFit="1" customWidth="1"/>
    <col min="8" max="8" width="3.7109375" style="1" bestFit="1" customWidth="1"/>
    <col min="9" max="9" width="6.7109375" style="1" bestFit="1" customWidth="1"/>
    <col min="10" max="10" width="18" style="1" bestFit="1" customWidth="1"/>
    <col min="11" max="11" width="26.85546875" style="1" bestFit="1" customWidth="1"/>
    <col min="12" max="12" width="9.7109375" style="1" bestFit="1" customWidth="1"/>
    <col min="13" max="13" width="11.42578125" style="1" bestFit="1" customWidth="1"/>
    <col min="14" max="14" width="13.85546875" style="1" bestFit="1" customWidth="1"/>
    <col min="15" max="15" width="6.7109375" style="1" bestFit="1" customWidth="1"/>
    <col min="16" max="16" width="12.42578125" style="1" bestFit="1" customWidth="1"/>
    <col min="17" max="17" width="15.5703125" style="1" bestFit="1" customWidth="1"/>
    <col min="18" max="18" width="23" style="1" bestFit="1" customWidth="1"/>
    <col min="19" max="19" width="13.28515625" style="1" bestFit="1" customWidth="1"/>
    <col min="20" max="20" width="7.42578125" style="1" bestFit="1" customWidth="1"/>
    <col min="21" max="21" width="6.5703125" style="1" bestFit="1" customWidth="1"/>
    <col min="22" max="22" width="19.5703125" style="1" bestFit="1" customWidth="1"/>
    <col min="23" max="23" width="7.85546875" style="1" bestFit="1" customWidth="1"/>
    <col min="24" max="24" width="11.42578125" style="1" bestFit="1" customWidth="1"/>
    <col min="25" max="25" width="7.42578125" style="1" bestFit="1" customWidth="1"/>
    <col min="26" max="26" width="36" style="1" bestFit="1" customWidth="1"/>
    <col min="27" max="27" width="10.42578125" style="1" bestFit="1" customWidth="1"/>
    <col min="28" max="28" width="11" style="1" bestFit="1" customWidth="1"/>
    <col min="29" max="29" width="11.7109375" style="1" bestFit="1" customWidth="1"/>
    <col min="30" max="30" width="14" style="1" bestFit="1" customWidth="1"/>
    <col min="31" max="31" width="12.140625" style="1" bestFit="1" customWidth="1"/>
    <col min="32" max="32" width="23.5703125" style="1" bestFit="1" customWidth="1"/>
    <col min="33" max="33" width="18.7109375" style="1" bestFit="1" customWidth="1"/>
    <col min="34" max="34" width="12.85546875" style="1" bestFit="1" customWidth="1"/>
    <col min="35" max="35" width="31.5703125" style="1" bestFit="1" customWidth="1"/>
    <col min="36" max="36" width="10.7109375" style="1" bestFit="1" customWidth="1"/>
    <col min="37" max="37" width="12.85546875" style="1" bestFit="1" customWidth="1"/>
    <col min="38" max="38" width="7" style="1" bestFit="1" customWidth="1"/>
    <col min="39" max="39" width="16" style="1" bestFit="1" customWidth="1"/>
    <col min="40" max="40" width="37.7109375" style="1" bestFit="1" customWidth="1"/>
    <col min="41" max="41" width="15.7109375" style="1" bestFit="1" customWidth="1"/>
    <col min="42" max="42" width="26.85546875" style="1" bestFit="1" customWidth="1"/>
    <col min="43" max="43" width="9.140625" style="1" bestFit="1" customWidth="1"/>
    <col min="44" max="44" width="9.140625" style="1" customWidth="1"/>
    <col min="45" max="45" width="11.5703125" style="1" bestFit="1" customWidth="1"/>
    <col min="46" max="16384" width="9.140625" style="1"/>
  </cols>
  <sheetData>
    <row r="5" spans="1:9" x14ac:dyDescent="0.25">
      <c r="A5" s="5" t="s">
        <v>312</v>
      </c>
      <c r="B5" s="5" t="s">
        <v>313</v>
      </c>
      <c r="C5" s="5" t="s">
        <v>6</v>
      </c>
      <c r="D5" s="5" t="s">
        <v>314</v>
      </c>
      <c r="E5" s="5" t="s">
        <v>315</v>
      </c>
      <c r="F5" s="5" t="s">
        <v>316</v>
      </c>
      <c r="H5" s="5" t="s">
        <v>792</v>
      </c>
      <c r="I5" s="5" t="s">
        <v>793</v>
      </c>
    </row>
    <row r="6" spans="1:9" x14ac:dyDescent="0.25">
      <c r="A6" s="1" t="s">
        <v>317</v>
      </c>
      <c r="B6" s="1" t="s">
        <v>318</v>
      </c>
      <c r="C6" s="1" t="s">
        <v>319</v>
      </c>
      <c r="D6" s="1" t="s">
        <v>320</v>
      </c>
      <c r="E6" s="1" t="s">
        <v>322</v>
      </c>
      <c r="F6" s="1" t="s">
        <v>324</v>
      </c>
      <c r="H6" s="1" t="s">
        <v>26</v>
      </c>
      <c r="I6" s="1" t="s">
        <v>420</v>
      </c>
    </row>
    <row r="7" spans="1:9" x14ac:dyDescent="0.25">
      <c r="A7" s="1" t="s">
        <v>325</v>
      </c>
      <c r="B7" s="1" t="s">
        <v>318</v>
      </c>
      <c r="C7" s="1" t="s">
        <v>319</v>
      </c>
      <c r="D7" s="1" t="s">
        <v>320</v>
      </c>
      <c r="E7" s="1" t="s">
        <v>326</v>
      </c>
      <c r="F7" s="1" t="s">
        <v>327</v>
      </c>
      <c r="H7" s="1" t="s">
        <v>35</v>
      </c>
      <c r="I7" s="1" t="s">
        <v>363</v>
      </c>
    </row>
    <row r="8" spans="1:9" x14ac:dyDescent="0.25">
      <c r="A8" s="1" t="s">
        <v>328</v>
      </c>
      <c r="B8" s="1" t="s">
        <v>318</v>
      </c>
      <c r="C8" s="1" t="s">
        <v>319</v>
      </c>
      <c r="D8" s="1" t="s">
        <v>320</v>
      </c>
      <c r="E8" s="1" t="s">
        <v>329</v>
      </c>
      <c r="F8" s="1" t="s">
        <v>330</v>
      </c>
      <c r="H8" s="1" t="s">
        <v>35</v>
      </c>
      <c r="I8" s="1" t="s">
        <v>420</v>
      </c>
    </row>
    <row r="9" spans="1:9" x14ac:dyDescent="0.25">
      <c r="A9" s="1" t="s">
        <v>331</v>
      </c>
      <c r="B9" s="1" t="s">
        <v>318</v>
      </c>
      <c r="C9" s="1" t="s">
        <v>319</v>
      </c>
      <c r="D9" s="1" t="s">
        <v>320</v>
      </c>
      <c r="E9" s="1" t="s">
        <v>332</v>
      </c>
      <c r="F9" s="1" t="s">
        <v>333</v>
      </c>
      <c r="H9" s="1" t="s">
        <v>51</v>
      </c>
      <c r="I9" s="1" t="s">
        <v>420</v>
      </c>
    </row>
    <row r="10" spans="1:9" x14ac:dyDescent="0.25">
      <c r="A10" s="1" t="s">
        <v>334</v>
      </c>
      <c r="B10" s="1" t="s">
        <v>318</v>
      </c>
      <c r="C10" s="1" t="s">
        <v>335</v>
      </c>
      <c r="D10" s="1" t="s">
        <v>320</v>
      </c>
      <c r="E10" s="1" t="s">
        <v>336</v>
      </c>
      <c r="F10" s="1" t="s">
        <v>337</v>
      </c>
      <c r="H10" s="1" t="s">
        <v>59</v>
      </c>
      <c r="I10" s="1" t="s">
        <v>420</v>
      </c>
    </row>
    <row r="11" spans="1:9" x14ac:dyDescent="0.25">
      <c r="A11" s="1" t="s">
        <v>338</v>
      </c>
      <c r="B11" s="1" t="s">
        <v>339</v>
      </c>
      <c r="C11" s="1" t="s">
        <v>319</v>
      </c>
      <c r="D11" s="1" t="s">
        <v>340</v>
      </c>
      <c r="E11" s="1" t="s">
        <v>341</v>
      </c>
      <c r="F11" s="1" t="s">
        <v>342</v>
      </c>
      <c r="H11" s="1" t="s">
        <v>51</v>
      </c>
      <c r="I11" s="1" t="s">
        <v>420</v>
      </c>
    </row>
    <row r="12" spans="1:9" x14ac:dyDescent="0.25">
      <c r="A12" s="1" t="s">
        <v>343</v>
      </c>
      <c r="B12" s="1" t="s">
        <v>339</v>
      </c>
      <c r="C12" s="1" t="s">
        <v>319</v>
      </c>
      <c r="D12" s="1" t="s">
        <v>340</v>
      </c>
      <c r="E12" s="1" t="s">
        <v>344</v>
      </c>
      <c r="F12" s="1" t="s">
        <v>345</v>
      </c>
      <c r="H12" s="1" t="s">
        <v>74</v>
      </c>
      <c r="I12" s="1" t="s">
        <v>420</v>
      </c>
    </row>
    <row r="13" spans="1:9" x14ac:dyDescent="0.25">
      <c r="A13" s="1" t="s">
        <v>346</v>
      </c>
      <c r="B13" s="1" t="s">
        <v>339</v>
      </c>
      <c r="C13" s="1" t="s">
        <v>319</v>
      </c>
      <c r="D13" s="1" t="s">
        <v>340</v>
      </c>
      <c r="E13" s="1" t="s">
        <v>347</v>
      </c>
      <c r="F13" s="1" t="s">
        <v>348</v>
      </c>
      <c r="H13" s="1" t="s">
        <v>59</v>
      </c>
      <c r="I13" s="1" t="s">
        <v>420</v>
      </c>
    </row>
    <row r="14" spans="1:9" x14ac:dyDescent="0.25">
      <c r="A14" s="1" t="s">
        <v>349</v>
      </c>
      <c r="B14" s="1" t="s">
        <v>339</v>
      </c>
      <c r="C14" s="1" t="s">
        <v>350</v>
      </c>
      <c r="D14" s="1" t="s">
        <v>340</v>
      </c>
      <c r="E14" s="1" t="s">
        <v>351</v>
      </c>
      <c r="F14" s="1" t="s">
        <v>352</v>
      </c>
      <c r="H14" s="1" t="s">
        <v>59</v>
      </c>
      <c r="I14" s="1" t="s">
        <v>420</v>
      </c>
    </row>
    <row r="15" spans="1:9" x14ac:dyDescent="0.25">
      <c r="A15" s="1" t="s">
        <v>353</v>
      </c>
      <c r="B15" s="1" t="s">
        <v>339</v>
      </c>
      <c r="C15" s="1" t="s">
        <v>319</v>
      </c>
      <c r="D15" s="1" t="s">
        <v>340</v>
      </c>
      <c r="E15" s="1" t="s">
        <v>354</v>
      </c>
      <c r="F15" s="1" t="s">
        <v>355</v>
      </c>
      <c r="H15" s="1" t="s">
        <v>35</v>
      </c>
      <c r="I15" s="1" t="s">
        <v>363</v>
      </c>
    </row>
    <row r="16" spans="1:9" x14ac:dyDescent="0.25">
      <c r="A16" s="1" t="s">
        <v>356</v>
      </c>
      <c r="B16" s="1" t="s">
        <v>339</v>
      </c>
      <c r="C16" s="1" t="s">
        <v>319</v>
      </c>
      <c r="D16" s="1" t="s">
        <v>340</v>
      </c>
      <c r="E16" s="1" t="s">
        <v>357</v>
      </c>
      <c r="F16" s="1" t="s">
        <v>358</v>
      </c>
      <c r="H16" s="1" t="s">
        <v>97</v>
      </c>
      <c r="I16" s="1" t="s">
        <v>420</v>
      </c>
    </row>
    <row r="17" spans="1:9" x14ac:dyDescent="0.25">
      <c r="A17" s="1" t="s">
        <v>359</v>
      </c>
      <c r="B17" s="1" t="s">
        <v>339</v>
      </c>
      <c r="C17" s="1" t="s">
        <v>319</v>
      </c>
      <c r="D17" s="1" t="s">
        <v>340</v>
      </c>
      <c r="E17" s="1" t="s">
        <v>360</v>
      </c>
      <c r="F17" s="1" t="s">
        <v>361</v>
      </c>
      <c r="H17" s="1" t="s">
        <v>35</v>
      </c>
      <c r="I17" s="1" t="s">
        <v>363</v>
      </c>
    </row>
    <row r="18" spans="1:9" x14ac:dyDescent="0.25">
      <c r="A18" s="1" t="s">
        <v>362</v>
      </c>
      <c r="B18" s="1" t="s">
        <v>339</v>
      </c>
      <c r="C18" s="1" t="s">
        <v>319</v>
      </c>
      <c r="D18" s="1" t="s">
        <v>340</v>
      </c>
      <c r="E18" s="1" t="s">
        <v>364</v>
      </c>
      <c r="F18" s="1" t="s">
        <v>365</v>
      </c>
      <c r="H18" s="1" t="s">
        <v>35</v>
      </c>
      <c r="I18" s="1" t="s">
        <v>363</v>
      </c>
    </row>
    <row r="19" spans="1:9" x14ac:dyDescent="0.25">
      <c r="A19" s="1" t="s">
        <v>366</v>
      </c>
      <c r="B19" s="1" t="s">
        <v>339</v>
      </c>
      <c r="C19" s="1" t="s">
        <v>319</v>
      </c>
      <c r="D19" s="1" t="s">
        <v>340</v>
      </c>
      <c r="E19" s="1" t="s">
        <v>367</v>
      </c>
      <c r="F19" s="1" t="s">
        <v>368</v>
      </c>
      <c r="H19" s="1" t="s">
        <v>59</v>
      </c>
      <c r="I19" s="1" t="s">
        <v>363</v>
      </c>
    </row>
    <row r="20" spans="1:9" x14ac:dyDescent="0.25">
      <c r="A20" s="1" t="s">
        <v>369</v>
      </c>
      <c r="B20" s="1" t="s">
        <v>339</v>
      </c>
      <c r="C20" s="1" t="s">
        <v>319</v>
      </c>
      <c r="D20" s="1" t="s">
        <v>340</v>
      </c>
      <c r="E20" s="1" t="s">
        <v>370</v>
      </c>
      <c r="F20" s="1" t="s">
        <v>371</v>
      </c>
      <c r="I20" s="1" t="s">
        <v>363</v>
      </c>
    </row>
    <row r="21" spans="1:9" x14ac:dyDescent="0.25">
      <c r="A21" s="1" t="s">
        <v>372</v>
      </c>
      <c r="B21" s="1" t="s">
        <v>339</v>
      </c>
      <c r="C21" s="1" t="s">
        <v>319</v>
      </c>
      <c r="D21" s="1" t="s">
        <v>340</v>
      </c>
      <c r="E21" s="1" t="s">
        <v>373</v>
      </c>
      <c r="F21" s="1" t="s">
        <v>374</v>
      </c>
      <c r="H21" s="1" t="s">
        <v>26</v>
      </c>
      <c r="I21" s="1" t="s">
        <v>420</v>
      </c>
    </row>
    <row r="22" spans="1:9" x14ac:dyDescent="0.25">
      <c r="A22" s="1" t="s">
        <v>375</v>
      </c>
      <c r="B22" s="1" t="s">
        <v>339</v>
      </c>
      <c r="C22" s="1" t="s">
        <v>376</v>
      </c>
      <c r="D22" s="1" t="s">
        <v>340</v>
      </c>
      <c r="E22" s="1" t="s">
        <v>377</v>
      </c>
      <c r="F22" s="1" t="s">
        <v>378</v>
      </c>
      <c r="H22" s="1" t="s">
        <v>143</v>
      </c>
      <c r="I22" s="1" t="s">
        <v>363</v>
      </c>
    </row>
    <row r="23" spans="1:9" x14ac:dyDescent="0.25">
      <c r="A23" s="1" t="s">
        <v>379</v>
      </c>
      <c r="B23" s="1" t="s">
        <v>339</v>
      </c>
      <c r="C23" s="1" t="s">
        <v>319</v>
      </c>
      <c r="D23" s="1" t="s">
        <v>340</v>
      </c>
      <c r="E23" s="1" t="s">
        <v>380</v>
      </c>
      <c r="F23" s="1" t="s">
        <v>381</v>
      </c>
      <c r="H23" s="1" t="s">
        <v>97</v>
      </c>
      <c r="I23" s="1" t="s">
        <v>420</v>
      </c>
    </row>
    <row r="24" spans="1:9" x14ac:dyDescent="0.25">
      <c r="A24" s="1" t="s">
        <v>382</v>
      </c>
      <c r="B24" s="1" t="s">
        <v>318</v>
      </c>
      <c r="C24" s="1" t="s">
        <v>350</v>
      </c>
      <c r="D24" s="1" t="s">
        <v>383</v>
      </c>
      <c r="E24" s="1" t="s">
        <v>384</v>
      </c>
      <c r="F24" s="1" t="s">
        <v>385</v>
      </c>
      <c r="H24" s="1" t="s">
        <v>26</v>
      </c>
      <c r="I24" s="1" t="s">
        <v>363</v>
      </c>
    </row>
    <row r="25" spans="1:9" x14ac:dyDescent="0.25">
      <c r="A25" s="1" t="s">
        <v>386</v>
      </c>
      <c r="B25" s="1" t="s">
        <v>318</v>
      </c>
      <c r="C25" s="1" t="s">
        <v>319</v>
      </c>
      <c r="D25" s="1" t="s">
        <v>383</v>
      </c>
      <c r="E25" s="1" t="s">
        <v>387</v>
      </c>
      <c r="F25" s="1" t="s">
        <v>388</v>
      </c>
      <c r="H25" s="1" t="s">
        <v>59</v>
      </c>
      <c r="I25" s="1" t="s">
        <v>363</v>
      </c>
    </row>
    <row r="26" spans="1:9" x14ac:dyDescent="0.25">
      <c r="A26" s="1" t="s">
        <v>389</v>
      </c>
      <c r="B26" s="1" t="s">
        <v>318</v>
      </c>
      <c r="C26" s="1" t="s">
        <v>319</v>
      </c>
      <c r="D26" s="1" t="s">
        <v>383</v>
      </c>
      <c r="E26" s="1" t="s">
        <v>390</v>
      </c>
      <c r="F26" s="1" t="s">
        <v>391</v>
      </c>
      <c r="H26" s="1" t="s">
        <v>59</v>
      </c>
      <c r="I26" s="1" t="s">
        <v>420</v>
      </c>
    </row>
    <row r="27" spans="1:9" x14ac:dyDescent="0.25">
      <c r="A27" s="1" t="s">
        <v>392</v>
      </c>
      <c r="B27" s="1" t="s">
        <v>318</v>
      </c>
      <c r="C27" s="1" t="s">
        <v>319</v>
      </c>
      <c r="D27" s="1" t="s">
        <v>383</v>
      </c>
      <c r="E27" s="1" t="s">
        <v>393</v>
      </c>
      <c r="F27" s="1" t="s">
        <v>394</v>
      </c>
      <c r="H27" s="1" t="s">
        <v>59</v>
      </c>
      <c r="I27" s="1" t="s">
        <v>363</v>
      </c>
    </row>
    <row r="28" spans="1:9" x14ac:dyDescent="0.25">
      <c r="A28" s="1" t="s">
        <v>395</v>
      </c>
      <c r="B28" s="1" t="s">
        <v>318</v>
      </c>
      <c r="C28" s="1" t="s">
        <v>319</v>
      </c>
      <c r="D28" s="1" t="s">
        <v>383</v>
      </c>
      <c r="E28" s="1" t="s">
        <v>396</v>
      </c>
      <c r="F28" s="1" t="s">
        <v>397</v>
      </c>
      <c r="H28" s="1" t="s">
        <v>35</v>
      </c>
      <c r="I28" s="1" t="s">
        <v>363</v>
      </c>
    </row>
    <row r="29" spans="1:9" x14ac:dyDescent="0.25">
      <c r="A29" s="1" t="s">
        <v>398</v>
      </c>
      <c r="B29" s="1" t="s">
        <v>318</v>
      </c>
      <c r="C29" s="1" t="s">
        <v>319</v>
      </c>
      <c r="D29" s="1" t="s">
        <v>399</v>
      </c>
      <c r="E29" s="1" t="s">
        <v>400</v>
      </c>
      <c r="F29" s="1" t="s">
        <v>401</v>
      </c>
      <c r="H29" s="1" t="s">
        <v>35</v>
      </c>
      <c r="I29" s="1" t="s">
        <v>420</v>
      </c>
    </row>
    <row r="30" spans="1:9" x14ac:dyDescent="0.25">
      <c r="A30" s="1" t="s">
        <v>402</v>
      </c>
      <c r="B30" s="1" t="s">
        <v>318</v>
      </c>
      <c r="C30" s="1" t="s">
        <v>319</v>
      </c>
      <c r="D30" s="1" t="s">
        <v>399</v>
      </c>
      <c r="E30" s="1" t="s">
        <v>403</v>
      </c>
      <c r="F30" s="1" t="s">
        <v>404</v>
      </c>
      <c r="H30" s="1" t="s">
        <v>35</v>
      </c>
      <c r="I30" s="1" t="s">
        <v>363</v>
      </c>
    </row>
    <row r="31" spans="1:9" x14ac:dyDescent="0.25">
      <c r="A31" s="1" t="s">
        <v>405</v>
      </c>
      <c r="B31" s="1" t="s">
        <v>406</v>
      </c>
      <c r="C31" s="1" t="s">
        <v>319</v>
      </c>
      <c r="D31" s="1" t="s">
        <v>407</v>
      </c>
      <c r="E31" s="1" t="s">
        <v>408</v>
      </c>
      <c r="F31" s="1" t="s">
        <v>410</v>
      </c>
      <c r="H31" s="1" t="s">
        <v>97</v>
      </c>
      <c r="I31" s="1" t="s">
        <v>363</v>
      </c>
    </row>
    <row r="32" spans="1:9" x14ac:dyDescent="0.25">
      <c r="A32" s="1" t="s">
        <v>411</v>
      </c>
      <c r="B32" s="1" t="s">
        <v>412</v>
      </c>
      <c r="C32" s="1" t="s">
        <v>319</v>
      </c>
      <c r="D32" s="1" t="s">
        <v>407</v>
      </c>
      <c r="E32" s="1" t="s">
        <v>413</v>
      </c>
      <c r="F32" s="1" t="s">
        <v>414</v>
      </c>
      <c r="H32" s="1" t="s">
        <v>35</v>
      </c>
      <c r="I32" s="1" t="s">
        <v>363</v>
      </c>
    </row>
    <row r="33" spans="1:9" x14ac:dyDescent="0.25">
      <c r="A33" s="1" t="s">
        <v>415</v>
      </c>
      <c r="B33" s="1" t="s">
        <v>409</v>
      </c>
      <c r="C33" s="1" t="s">
        <v>319</v>
      </c>
      <c r="D33" s="1" t="s">
        <v>407</v>
      </c>
      <c r="E33" s="1" t="s">
        <v>416</v>
      </c>
      <c r="F33" s="1" t="s">
        <v>417</v>
      </c>
      <c r="H33" s="1" t="s">
        <v>59</v>
      </c>
      <c r="I33" s="1" t="s">
        <v>363</v>
      </c>
    </row>
    <row r="34" spans="1:9" x14ac:dyDescent="0.25">
      <c r="A34" s="1" t="s">
        <v>418</v>
      </c>
      <c r="B34" s="1" t="s">
        <v>419</v>
      </c>
      <c r="C34" s="1" t="s">
        <v>319</v>
      </c>
      <c r="D34" s="1" t="s">
        <v>407</v>
      </c>
      <c r="E34" s="1" t="s">
        <v>421</v>
      </c>
      <c r="F34" s="1" t="s">
        <v>422</v>
      </c>
      <c r="H34" s="1" t="s">
        <v>35</v>
      </c>
      <c r="I34" s="1" t="s">
        <v>363</v>
      </c>
    </row>
    <row r="35" spans="1:9" x14ac:dyDescent="0.25">
      <c r="A35" s="1" t="s">
        <v>423</v>
      </c>
      <c r="B35" s="1" t="s">
        <v>424</v>
      </c>
      <c r="C35" s="1" t="s">
        <v>319</v>
      </c>
      <c r="D35" s="1" t="s">
        <v>407</v>
      </c>
      <c r="E35" s="1" t="s">
        <v>425</v>
      </c>
      <c r="F35" s="1" t="s">
        <v>426</v>
      </c>
      <c r="H35" s="1" t="s">
        <v>97</v>
      </c>
      <c r="I35" s="1" t="s">
        <v>420</v>
      </c>
    </row>
    <row r="36" spans="1:9" x14ac:dyDescent="0.25">
      <c r="A36" s="1" t="s">
        <v>427</v>
      </c>
      <c r="B36" s="1" t="s">
        <v>419</v>
      </c>
      <c r="C36" s="1" t="s">
        <v>319</v>
      </c>
      <c r="D36" s="1" t="s">
        <v>407</v>
      </c>
      <c r="E36" s="1" t="s">
        <v>428</v>
      </c>
      <c r="F36" s="1" t="s">
        <v>429</v>
      </c>
      <c r="H36" s="1" t="s">
        <v>35</v>
      </c>
      <c r="I36" s="1" t="s">
        <v>363</v>
      </c>
    </row>
    <row r="37" spans="1:9" x14ac:dyDescent="0.25">
      <c r="A37" s="1" t="s">
        <v>430</v>
      </c>
      <c r="B37" s="1" t="s">
        <v>406</v>
      </c>
      <c r="C37" s="1" t="s">
        <v>319</v>
      </c>
      <c r="D37" s="1" t="s">
        <v>363</v>
      </c>
      <c r="E37" s="1" t="s">
        <v>431</v>
      </c>
      <c r="F37" s="1" t="s">
        <v>432</v>
      </c>
      <c r="H37" s="1" t="s">
        <v>229</v>
      </c>
      <c r="I37" s="1" t="s">
        <v>363</v>
      </c>
    </row>
    <row r="38" spans="1:9" x14ac:dyDescent="0.25">
      <c r="A38" s="1" t="s">
        <v>433</v>
      </c>
      <c r="B38" s="1" t="s">
        <v>406</v>
      </c>
      <c r="C38" s="1" t="s">
        <v>319</v>
      </c>
      <c r="D38" s="1" t="s">
        <v>363</v>
      </c>
      <c r="E38" s="1" t="s">
        <v>434</v>
      </c>
      <c r="F38" s="1" t="s">
        <v>435</v>
      </c>
      <c r="H38" s="1" t="s">
        <v>229</v>
      </c>
      <c r="I38" s="1" t="s">
        <v>420</v>
      </c>
    </row>
    <row r="39" spans="1:9" x14ac:dyDescent="0.25">
      <c r="A39" s="1" t="s">
        <v>436</v>
      </c>
      <c r="B39" s="1" t="s">
        <v>406</v>
      </c>
      <c r="C39" s="1" t="s">
        <v>319</v>
      </c>
      <c r="D39" s="1" t="s">
        <v>363</v>
      </c>
      <c r="E39" s="1" t="s">
        <v>437</v>
      </c>
      <c r="F39" s="1" t="s">
        <v>438</v>
      </c>
      <c r="H39" s="1" t="s">
        <v>59</v>
      </c>
      <c r="I39" s="1" t="s">
        <v>420</v>
      </c>
    </row>
    <row r="40" spans="1:9" x14ac:dyDescent="0.25">
      <c r="A40" s="1" t="s">
        <v>439</v>
      </c>
      <c r="B40" s="1" t="s">
        <v>406</v>
      </c>
      <c r="C40" s="1" t="s">
        <v>319</v>
      </c>
      <c r="D40" s="1" t="s">
        <v>363</v>
      </c>
      <c r="E40" s="1" t="s">
        <v>440</v>
      </c>
      <c r="F40" s="1" t="s">
        <v>441</v>
      </c>
      <c r="H40" s="1" t="s">
        <v>74</v>
      </c>
      <c r="I40" s="1" t="s">
        <v>420</v>
      </c>
    </row>
    <row r="41" spans="1:9" x14ac:dyDescent="0.25">
      <c r="A41" s="1" t="s">
        <v>442</v>
      </c>
      <c r="B41" s="1" t="s">
        <v>406</v>
      </c>
      <c r="C41" s="1" t="s">
        <v>319</v>
      </c>
      <c r="D41" s="1" t="s">
        <v>363</v>
      </c>
      <c r="E41" s="1" t="s">
        <v>443</v>
      </c>
      <c r="F41" s="1" t="s">
        <v>444</v>
      </c>
      <c r="H41" s="1" t="s">
        <v>59</v>
      </c>
      <c r="I41" s="1" t="s">
        <v>420</v>
      </c>
    </row>
    <row r="42" spans="1:9" x14ac:dyDescent="0.25">
      <c r="A42" s="1" t="s">
        <v>445</v>
      </c>
      <c r="B42" s="1" t="s">
        <v>406</v>
      </c>
      <c r="C42" s="1" t="s">
        <v>319</v>
      </c>
      <c r="D42" s="1" t="s">
        <v>363</v>
      </c>
      <c r="E42" s="1" t="s">
        <v>446</v>
      </c>
      <c r="F42" s="1" t="s">
        <v>447</v>
      </c>
      <c r="H42" s="1" t="s">
        <v>35</v>
      </c>
      <c r="I42" s="1" t="s">
        <v>363</v>
      </c>
    </row>
    <row r="43" spans="1:9" x14ac:dyDescent="0.25">
      <c r="A43" s="1" t="s">
        <v>448</v>
      </c>
      <c r="B43" s="1" t="s">
        <v>406</v>
      </c>
      <c r="C43" s="1" t="s">
        <v>319</v>
      </c>
      <c r="D43" s="1" t="s">
        <v>363</v>
      </c>
      <c r="E43" s="1" t="s">
        <v>449</v>
      </c>
      <c r="F43" s="1" t="s">
        <v>450</v>
      </c>
      <c r="H43" s="1" t="s">
        <v>59</v>
      </c>
      <c r="I43" s="1" t="s">
        <v>420</v>
      </c>
    </row>
    <row r="44" spans="1:9" x14ac:dyDescent="0.25">
      <c r="A44" s="1" t="s">
        <v>451</v>
      </c>
      <c r="B44" s="1" t="s">
        <v>412</v>
      </c>
      <c r="C44" s="1" t="s">
        <v>452</v>
      </c>
      <c r="D44" s="1" t="s">
        <v>363</v>
      </c>
      <c r="E44" s="1" t="s">
        <v>453</v>
      </c>
      <c r="F44" s="1" t="s">
        <v>321</v>
      </c>
      <c r="H44" s="1" t="s">
        <v>26</v>
      </c>
      <c r="I44" s="1" t="s">
        <v>420</v>
      </c>
    </row>
    <row r="45" spans="1:9" x14ac:dyDescent="0.25">
      <c r="A45" s="1" t="s">
        <v>454</v>
      </c>
      <c r="B45" s="1" t="s">
        <v>412</v>
      </c>
      <c r="C45" s="1" t="s">
        <v>452</v>
      </c>
      <c r="D45" s="1" t="s">
        <v>363</v>
      </c>
      <c r="E45" s="1" t="s">
        <v>455</v>
      </c>
      <c r="F45" s="1" t="s">
        <v>321</v>
      </c>
      <c r="H45" s="1" t="s">
        <v>35</v>
      </c>
      <c r="I45" s="1" t="s">
        <v>363</v>
      </c>
    </row>
    <row r="46" spans="1:9" x14ac:dyDescent="0.25">
      <c r="A46" s="1" t="s">
        <v>456</v>
      </c>
      <c r="B46" s="1" t="s">
        <v>406</v>
      </c>
      <c r="C46" s="1" t="s">
        <v>319</v>
      </c>
      <c r="D46" s="1" t="s">
        <v>363</v>
      </c>
      <c r="E46" s="1" t="s">
        <v>457</v>
      </c>
      <c r="F46" s="1" t="s">
        <v>458</v>
      </c>
      <c r="H46" s="1" t="s">
        <v>280</v>
      </c>
      <c r="I46" s="1" t="s">
        <v>420</v>
      </c>
    </row>
    <row r="47" spans="1:9" x14ac:dyDescent="0.25">
      <c r="A47" s="1" t="s">
        <v>459</v>
      </c>
      <c r="B47" s="1" t="s">
        <v>412</v>
      </c>
      <c r="C47" s="1" t="s">
        <v>319</v>
      </c>
      <c r="D47" s="1" t="s">
        <v>363</v>
      </c>
      <c r="E47" s="1" t="s">
        <v>460</v>
      </c>
      <c r="F47" s="1" t="s">
        <v>461</v>
      </c>
      <c r="H47" s="1" t="s">
        <v>26</v>
      </c>
      <c r="I47" s="1" t="s">
        <v>420</v>
      </c>
    </row>
    <row r="48" spans="1:9" x14ac:dyDescent="0.25">
      <c r="A48" s="1" t="s">
        <v>462</v>
      </c>
      <c r="B48" s="1" t="s">
        <v>412</v>
      </c>
      <c r="C48" s="1" t="s">
        <v>319</v>
      </c>
      <c r="D48" s="1" t="s">
        <v>363</v>
      </c>
      <c r="E48" s="1" t="s">
        <v>463</v>
      </c>
      <c r="F48" s="1" t="s">
        <v>464</v>
      </c>
      <c r="H48" s="1" t="s">
        <v>59</v>
      </c>
      <c r="I48" s="1" t="s">
        <v>363</v>
      </c>
    </row>
    <row r="49" spans="1:9" x14ac:dyDescent="0.25">
      <c r="A49" s="1" t="s">
        <v>465</v>
      </c>
      <c r="B49" s="1" t="s">
        <v>406</v>
      </c>
      <c r="C49" s="1" t="s">
        <v>319</v>
      </c>
      <c r="D49" s="1" t="s">
        <v>363</v>
      </c>
      <c r="E49" s="1" t="s">
        <v>466</v>
      </c>
      <c r="F49" s="1" t="s">
        <v>467</v>
      </c>
      <c r="H49" s="1" t="s">
        <v>26</v>
      </c>
      <c r="I49" s="1" t="s">
        <v>363</v>
      </c>
    </row>
    <row r="50" spans="1:9" x14ac:dyDescent="0.25">
      <c r="A50" s="1" t="s">
        <v>468</v>
      </c>
      <c r="B50" s="1" t="s">
        <v>406</v>
      </c>
      <c r="C50" s="1" t="s">
        <v>319</v>
      </c>
      <c r="D50" s="1" t="s">
        <v>363</v>
      </c>
      <c r="E50" s="1" t="s">
        <v>469</v>
      </c>
      <c r="F50" s="1" t="s">
        <v>470</v>
      </c>
      <c r="H50" s="1" t="s">
        <v>59</v>
      </c>
      <c r="I50" s="1" t="s">
        <v>363</v>
      </c>
    </row>
    <row r="51" spans="1:9" x14ac:dyDescent="0.25">
      <c r="A51" s="1" t="s">
        <v>471</v>
      </c>
      <c r="B51" s="1" t="s">
        <v>406</v>
      </c>
      <c r="C51" s="1" t="s">
        <v>319</v>
      </c>
      <c r="D51" s="1" t="s">
        <v>363</v>
      </c>
      <c r="E51" s="1" t="s">
        <v>472</v>
      </c>
      <c r="F51" s="1" t="s">
        <v>473</v>
      </c>
      <c r="H51" s="1" t="s">
        <v>35</v>
      </c>
      <c r="I51" s="1" t="s">
        <v>420</v>
      </c>
    </row>
    <row r="52" spans="1:9" x14ac:dyDescent="0.25">
      <c r="A52" s="1" t="s">
        <v>474</v>
      </c>
      <c r="B52" s="1" t="s">
        <v>406</v>
      </c>
      <c r="C52" s="1" t="s">
        <v>319</v>
      </c>
      <c r="D52" s="1" t="s">
        <v>363</v>
      </c>
      <c r="E52" s="1" t="s">
        <v>475</v>
      </c>
      <c r="F52" s="1" t="s">
        <v>476</v>
      </c>
    </row>
    <row r="53" spans="1:9" x14ac:dyDescent="0.25">
      <c r="A53" s="1" t="s">
        <v>477</v>
      </c>
      <c r="B53" s="1" t="s">
        <v>406</v>
      </c>
      <c r="C53" s="1" t="s">
        <v>478</v>
      </c>
      <c r="D53" s="1" t="s">
        <v>363</v>
      </c>
      <c r="E53" s="1" t="s">
        <v>479</v>
      </c>
      <c r="F53" s="1" t="s">
        <v>480</v>
      </c>
    </row>
    <row r="54" spans="1:9" x14ac:dyDescent="0.25">
      <c r="A54" s="1" t="s">
        <v>481</v>
      </c>
      <c r="B54" s="1" t="s">
        <v>412</v>
      </c>
      <c r="C54" s="1" t="s">
        <v>319</v>
      </c>
      <c r="D54" s="1" t="s">
        <v>363</v>
      </c>
      <c r="E54" s="1" t="s">
        <v>482</v>
      </c>
      <c r="F54" s="1" t="s">
        <v>483</v>
      </c>
    </row>
    <row r="55" spans="1:9" x14ac:dyDescent="0.25">
      <c r="A55" s="1" t="s">
        <v>484</v>
      </c>
      <c r="B55" s="1" t="s">
        <v>406</v>
      </c>
      <c r="C55" s="1" t="s">
        <v>319</v>
      </c>
      <c r="D55" s="1" t="s">
        <v>363</v>
      </c>
      <c r="E55" s="1" t="s">
        <v>485</v>
      </c>
      <c r="F55" s="1" t="s">
        <v>486</v>
      </c>
    </row>
    <row r="56" spans="1:9" x14ac:dyDescent="0.25">
      <c r="A56" s="1" t="s">
        <v>487</v>
      </c>
      <c r="B56" s="1" t="s">
        <v>406</v>
      </c>
      <c r="C56" s="1" t="s">
        <v>350</v>
      </c>
      <c r="D56" s="1" t="s">
        <v>363</v>
      </c>
      <c r="E56" s="1" t="s">
        <v>488</v>
      </c>
      <c r="F56" s="1" t="s">
        <v>489</v>
      </c>
    </row>
    <row r="57" spans="1:9" x14ac:dyDescent="0.25">
      <c r="A57" s="1" t="s">
        <v>490</v>
      </c>
      <c r="B57" s="1" t="s">
        <v>406</v>
      </c>
      <c r="C57" s="1" t="s">
        <v>319</v>
      </c>
      <c r="D57" s="1" t="s">
        <v>363</v>
      </c>
      <c r="E57" s="1" t="s">
        <v>491</v>
      </c>
      <c r="F57" s="1" t="s">
        <v>492</v>
      </c>
    </row>
    <row r="58" spans="1:9" x14ac:dyDescent="0.25">
      <c r="A58" s="1" t="s">
        <v>493</v>
      </c>
      <c r="B58" s="1" t="s">
        <v>406</v>
      </c>
      <c r="C58" s="1" t="s">
        <v>335</v>
      </c>
      <c r="D58" s="1" t="s">
        <v>363</v>
      </c>
      <c r="E58" s="1" t="s">
        <v>494</v>
      </c>
      <c r="F58" s="1" t="s">
        <v>495</v>
      </c>
    </row>
    <row r="59" spans="1:9" x14ac:dyDescent="0.25">
      <c r="A59" s="1" t="s">
        <v>496</v>
      </c>
      <c r="B59" s="1" t="s">
        <v>424</v>
      </c>
      <c r="C59" s="1" t="s">
        <v>335</v>
      </c>
      <c r="D59" s="1" t="s">
        <v>363</v>
      </c>
      <c r="E59" s="1" t="s">
        <v>497</v>
      </c>
      <c r="F59" s="1" t="s">
        <v>498</v>
      </c>
    </row>
    <row r="60" spans="1:9" x14ac:dyDescent="0.25">
      <c r="A60" s="1" t="s">
        <v>499</v>
      </c>
      <c r="B60" s="1" t="s">
        <v>424</v>
      </c>
      <c r="C60" s="1" t="s">
        <v>319</v>
      </c>
      <c r="D60" s="1" t="s">
        <v>363</v>
      </c>
      <c r="E60" s="1" t="s">
        <v>500</v>
      </c>
      <c r="F60" s="1" t="s">
        <v>501</v>
      </c>
    </row>
    <row r="61" spans="1:9" x14ac:dyDescent="0.25">
      <c r="A61" s="1" t="s">
        <v>502</v>
      </c>
      <c r="B61" s="1" t="s">
        <v>412</v>
      </c>
      <c r="C61" s="1" t="s">
        <v>319</v>
      </c>
      <c r="D61" s="1" t="s">
        <v>363</v>
      </c>
      <c r="E61" s="1" t="s">
        <v>503</v>
      </c>
      <c r="F61" s="1" t="s">
        <v>504</v>
      </c>
    </row>
    <row r="62" spans="1:9" x14ac:dyDescent="0.25">
      <c r="A62" s="1" t="s">
        <v>505</v>
      </c>
      <c r="B62" s="1" t="s">
        <v>419</v>
      </c>
      <c r="C62" s="1" t="s">
        <v>319</v>
      </c>
      <c r="D62" s="1" t="s">
        <v>363</v>
      </c>
      <c r="E62" s="1" t="s">
        <v>506</v>
      </c>
      <c r="F62" s="1" t="s">
        <v>507</v>
      </c>
    </row>
    <row r="63" spans="1:9" x14ac:dyDescent="0.25">
      <c r="A63" s="1" t="s">
        <v>508</v>
      </c>
      <c r="B63" s="1" t="s">
        <v>419</v>
      </c>
      <c r="C63" s="1" t="s">
        <v>319</v>
      </c>
      <c r="D63" s="1" t="s">
        <v>363</v>
      </c>
      <c r="E63" s="1" t="s">
        <v>509</v>
      </c>
      <c r="F63" s="1" t="s">
        <v>510</v>
      </c>
    </row>
    <row r="64" spans="1:9" x14ac:dyDescent="0.25">
      <c r="A64" s="1" t="s">
        <v>511</v>
      </c>
      <c r="B64" s="1" t="s">
        <v>419</v>
      </c>
      <c r="C64" s="1" t="s">
        <v>319</v>
      </c>
      <c r="D64" s="1" t="s">
        <v>363</v>
      </c>
      <c r="E64" s="1" t="s">
        <v>512</v>
      </c>
      <c r="F64" s="1" t="s">
        <v>513</v>
      </c>
    </row>
    <row r="65" spans="1:6" x14ac:dyDescent="0.25">
      <c r="A65" s="1" t="s">
        <v>514</v>
      </c>
      <c r="B65" s="1" t="s">
        <v>419</v>
      </c>
      <c r="C65" s="1" t="s">
        <v>319</v>
      </c>
      <c r="D65" s="1" t="s">
        <v>363</v>
      </c>
      <c r="E65" s="1" t="s">
        <v>515</v>
      </c>
      <c r="F65" s="1" t="s">
        <v>516</v>
      </c>
    </row>
    <row r="66" spans="1:6" x14ac:dyDescent="0.25">
      <c r="A66" s="1" t="s">
        <v>517</v>
      </c>
      <c r="B66" s="1" t="s">
        <v>419</v>
      </c>
      <c r="C66" s="1" t="s">
        <v>319</v>
      </c>
      <c r="D66" s="1" t="s">
        <v>363</v>
      </c>
      <c r="E66" s="1" t="s">
        <v>518</v>
      </c>
      <c r="F66" s="1" t="s">
        <v>519</v>
      </c>
    </row>
    <row r="67" spans="1:6" x14ac:dyDescent="0.25">
      <c r="A67" s="1" t="s">
        <v>520</v>
      </c>
      <c r="B67" s="1" t="s">
        <v>419</v>
      </c>
      <c r="C67" s="1" t="s">
        <v>478</v>
      </c>
      <c r="D67" s="1" t="s">
        <v>363</v>
      </c>
      <c r="E67" s="1" t="s">
        <v>521</v>
      </c>
      <c r="F67" s="1" t="s">
        <v>522</v>
      </c>
    </row>
    <row r="68" spans="1:6" x14ac:dyDescent="0.25">
      <c r="A68" s="1" t="s">
        <v>523</v>
      </c>
      <c r="B68" s="1" t="s">
        <v>419</v>
      </c>
      <c r="C68" s="1" t="s">
        <v>478</v>
      </c>
      <c r="D68" s="1" t="s">
        <v>363</v>
      </c>
      <c r="E68" s="1" t="s">
        <v>524</v>
      </c>
      <c r="F68" s="1" t="s">
        <v>525</v>
      </c>
    </row>
    <row r="69" spans="1:6" x14ac:dyDescent="0.25">
      <c r="A69" s="1" t="s">
        <v>526</v>
      </c>
      <c r="B69" s="1" t="s">
        <v>419</v>
      </c>
      <c r="C69" s="1" t="s">
        <v>335</v>
      </c>
      <c r="D69" s="1" t="s">
        <v>363</v>
      </c>
      <c r="E69" s="1" t="s">
        <v>527</v>
      </c>
      <c r="F69" s="1" t="s">
        <v>528</v>
      </c>
    </row>
    <row r="70" spans="1:6" x14ac:dyDescent="0.25">
      <c r="A70" s="1" t="s">
        <v>529</v>
      </c>
      <c r="B70" s="1" t="s">
        <v>419</v>
      </c>
      <c r="C70" s="1" t="s">
        <v>319</v>
      </c>
      <c r="D70" s="1" t="s">
        <v>363</v>
      </c>
      <c r="E70" s="1" t="s">
        <v>530</v>
      </c>
      <c r="F70" s="1" t="s">
        <v>531</v>
      </c>
    </row>
    <row r="71" spans="1:6" x14ac:dyDescent="0.25">
      <c r="A71" s="1" t="s">
        <v>532</v>
      </c>
      <c r="B71" s="1" t="s">
        <v>419</v>
      </c>
      <c r="C71" s="1" t="s">
        <v>319</v>
      </c>
      <c r="D71" s="1" t="s">
        <v>363</v>
      </c>
      <c r="E71" s="1" t="s">
        <v>533</v>
      </c>
      <c r="F71" s="1" t="s">
        <v>534</v>
      </c>
    </row>
    <row r="72" spans="1:6" x14ac:dyDescent="0.25">
      <c r="A72" s="1" t="s">
        <v>535</v>
      </c>
      <c r="B72" s="1" t="s">
        <v>419</v>
      </c>
      <c r="C72" s="1" t="s">
        <v>319</v>
      </c>
      <c r="D72" s="1" t="s">
        <v>363</v>
      </c>
      <c r="E72" s="1" t="s">
        <v>536</v>
      </c>
      <c r="F72" s="1" t="s">
        <v>537</v>
      </c>
    </row>
    <row r="73" spans="1:6" x14ac:dyDescent="0.25">
      <c r="A73" s="1" t="s">
        <v>538</v>
      </c>
      <c r="B73" s="1" t="s">
        <v>419</v>
      </c>
      <c r="C73" s="1" t="s">
        <v>319</v>
      </c>
      <c r="D73" s="1" t="s">
        <v>363</v>
      </c>
      <c r="E73" s="1" t="s">
        <v>539</v>
      </c>
      <c r="F73" s="1" t="s">
        <v>540</v>
      </c>
    </row>
    <row r="74" spans="1:6" x14ac:dyDescent="0.25">
      <c r="A74" s="1" t="s">
        <v>541</v>
      </c>
      <c r="B74" s="1" t="s">
        <v>424</v>
      </c>
      <c r="C74" s="1" t="s">
        <v>335</v>
      </c>
      <c r="D74" s="1" t="s">
        <v>363</v>
      </c>
      <c r="E74" s="1" t="s">
        <v>542</v>
      </c>
      <c r="F74" s="1" t="s">
        <v>543</v>
      </c>
    </row>
    <row r="75" spans="1:6" x14ac:dyDescent="0.25">
      <c r="A75" s="1" t="s">
        <v>544</v>
      </c>
      <c r="B75" s="1" t="s">
        <v>419</v>
      </c>
      <c r="C75" s="1" t="s">
        <v>376</v>
      </c>
      <c r="D75" s="1" t="s">
        <v>363</v>
      </c>
      <c r="E75" s="1" t="s">
        <v>545</v>
      </c>
      <c r="F75" s="1" t="s">
        <v>546</v>
      </c>
    </row>
    <row r="76" spans="1:6" x14ac:dyDescent="0.25">
      <c r="A76" s="1" t="s">
        <v>547</v>
      </c>
      <c r="B76" s="1" t="s">
        <v>419</v>
      </c>
      <c r="C76" s="1" t="s">
        <v>319</v>
      </c>
      <c r="D76" s="1" t="s">
        <v>363</v>
      </c>
      <c r="E76" s="1" t="s">
        <v>548</v>
      </c>
      <c r="F76" s="1" t="s">
        <v>549</v>
      </c>
    </row>
    <row r="77" spans="1:6" x14ac:dyDescent="0.25">
      <c r="A77" s="1" t="s">
        <v>550</v>
      </c>
      <c r="B77" s="1" t="s">
        <v>419</v>
      </c>
      <c r="C77" s="1" t="s">
        <v>319</v>
      </c>
      <c r="D77" s="1" t="s">
        <v>363</v>
      </c>
      <c r="E77" s="1" t="s">
        <v>551</v>
      </c>
      <c r="F77" s="1" t="s">
        <v>552</v>
      </c>
    </row>
    <row r="78" spans="1:6" x14ac:dyDescent="0.25">
      <c r="A78" s="1" t="s">
        <v>553</v>
      </c>
      <c r="B78" s="1" t="s">
        <v>419</v>
      </c>
      <c r="C78" s="1" t="s">
        <v>376</v>
      </c>
      <c r="D78" s="1" t="s">
        <v>363</v>
      </c>
      <c r="E78" s="1" t="s">
        <v>554</v>
      </c>
      <c r="F78" s="1" t="s">
        <v>555</v>
      </c>
    </row>
    <row r="79" spans="1:6" x14ac:dyDescent="0.25">
      <c r="A79" s="1" t="s">
        <v>556</v>
      </c>
      <c r="B79" s="1" t="s">
        <v>419</v>
      </c>
      <c r="C79" s="1" t="s">
        <v>319</v>
      </c>
      <c r="D79" s="1" t="s">
        <v>363</v>
      </c>
      <c r="E79" s="1" t="s">
        <v>557</v>
      </c>
      <c r="F79" s="1" t="s">
        <v>558</v>
      </c>
    </row>
    <row r="80" spans="1:6" x14ac:dyDescent="0.25">
      <c r="A80" s="1" t="s">
        <v>559</v>
      </c>
      <c r="B80" s="1" t="s">
        <v>419</v>
      </c>
      <c r="C80" s="1" t="s">
        <v>319</v>
      </c>
      <c r="D80" s="1" t="s">
        <v>363</v>
      </c>
      <c r="E80" s="1" t="s">
        <v>560</v>
      </c>
      <c r="F80" s="1" t="s">
        <v>561</v>
      </c>
    </row>
    <row r="81" spans="1:6" x14ac:dyDescent="0.25">
      <c r="A81" s="1" t="s">
        <v>562</v>
      </c>
      <c r="B81" s="1" t="s">
        <v>419</v>
      </c>
      <c r="C81" s="1" t="s">
        <v>319</v>
      </c>
      <c r="D81" s="1" t="s">
        <v>363</v>
      </c>
      <c r="E81" s="1" t="s">
        <v>563</v>
      </c>
      <c r="F81" s="1" t="s">
        <v>564</v>
      </c>
    </row>
    <row r="82" spans="1:6" x14ac:dyDescent="0.25">
      <c r="A82" s="1" t="s">
        <v>565</v>
      </c>
      <c r="B82" s="1" t="s">
        <v>406</v>
      </c>
      <c r="C82" s="1" t="s">
        <v>319</v>
      </c>
      <c r="D82" s="1" t="s">
        <v>566</v>
      </c>
      <c r="E82" s="1" t="s">
        <v>567</v>
      </c>
      <c r="F82" s="1" t="s">
        <v>568</v>
      </c>
    </row>
    <row r="83" spans="1:6" x14ac:dyDescent="0.25">
      <c r="A83" s="1" t="s">
        <v>569</v>
      </c>
      <c r="B83" s="1" t="s">
        <v>339</v>
      </c>
      <c r="C83" s="1" t="s">
        <v>319</v>
      </c>
      <c r="D83" s="1" t="s">
        <v>566</v>
      </c>
      <c r="E83" s="1" t="s">
        <v>570</v>
      </c>
      <c r="F83" s="1" t="s">
        <v>571</v>
      </c>
    </row>
    <row r="84" spans="1:6" x14ac:dyDescent="0.25">
      <c r="A84" s="1" t="s">
        <v>572</v>
      </c>
      <c r="B84" s="1" t="s">
        <v>412</v>
      </c>
      <c r="C84" s="1" t="s">
        <v>319</v>
      </c>
      <c r="D84" s="1" t="s">
        <v>566</v>
      </c>
      <c r="E84" s="1" t="s">
        <v>573</v>
      </c>
      <c r="F84" s="1" t="s">
        <v>574</v>
      </c>
    </row>
    <row r="85" spans="1:6" x14ac:dyDescent="0.25">
      <c r="A85" s="1" t="s">
        <v>575</v>
      </c>
      <c r="B85" s="1" t="s">
        <v>419</v>
      </c>
      <c r="C85" s="1" t="s">
        <v>350</v>
      </c>
      <c r="D85" s="1" t="s">
        <v>566</v>
      </c>
      <c r="E85" s="1" t="s">
        <v>576</v>
      </c>
      <c r="F85" s="1" t="s">
        <v>577</v>
      </c>
    </row>
    <row r="86" spans="1:6" x14ac:dyDescent="0.25">
      <c r="A86" s="1" t="s">
        <v>578</v>
      </c>
      <c r="B86" s="1" t="s">
        <v>424</v>
      </c>
      <c r="C86" s="1" t="s">
        <v>319</v>
      </c>
      <c r="D86" s="1" t="s">
        <v>566</v>
      </c>
      <c r="E86" s="1" t="s">
        <v>579</v>
      </c>
      <c r="F86" s="1" t="s">
        <v>580</v>
      </c>
    </row>
    <row r="87" spans="1:6" x14ac:dyDescent="0.25">
      <c r="A87" s="1" t="s">
        <v>581</v>
      </c>
      <c r="B87" s="1" t="s">
        <v>323</v>
      </c>
      <c r="C87" s="1" t="s">
        <v>319</v>
      </c>
      <c r="D87" s="1" t="s">
        <v>582</v>
      </c>
      <c r="E87" s="1" t="s">
        <v>583</v>
      </c>
      <c r="F87" s="1" t="s">
        <v>584</v>
      </c>
    </row>
    <row r="88" spans="1:6" x14ac:dyDescent="0.25">
      <c r="A88" s="1" t="s">
        <v>585</v>
      </c>
      <c r="B88" s="1" t="s">
        <v>323</v>
      </c>
      <c r="C88" s="1" t="s">
        <v>319</v>
      </c>
      <c r="D88" s="1" t="s">
        <v>582</v>
      </c>
      <c r="E88" s="1" t="s">
        <v>586</v>
      </c>
      <c r="F88" s="1" t="s">
        <v>587</v>
      </c>
    </row>
    <row r="89" spans="1:6" x14ac:dyDescent="0.25">
      <c r="A89" s="1" t="s">
        <v>588</v>
      </c>
      <c r="B89" s="1" t="s">
        <v>323</v>
      </c>
      <c r="C89" s="1" t="s">
        <v>319</v>
      </c>
      <c r="D89" s="1" t="s">
        <v>582</v>
      </c>
      <c r="E89" s="1" t="s">
        <v>589</v>
      </c>
      <c r="F89" s="1" t="s">
        <v>590</v>
      </c>
    </row>
    <row r="90" spans="1:6" x14ac:dyDescent="0.25">
      <c r="A90" s="1" t="s">
        <v>591</v>
      </c>
      <c r="B90" s="1" t="s">
        <v>339</v>
      </c>
      <c r="C90" s="1" t="s">
        <v>319</v>
      </c>
      <c r="D90" s="1" t="s">
        <v>582</v>
      </c>
      <c r="E90" s="1" t="s">
        <v>592</v>
      </c>
      <c r="F90" s="1" t="s">
        <v>593</v>
      </c>
    </row>
    <row r="91" spans="1:6" x14ac:dyDescent="0.25">
      <c r="A91" s="1" t="s">
        <v>594</v>
      </c>
      <c r="B91" s="1" t="s">
        <v>323</v>
      </c>
      <c r="C91" s="1" t="s">
        <v>319</v>
      </c>
      <c r="D91" s="1" t="s">
        <v>582</v>
      </c>
      <c r="E91" s="1" t="s">
        <v>595</v>
      </c>
      <c r="F91" s="1" t="s">
        <v>596</v>
      </c>
    </row>
    <row r="92" spans="1:6" x14ac:dyDescent="0.25">
      <c r="A92" s="1" t="s">
        <v>597</v>
      </c>
      <c r="B92" s="1" t="s">
        <v>323</v>
      </c>
      <c r="C92" s="1" t="s">
        <v>319</v>
      </c>
      <c r="D92" s="1" t="s">
        <v>582</v>
      </c>
      <c r="E92" s="1" t="s">
        <v>598</v>
      </c>
      <c r="F92" s="1" t="s">
        <v>599</v>
      </c>
    </row>
    <row r="93" spans="1:6" x14ac:dyDescent="0.25">
      <c r="A93" s="1" t="s">
        <v>600</v>
      </c>
      <c r="B93" s="1" t="s">
        <v>323</v>
      </c>
      <c r="C93" s="1" t="s">
        <v>319</v>
      </c>
      <c r="D93" s="1" t="s">
        <v>582</v>
      </c>
      <c r="E93" s="1" t="s">
        <v>601</v>
      </c>
      <c r="F93" s="1" t="s">
        <v>602</v>
      </c>
    </row>
    <row r="94" spans="1:6" x14ac:dyDescent="0.25">
      <c r="A94" s="1" t="s">
        <v>603</v>
      </c>
      <c r="B94" s="1" t="s">
        <v>323</v>
      </c>
      <c r="C94" s="1" t="s">
        <v>319</v>
      </c>
      <c r="D94" s="1" t="s">
        <v>582</v>
      </c>
      <c r="E94" s="1" t="s">
        <v>604</v>
      </c>
      <c r="F94" s="1" t="s">
        <v>605</v>
      </c>
    </row>
    <row r="95" spans="1:6" x14ac:dyDescent="0.25">
      <c r="A95" s="1" t="s">
        <v>606</v>
      </c>
      <c r="B95" s="1" t="s">
        <v>323</v>
      </c>
      <c r="C95" s="1" t="s">
        <v>319</v>
      </c>
      <c r="D95" s="1" t="s">
        <v>582</v>
      </c>
      <c r="E95" s="1" t="s">
        <v>607</v>
      </c>
      <c r="F95" s="1" t="s">
        <v>608</v>
      </c>
    </row>
    <row r="96" spans="1:6" x14ac:dyDescent="0.25">
      <c r="A96" s="1" t="s">
        <v>609</v>
      </c>
      <c r="B96" s="1" t="s">
        <v>610</v>
      </c>
      <c r="C96" s="1" t="s">
        <v>319</v>
      </c>
      <c r="D96" s="1" t="s">
        <v>611</v>
      </c>
      <c r="E96" s="1" t="s">
        <v>612</v>
      </c>
      <c r="F96" s="1" t="s">
        <v>613</v>
      </c>
    </row>
    <row r="97" spans="1:6" x14ac:dyDescent="0.25">
      <c r="A97" s="1" t="s">
        <v>614</v>
      </c>
      <c r="B97" s="1" t="s">
        <v>610</v>
      </c>
      <c r="C97" s="1" t="s">
        <v>319</v>
      </c>
      <c r="D97" s="1" t="s">
        <v>611</v>
      </c>
      <c r="E97" s="1" t="s">
        <v>615</v>
      </c>
      <c r="F97" s="1" t="s">
        <v>616</v>
      </c>
    </row>
    <row r="98" spans="1:6" x14ac:dyDescent="0.25">
      <c r="A98" s="1" t="s">
        <v>617</v>
      </c>
      <c r="B98" s="1" t="s">
        <v>610</v>
      </c>
      <c r="C98" s="1" t="s">
        <v>319</v>
      </c>
      <c r="D98" s="1" t="s">
        <v>611</v>
      </c>
      <c r="E98" s="1" t="s">
        <v>618</v>
      </c>
      <c r="F98" s="1" t="s">
        <v>619</v>
      </c>
    </row>
    <row r="99" spans="1:6" x14ac:dyDescent="0.25">
      <c r="A99" s="1" t="s">
        <v>620</v>
      </c>
      <c r="B99" s="1" t="s">
        <v>610</v>
      </c>
      <c r="C99" s="1" t="s">
        <v>319</v>
      </c>
      <c r="D99" s="1" t="s">
        <v>611</v>
      </c>
      <c r="E99" s="1" t="s">
        <v>621</v>
      </c>
      <c r="F99" s="1" t="s">
        <v>622</v>
      </c>
    </row>
    <row r="100" spans="1:6" x14ac:dyDescent="0.25">
      <c r="A100" s="1" t="s">
        <v>623</v>
      </c>
      <c r="B100" s="1" t="s">
        <v>610</v>
      </c>
      <c r="C100" s="1" t="s">
        <v>319</v>
      </c>
      <c r="D100" s="1" t="s">
        <v>611</v>
      </c>
      <c r="E100" s="1" t="s">
        <v>624</v>
      </c>
      <c r="F100" s="1" t="s">
        <v>625</v>
      </c>
    </row>
    <row r="101" spans="1:6" x14ac:dyDescent="0.25">
      <c r="A101" s="1" t="s">
        <v>626</v>
      </c>
      <c r="B101" s="1" t="s">
        <v>610</v>
      </c>
      <c r="C101" s="1" t="s">
        <v>319</v>
      </c>
      <c r="D101" s="1" t="s">
        <v>611</v>
      </c>
      <c r="E101" s="1" t="s">
        <v>627</v>
      </c>
      <c r="F101" s="1" t="s">
        <v>628</v>
      </c>
    </row>
    <row r="102" spans="1:6" x14ac:dyDescent="0.25">
      <c r="A102" s="1" t="s">
        <v>629</v>
      </c>
      <c r="B102" s="1" t="s">
        <v>610</v>
      </c>
      <c r="C102" s="1" t="s">
        <v>319</v>
      </c>
      <c r="D102" s="1" t="s">
        <v>611</v>
      </c>
      <c r="E102" s="1" t="s">
        <v>630</v>
      </c>
      <c r="F102" s="1" t="s">
        <v>631</v>
      </c>
    </row>
    <row r="103" spans="1:6" x14ac:dyDescent="0.25">
      <c r="A103" s="1" t="s">
        <v>632</v>
      </c>
      <c r="B103" s="1" t="s">
        <v>412</v>
      </c>
      <c r="C103" s="1" t="s">
        <v>319</v>
      </c>
      <c r="D103" s="1" t="s">
        <v>420</v>
      </c>
      <c r="E103" s="1" t="s">
        <v>633</v>
      </c>
      <c r="F103" s="1" t="s">
        <v>634</v>
      </c>
    </row>
    <row r="104" spans="1:6" x14ac:dyDescent="0.25">
      <c r="A104" s="1" t="s">
        <v>635</v>
      </c>
      <c r="B104" s="1" t="s">
        <v>412</v>
      </c>
      <c r="C104" s="1" t="s">
        <v>319</v>
      </c>
      <c r="D104" s="1" t="s">
        <v>420</v>
      </c>
      <c r="E104" s="1" t="s">
        <v>636</v>
      </c>
      <c r="F104" s="1" t="s">
        <v>637</v>
      </c>
    </row>
    <row r="105" spans="1:6" x14ac:dyDescent="0.25">
      <c r="A105" s="1" t="s">
        <v>638</v>
      </c>
      <c r="B105" s="1" t="s">
        <v>412</v>
      </c>
      <c r="C105" s="1" t="s">
        <v>319</v>
      </c>
      <c r="D105" s="1" t="s">
        <v>420</v>
      </c>
      <c r="E105" s="1" t="s">
        <v>639</v>
      </c>
      <c r="F105" s="1" t="s">
        <v>640</v>
      </c>
    </row>
    <row r="106" spans="1:6" x14ac:dyDescent="0.25">
      <c r="A106" s="1" t="s">
        <v>641</v>
      </c>
      <c r="B106" s="1" t="s">
        <v>412</v>
      </c>
      <c r="C106" s="1" t="s">
        <v>319</v>
      </c>
      <c r="D106" s="1" t="s">
        <v>420</v>
      </c>
      <c r="E106" s="1" t="s">
        <v>642</v>
      </c>
      <c r="F106" s="1" t="s">
        <v>643</v>
      </c>
    </row>
    <row r="107" spans="1:6" x14ac:dyDescent="0.25">
      <c r="A107" s="1" t="s">
        <v>644</v>
      </c>
      <c r="B107" s="1" t="s">
        <v>412</v>
      </c>
      <c r="C107" s="1" t="s">
        <v>319</v>
      </c>
      <c r="D107" s="1" t="s">
        <v>420</v>
      </c>
      <c r="E107" s="1" t="s">
        <v>645</v>
      </c>
      <c r="F107" s="1" t="s">
        <v>646</v>
      </c>
    </row>
    <row r="108" spans="1:6" x14ac:dyDescent="0.25">
      <c r="A108" s="1" t="s">
        <v>647</v>
      </c>
      <c r="B108" s="1" t="s">
        <v>412</v>
      </c>
      <c r="C108" s="1" t="s">
        <v>319</v>
      </c>
      <c r="D108" s="1" t="s">
        <v>420</v>
      </c>
      <c r="E108" s="1" t="s">
        <v>648</v>
      </c>
      <c r="F108" s="1" t="s">
        <v>649</v>
      </c>
    </row>
    <row r="109" spans="1:6" x14ac:dyDescent="0.25">
      <c r="A109" s="1" t="s">
        <v>650</v>
      </c>
      <c r="B109" s="1" t="s">
        <v>412</v>
      </c>
      <c r="C109" s="1" t="s">
        <v>319</v>
      </c>
      <c r="D109" s="1" t="s">
        <v>420</v>
      </c>
      <c r="E109" s="1" t="s">
        <v>651</v>
      </c>
      <c r="F109" s="1" t="s">
        <v>652</v>
      </c>
    </row>
    <row r="110" spans="1:6" x14ac:dyDescent="0.25">
      <c r="A110" s="1" t="s">
        <v>653</v>
      </c>
      <c r="B110" s="1" t="s">
        <v>412</v>
      </c>
      <c r="C110" s="1" t="s">
        <v>319</v>
      </c>
      <c r="D110" s="1" t="s">
        <v>420</v>
      </c>
      <c r="E110" s="1" t="s">
        <v>654</v>
      </c>
      <c r="F110" s="1" t="s">
        <v>655</v>
      </c>
    </row>
    <row r="111" spans="1:6" x14ac:dyDescent="0.25">
      <c r="A111" s="1" t="s">
        <v>656</v>
      </c>
      <c r="B111" s="1" t="s">
        <v>412</v>
      </c>
      <c r="C111" s="1" t="s">
        <v>319</v>
      </c>
      <c r="D111" s="1" t="s">
        <v>420</v>
      </c>
      <c r="E111" s="1" t="s">
        <v>657</v>
      </c>
      <c r="F111" s="1" t="s">
        <v>658</v>
      </c>
    </row>
    <row r="112" spans="1:6" x14ac:dyDescent="0.25">
      <c r="A112" s="1" t="s">
        <v>659</v>
      </c>
      <c r="B112" s="1" t="s">
        <v>412</v>
      </c>
      <c r="C112" s="1" t="s">
        <v>319</v>
      </c>
      <c r="D112" s="1" t="s">
        <v>420</v>
      </c>
      <c r="E112" s="1" t="s">
        <v>660</v>
      </c>
      <c r="F112" s="1" t="s">
        <v>661</v>
      </c>
    </row>
    <row r="113" spans="1:6" x14ac:dyDescent="0.25">
      <c r="A113" s="1" t="s">
        <v>662</v>
      </c>
      <c r="B113" s="1" t="s">
        <v>412</v>
      </c>
      <c r="C113" s="1" t="s">
        <v>319</v>
      </c>
      <c r="D113" s="1" t="s">
        <v>420</v>
      </c>
      <c r="E113" s="1" t="s">
        <v>663</v>
      </c>
      <c r="F113" s="1" t="s">
        <v>664</v>
      </c>
    </row>
    <row r="114" spans="1:6" x14ac:dyDescent="0.25">
      <c r="A114" s="1" t="s">
        <v>665</v>
      </c>
      <c r="B114" s="1" t="s">
        <v>424</v>
      </c>
      <c r="C114" s="1" t="s">
        <v>319</v>
      </c>
      <c r="D114" s="1" t="s">
        <v>420</v>
      </c>
      <c r="E114" s="1" t="s">
        <v>666</v>
      </c>
      <c r="F114" s="1" t="s">
        <v>667</v>
      </c>
    </row>
    <row r="115" spans="1:6" x14ac:dyDescent="0.25">
      <c r="A115" s="1" t="s">
        <v>668</v>
      </c>
      <c r="B115" s="1" t="s">
        <v>412</v>
      </c>
      <c r="C115" s="1" t="s">
        <v>478</v>
      </c>
      <c r="D115" s="1" t="s">
        <v>420</v>
      </c>
      <c r="E115" s="1" t="s">
        <v>669</v>
      </c>
      <c r="F115" s="1" t="s">
        <v>670</v>
      </c>
    </row>
    <row r="116" spans="1:6" x14ac:dyDescent="0.25">
      <c r="A116" s="1" t="s">
        <v>671</v>
      </c>
      <c r="B116" s="1" t="s">
        <v>412</v>
      </c>
      <c r="C116" s="1" t="s">
        <v>376</v>
      </c>
      <c r="D116" s="1" t="s">
        <v>420</v>
      </c>
      <c r="E116" s="1" t="s">
        <v>672</v>
      </c>
      <c r="F116" s="1" t="s">
        <v>673</v>
      </c>
    </row>
    <row r="117" spans="1:6" x14ac:dyDescent="0.25">
      <c r="A117" s="1" t="s">
        <v>674</v>
      </c>
      <c r="B117" s="1" t="s">
        <v>424</v>
      </c>
      <c r="C117" s="1" t="s">
        <v>319</v>
      </c>
      <c r="D117" s="1" t="s">
        <v>420</v>
      </c>
      <c r="E117" s="1" t="s">
        <v>675</v>
      </c>
      <c r="F117" s="1" t="s">
        <v>676</v>
      </c>
    </row>
    <row r="118" spans="1:6" x14ac:dyDescent="0.25">
      <c r="A118" s="1" t="s">
        <v>677</v>
      </c>
      <c r="B118" s="1" t="s">
        <v>424</v>
      </c>
      <c r="C118" s="1" t="s">
        <v>376</v>
      </c>
      <c r="D118" s="1" t="s">
        <v>420</v>
      </c>
      <c r="E118" s="1" t="s">
        <v>678</v>
      </c>
      <c r="F118" s="1" t="s">
        <v>679</v>
      </c>
    </row>
    <row r="119" spans="1:6" x14ac:dyDescent="0.25">
      <c r="A119" s="1" t="s">
        <v>680</v>
      </c>
      <c r="B119" s="1" t="s">
        <v>424</v>
      </c>
      <c r="C119" s="1" t="s">
        <v>335</v>
      </c>
      <c r="D119" s="1" t="s">
        <v>420</v>
      </c>
      <c r="E119" s="1" t="s">
        <v>681</v>
      </c>
      <c r="F119" s="1" t="s">
        <v>682</v>
      </c>
    </row>
    <row r="120" spans="1:6" x14ac:dyDescent="0.25">
      <c r="A120" s="1" t="s">
        <v>683</v>
      </c>
      <c r="B120" s="1" t="s">
        <v>424</v>
      </c>
      <c r="C120" s="1" t="s">
        <v>319</v>
      </c>
      <c r="D120" s="1" t="s">
        <v>420</v>
      </c>
      <c r="E120" s="1" t="s">
        <v>684</v>
      </c>
      <c r="F120" s="1" t="s">
        <v>685</v>
      </c>
    </row>
    <row r="121" spans="1:6" x14ac:dyDescent="0.25">
      <c r="A121" s="1" t="s">
        <v>686</v>
      </c>
      <c r="B121" s="1" t="s">
        <v>424</v>
      </c>
      <c r="C121" s="1" t="s">
        <v>319</v>
      </c>
      <c r="D121" s="1" t="s">
        <v>420</v>
      </c>
      <c r="E121" s="1" t="s">
        <v>687</v>
      </c>
      <c r="F121" s="1" t="s">
        <v>688</v>
      </c>
    </row>
    <row r="122" spans="1:6" x14ac:dyDescent="0.25">
      <c r="A122" s="1" t="s">
        <v>689</v>
      </c>
      <c r="B122" s="1" t="s">
        <v>424</v>
      </c>
      <c r="C122" s="1" t="s">
        <v>319</v>
      </c>
      <c r="D122" s="1" t="s">
        <v>420</v>
      </c>
      <c r="E122" s="1" t="s">
        <v>690</v>
      </c>
      <c r="F122" s="1" t="s">
        <v>691</v>
      </c>
    </row>
    <row r="123" spans="1:6" x14ac:dyDescent="0.25">
      <c r="A123" s="1" t="s">
        <v>692</v>
      </c>
      <c r="B123" s="1" t="s">
        <v>424</v>
      </c>
      <c r="C123" s="1" t="s">
        <v>319</v>
      </c>
      <c r="D123" s="1" t="s">
        <v>420</v>
      </c>
      <c r="E123" s="1" t="s">
        <v>693</v>
      </c>
      <c r="F123" s="1" t="s">
        <v>694</v>
      </c>
    </row>
    <row r="124" spans="1:6" x14ac:dyDescent="0.25">
      <c r="A124" s="1" t="s">
        <v>695</v>
      </c>
      <c r="B124" s="1" t="s">
        <v>424</v>
      </c>
      <c r="C124" s="1" t="s">
        <v>335</v>
      </c>
      <c r="D124" s="1" t="s">
        <v>420</v>
      </c>
      <c r="E124" s="1" t="s">
        <v>696</v>
      </c>
      <c r="F124" s="1" t="s">
        <v>697</v>
      </c>
    </row>
    <row r="125" spans="1:6" x14ac:dyDescent="0.25">
      <c r="A125" s="1" t="s">
        <v>698</v>
      </c>
      <c r="B125" s="1" t="s">
        <v>424</v>
      </c>
      <c r="C125" s="1" t="s">
        <v>319</v>
      </c>
      <c r="D125" s="1" t="s">
        <v>420</v>
      </c>
      <c r="E125" s="1" t="s">
        <v>699</v>
      </c>
      <c r="F125" s="1" t="s">
        <v>700</v>
      </c>
    </row>
    <row r="126" spans="1:6" x14ac:dyDescent="0.25">
      <c r="A126" s="1" t="s">
        <v>701</v>
      </c>
      <c r="B126" s="1" t="s">
        <v>424</v>
      </c>
      <c r="C126" s="1" t="s">
        <v>319</v>
      </c>
      <c r="D126" s="1" t="s">
        <v>420</v>
      </c>
      <c r="E126" s="1" t="s">
        <v>702</v>
      </c>
      <c r="F126" s="1" t="s">
        <v>703</v>
      </c>
    </row>
    <row r="127" spans="1:6" x14ac:dyDescent="0.25">
      <c r="A127" s="1" t="s">
        <v>704</v>
      </c>
      <c r="B127" s="1" t="s">
        <v>424</v>
      </c>
      <c r="C127" s="1" t="s">
        <v>319</v>
      </c>
      <c r="D127" s="1" t="s">
        <v>420</v>
      </c>
      <c r="E127" s="1" t="s">
        <v>705</v>
      </c>
      <c r="F127" s="1" t="s">
        <v>706</v>
      </c>
    </row>
    <row r="128" spans="1:6" x14ac:dyDescent="0.25">
      <c r="A128" s="1" t="s">
        <v>707</v>
      </c>
      <c r="B128" s="1" t="s">
        <v>424</v>
      </c>
      <c r="C128" s="1" t="s">
        <v>350</v>
      </c>
      <c r="D128" s="1" t="s">
        <v>420</v>
      </c>
      <c r="E128" s="1" t="s">
        <v>708</v>
      </c>
      <c r="F128" s="1" t="s">
        <v>709</v>
      </c>
    </row>
    <row r="129" spans="1:6" x14ac:dyDescent="0.25">
      <c r="A129" s="1" t="s">
        <v>710</v>
      </c>
      <c r="B129" s="1" t="s">
        <v>424</v>
      </c>
      <c r="C129" s="1" t="s">
        <v>335</v>
      </c>
      <c r="D129" s="1" t="s">
        <v>420</v>
      </c>
      <c r="E129" s="1" t="s">
        <v>711</v>
      </c>
      <c r="F129" s="1" t="s">
        <v>712</v>
      </c>
    </row>
    <row r="130" spans="1:6" x14ac:dyDescent="0.25">
      <c r="A130" s="1" t="s">
        <v>713</v>
      </c>
      <c r="B130" s="1" t="s">
        <v>409</v>
      </c>
      <c r="C130" s="1" t="s">
        <v>335</v>
      </c>
      <c r="D130" s="1" t="s">
        <v>714</v>
      </c>
      <c r="E130" s="1" t="s">
        <v>715</v>
      </c>
      <c r="F130" s="1" t="s">
        <v>716</v>
      </c>
    </row>
    <row r="131" spans="1:6" x14ac:dyDescent="0.25">
      <c r="A131" s="1" t="s">
        <v>717</v>
      </c>
      <c r="B131" s="1" t="s">
        <v>610</v>
      </c>
      <c r="C131" s="1" t="s">
        <v>319</v>
      </c>
      <c r="D131" s="1" t="s">
        <v>718</v>
      </c>
      <c r="E131" s="1" t="s">
        <v>719</v>
      </c>
      <c r="F131" s="1" t="s">
        <v>720</v>
      </c>
    </row>
    <row r="132" spans="1:6" x14ac:dyDescent="0.25">
      <c r="A132" s="1" t="s">
        <v>721</v>
      </c>
      <c r="B132" s="1" t="s">
        <v>610</v>
      </c>
      <c r="C132" s="1" t="s">
        <v>319</v>
      </c>
      <c r="D132" s="1" t="s">
        <v>718</v>
      </c>
      <c r="E132" s="1" t="s">
        <v>722</v>
      </c>
      <c r="F132" s="1" t="s">
        <v>723</v>
      </c>
    </row>
    <row r="133" spans="1:6" x14ac:dyDescent="0.25">
      <c r="A133" s="1" t="s">
        <v>724</v>
      </c>
      <c r="B133" s="1" t="s">
        <v>610</v>
      </c>
      <c r="C133" s="1" t="s">
        <v>319</v>
      </c>
      <c r="D133" s="1" t="s">
        <v>718</v>
      </c>
      <c r="E133" s="1" t="s">
        <v>725</v>
      </c>
      <c r="F133" s="1" t="s">
        <v>726</v>
      </c>
    </row>
    <row r="134" spans="1:6" x14ac:dyDescent="0.25">
      <c r="A134" s="1" t="s">
        <v>727</v>
      </c>
      <c r="B134" s="1" t="s">
        <v>610</v>
      </c>
      <c r="C134" s="1" t="s">
        <v>319</v>
      </c>
      <c r="D134" s="1" t="s">
        <v>718</v>
      </c>
      <c r="E134" s="1" t="s">
        <v>728</v>
      </c>
      <c r="F134" s="1" t="s">
        <v>729</v>
      </c>
    </row>
    <row r="135" spans="1:6" x14ac:dyDescent="0.25">
      <c r="A135" s="1" t="s">
        <v>730</v>
      </c>
      <c r="B135" s="1" t="s">
        <v>610</v>
      </c>
      <c r="C135" s="1" t="s">
        <v>335</v>
      </c>
      <c r="D135" s="1" t="s">
        <v>718</v>
      </c>
      <c r="E135" s="1" t="s">
        <v>321</v>
      </c>
      <c r="F135" s="1">
        <v>0</v>
      </c>
    </row>
    <row r="136" spans="1:6" x14ac:dyDescent="0.25">
      <c r="A136" s="1" t="s">
        <v>731</v>
      </c>
      <c r="B136" s="1" t="s">
        <v>339</v>
      </c>
      <c r="C136" s="1" t="s">
        <v>335</v>
      </c>
      <c r="D136" s="1" t="s">
        <v>718</v>
      </c>
      <c r="E136" s="1" t="s">
        <v>732</v>
      </c>
      <c r="F136" s="1" t="s">
        <v>733</v>
      </c>
    </row>
    <row r="137" spans="1:6" x14ac:dyDescent="0.25">
      <c r="A137" s="1" t="s">
        <v>734</v>
      </c>
      <c r="B137" s="1" t="s">
        <v>610</v>
      </c>
      <c r="C137" s="1" t="s">
        <v>319</v>
      </c>
      <c r="D137" s="1" t="s">
        <v>718</v>
      </c>
      <c r="E137" s="1" t="s">
        <v>735</v>
      </c>
      <c r="F137" s="1" t="s">
        <v>736</v>
      </c>
    </row>
    <row r="138" spans="1:6" x14ac:dyDescent="0.25">
      <c r="A138" s="1" t="s">
        <v>737</v>
      </c>
      <c r="B138" s="1" t="s">
        <v>610</v>
      </c>
      <c r="C138" s="1" t="s">
        <v>319</v>
      </c>
      <c r="D138" s="1" t="s">
        <v>718</v>
      </c>
      <c r="E138" s="1" t="s">
        <v>738</v>
      </c>
      <c r="F138" s="1" t="s">
        <v>739</v>
      </c>
    </row>
    <row r="139" spans="1:6" x14ac:dyDescent="0.25">
      <c r="A139" s="1" t="s">
        <v>740</v>
      </c>
      <c r="B139" s="1" t="s">
        <v>339</v>
      </c>
      <c r="C139" s="1" t="s">
        <v>319</v>
      </c>
      <c r="D139" s="1" t="s">
        <v>718</v>
      </c>
      <c r="E139" s="1" t="s">
        <v>741</v>
      </c>
      <c r="F139" s="1" t="s">
        <v>742</v>
      </c>
    </row>
    <row r="140" spans="1:6" x14ac:dyDescent="0.25">
      <c r="A140" s="1" t="s">
        <v>743</v>
      </c>
      <c r="B140" s="1" t="s">
        <v>339</v>
      </c>
      <c r="C140" s="1" t="s">
        <v>319</v>
      </c>
      <c r="D140" s="1" t="s">
        <v>718</v>
      </c>
      <c r="E140" s="1" t="s">
        <v>744</v>
      </c>
      <c r="F140" s="1" t="s">
        <v>745</v>
      </c>
    </row>
    <row r="141" spans="1:6" x14ac:dyDescent="0.25">
      <c r="A141" s="1" t="s">
        <v>746</v>
      </c>
      <c r="B141" s="1" t="s">
        <v>610</v>
      </c>
      <c r="C141" s="1" t="s">
        <v>319</v>
      </c>
      <c r="D141" s="1" t="s">
        <v>718</v>
      </c>
      <c r="E141" s="1" t="s">
        <v>747</v>
      </c>
      <c r="F141" s="1" t="s">
        <v>748</v>
      </c>
    </row>
    <row r="142" spans="1:6" x14ac:dyDescent="0.25">
      <c r="A142" s="1" t="s">
        <v>749</v>
      </c>
      <c r="B142" s="1" t="s">
        <v>339</v>
      </c>
      <c r="C142" s="1" t="s">
        <v>319</v>
      </c>
      <c r="D142" s="1" t="s">
        <v>718</v>
      </c>
      <c r="E142" s="1" t="s">
        <v>750</v>
      </c>
      <c r="F142" s="1" t="s">
        <v>751</v>
      </c>
    </row>
    <row r="143" spans="1:6" x14ac:dyDescent="0.25">
      <c r="A143" s="1" t="s">
        <v>752</v>
      </c>
      <c r="B143" s="1" t="s">
        <v>610</v>
      </c>
      <c r="C143" s="1" t="s">
        <v>350</v>
      </c>
      <c r="D143" s="1" t="s">
        <v>718</v>
      </c>
      <c r="E143" s="1" t="s">
        <v>753</v>
      </c>
      <c r="F143" s="1" t="s">
        <v>754</v>
      </c>
    </row>
    <row r="144" spans="1:6" x14ac:dyDescent="0.25">
      <c r="A144" s="1" t="s">
        <v>755</v>
      </c>
      <c r="B144" s="1" t="s">
        <v>610</v>
      </c>
      <c r="C144" s="1" t="s">
        <v>319</v>
      </c>
      <c r="D144" s="1" t="s">
        <v>718</v>
      </c>
      <c r="E144" s="1" t="s">
        <v>756</v>
      </c>
      <c r="F144" s="1" t="s">
        <v>757</v>
      </c>
    </row>
    <row r="145" spans="1:6" x14ac:dyDescent="0.25">
      <c r="A145" s="1" t="s">
        <v>758</v>
      </c>
      <c r="B145" s="1" t="s">
        <v>759</v>
      </c>
      <c r="C145" s="1" t="s">
        <v>350</v>
      </c>
      <c r="D145" s="1" t="s">
        <v>760</v>
      </c>
      <c r="E145" s="1" t="s">
        <v>762</v>
      </c>
      <c r="F145" s="1" t="s">
        <v>763</v>
      </c>
    </row>
    <row r="146" spans="1:6" x14ac:dyDescent="0.25">
      <c r="A146" s="1" t="s">
        <v>764</v>
      </c>
      <c r="B146" s="1" t="s">
        <v>759</v>
      </c>
      <c r="C146" s="1" t="s">
        <v>319</v>
      </c>
      <c r="D146" s="1" t="s">
        <v>760</v>
      </c>
      <c r="E146" s="1" t="s">
        <v>765</v>
      </c>
      <c r="F146" s="1" t="s">
        <v>766</v>
      </c>
    </row>
    <row r="147" spans="1:6" x14ac:dyDescent="0.25">
      <c r="A147" s="1" t="s">
        <v>767</v>
      </c>
      <c r="B147" s="1" t="s">
        <v>759</v>
      </c>
      <c r="C147" s="1" t="s">
        <v>350</v>
      </c>
      <c r="D147" s="1" t="s">
        <v>760</v>
      </c>
      <c r="E147" s="1" t="s">
        <v>768</v>
      </c>
      <c r="F147" s="1" t="s">
        <v>769</v>
      </c>
    </row>
    <row r="148" spans="1:6" x14ac:dyDescent="0.25">
      <c r="A148" s="1" t="s">
        <v>770</v>
      </c>
      <c r="B148" s="1" t="s">
        <v>759</v>
      </c>
      <c r="C148" s="1" t="s">
        <v>319</v>
      </c>
      <c r="D148" s="1" t="s">
        <v>760</v>
      </c>
      <c r="E148" s="1" t="s">
        <v>771</v>
      </c>
      <c r="F148" s="1" t="s">
        <v>772</v>
      </c>
    </row>
    <row r="149" spans="1:6" x14ac:dyDescent="0.25">
      <c r="A149" s="1" t="s">
        <v>773</v>
      </c>
      <c r="B149" s="1" t="s">
        <v>759</v>
      </c>
      <c r="C149" s="1" t="s">
        <v>319</v>
      </c>
      <c r="D149" s="1" t="s">
        <v>760</v>
      </c>
      <c r="E149" s="1" t="s">
        <v>774</v>
      </c>
      <c r="F149" s="1" t="s">
        <v>775</v>
      </c>
    </row>
    <row r="150" spans="1:6" x14ac:dyDescent="0.25">
      <c r="A150" s="1" t="s">
        <v>776</v>
      </c>
      <c r="B150" s="1" t="s">
        <v>759</v>
      </c>
      <c r="C150" s="1" t="s">
        <v>319</v>
      </c>
      <c r="D150" s="1" t="s">
        <v>760</v>
      </c>
      <c r="E150" s="1" t="s">
        <v>777</v>
      </c>
      <c r="F150" s="1" t="s">
        <v>778</v>
      </c>
    </row>
    <row r="151" spans="1:6" x14ac:dyDescent="0.25">
      <c r="A151" s="1" t="s">
        <v>759</v>
      </c>
      <c r="B151" s="1" t="s">
        <v>761</v>
      </c>
      <c r="C151" s="1" t="s">
        <v>319</v>
      </c>
      <c r="D151" s="1" t="s">
        <v>760</v>
      </c>
      <c r="E151" s="1" t="s">
        <v>779</v>
      </c>
      <c r="F151" s="1" t="s">
        <v>780</v>
      </c>
    </row>
    <row r="152" spans="1:6" x14ac:dyDescent="0.25">
      <c r="A152" s="1" t="s">
        <v>781</v>
      </c>
      <c r="B152" s="1" t="s">
        <v>759</v>
      </c>
      <c r="C152" s="1" t="s">
        <v>319</v>
      </c>
      <c r="D152" s="1" t="s">
        <v>760</v>
      </c>
      <c r="E152" s="1" t="s">
        <v>782</v>
      </c>
      <c r="F152" s="1" t="s">
        <v>783</v>
      </c>
    </row>
    <row r="153" spans="1:6" x14ac:dyDescent="0.25">
      <c r="A153" s="1" t="s">
        <v>784</v>
      </c>
      <c r="B153" s="1" t="s">
        <v>759</v>
      </c>
      <c r="C153" s="1" t="s">
        <v>319</v>
      </c>
      <c r="D153" s="1" t="s">
        <v>760</v>
      </c>
      <c r="E153" s="1" t="s">
        <v>785</v>
      </c>
      <c r="F153" s="1" t="s">
        <v>786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CAPA</vt:lpstr>
      <vt:lpstr>SLA</vt:lpstr>
      <vt:lpstr>BACKLOG</vt:lpstr>
      <vt:lpstr>CASOS</vt:lpstr>
      <vt:lpstr>MAPA OPERACIONAL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2017-03-01T00:47:08Z</dcterms:created>
  <dcterms:modified xsi:type="dcterms:W3CDTF">2017-12-11T00:49:33Z</dcterms:modified>
</cp:coreProperties>
</file>