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S:\CONTA BANDEIRAS\2017\03 - MARÇO\Site\"/>
    </mc:Choice>
  </mc:AlternateContent>
  <bookViews>
    <workbookView xWindow="0" yWindow="1065" windowWidth="20730" windowHeight="8775" tabRatio="921" firstSheet="7" activeTab="12"/>
  </bookViews>
  <sheets>
    <sheet name="MAC (R$)" sheetId="13" r:id="rId1"/>
    <sheet name="MAC (MWh)" sheetId="11" r:id="rId2"/>
    <sheet name="Exposição" sheetId="1" r:id="rId3"/>
    <sheet name="CCEAR_D" sheetId="4" r:id="rId4"/>
    <sheet name="RH Cotas" sheetId="10" r:id="rId5"/>
    <sheet name="RH Itaipu" sheetId="14" r:id="rId6"/>
    <sheet name="Efeito RH do ACR" sheetId="26" r:id="rId7"/>
    <sheet name="ESS_SE" sheetId="15" r:id="rId8"/>
    <sheet name="ESS ME" sheetId="17" r:id="rId9"/>
    <sheet name="CONER" sheetId="16" r:id="rId10"/>
    <sheet name="CustoLiqNaoCobertoMesN-1" sheetId="22" r:id="rId11"/>
    <sheet name="Prêmio" sheetId="25" r:id="rId12"/>
    <sheet name="Total" sheetId="5" r:id="rId13"/>
    <sheet name="Despacho - Anexo I" sheetId="20" r:id="rId14"/>
    <sheet name="Despacho - Anexo II" sheetId="6" r:id="rId15"/>
    <sheet name="CT Exposição e CT CCEAR-D" sheetId="21" r:id="rId16"/>
    <sheet name="Saída Banco de Dados" sheetId="23" r:id="rId17"/>
  </sheets>
  <definedNames>
    <definedName name="_AMO_ContentDefinition_627987489" hidden="1">"'Partitions:14'"</definedName>
    <definedName name="_AMO_ContentDefinition_627987489.0" localSheetId="11" hidden="1">"'&lt;ContentDefinition name=""CCEAR-DISP CT"" rsid=""627987489"" type=""StoredProcess"" format=""ReportXml"" imgfmt=""ActiveX"" created=""02/25/2015 17:35:16"" modifed=""03/01/2016 07:43:51"" user=""ANEEL"" apply=""True"" css=""C:\Program Files (x86)\SASH'"</definedName>
    <definedName name="_AMO_ContentDefinition_627987489.0" hidden="1">"'&lt;ContentDefinition name=""CCEAR-DISP CT"" rsid=""627987489"" type=""StoredProcess"" format=""ReportXml"" imgfmt=""ActiveX"" created=""02/25/2015 17:35:16"" modifed=""05/04/2017 09:41:47"" user=""Fabiano Costa Camilo (SCG)"" apply=""True"" css=""C:\Pro'"</definedName>
    <definedName name="_AMO_ContentDefinition_627987489.1" localSheetId="11" hidden="1">"'ome\x86\SASAddinforMicrosoftOffice\6.1\Styles\AMODefault.css"" range=""CCEAR_DISP_CT"" auto=""False"" xTime=""00:00:02.9508555"" rTime=""00:00:00.4901421"" bgnew=""False"" nFmt=""False"" grphSet=""True"" imgY=""0"" imgX=""0"" redirect=""False""&gt;_x000D_
  &lt;f'"</definedName>
    <definedName name="_AMO_ContentDefinition_627987489.1" hidden="1">"'gram Files (x86)\SASHome\x86\SASAddinforMicrosoftOffice\7.1\Styles\AMODefault.css"" range=""CCEAR_DISP_CT"" auto=""False"" xTime=""00:00:08.3671748"" rTime=""00:00:02.3127725"" bgnew=""False"" nFmt=""False"" grphSet=""True"" imgY=""0"" imgX=""0"" re'"</definedName>
    <definedName name="_AMO_ContentDefinition_627987489.10" localSheetId="11" hidden="1">"'playName&amp;gt;CCEAR-DISP CT&amp;lt;/DisplayName&amp;gt;&amp;#xD;&amp;#xA;  &amp;lt;SBIP&amp;gt;/SRE/Consultas/CCEAR-DISP CT&amp;lt;/SBIP&amp;gt;&amp;#xD;&amp;#xA;  &amp;lt;SBIPFull&amp;gt;/SRE/Consultas/CCEAR-DISP CT(StoredProcess)&amp;lt;/SBIPFull&amp;gt;&amp;#xD;&amp;#xA;  &amp;lt;Path&amp;gt;/SRE/Consultas/CCEAR-DISP CT&amp;'"</definedName>
    <definedName name="_AMO_ContentDefinition_627987489.10" hidden="1">"'&amp;gt;&amp;#xD;&amp;#xA;  &amp;lt;DisplayName&amp;gt;CCEAR-DISP CT&amp;lt;/DisplayName&amp;gt;&amp;#xD;&amp;#xA;  &amp;lt;SBIP&amp;gt;/SRE/Consultas/CCEAR-DISP CT&amp;lt;/SBIP&amp;gt;&amp;#xD;&amp;#xA;  &amp;lt;SBIPFull&amp;gt;/SRE/Consultas/CCEAR-DISP CT(StoredProcess)&amp;lt;/SBIPFull&amp;gt;&amp;#xD;&amp;#xA;  &amp;lt;Path&amp;gt;/SRE/C'"</definedName>
    <definedName name="_AMO_ContentDefinition_627987489.11" localSheetId="11" hidden="1">"'lt;/Path&amp;gt;&amp;#xD;&amp;#xA;&amp;lt;/DNA&amp;gt;"" /&gt;_x000D_
  &lt;param n=""ServerName"" v=""SASApp"" /&gt;_x000D_
  &lt;param n=""ClassName"" v=""SAS.OfficeAddin.StoredProcess"" /&gt;_x000D_
  &lt;param n=""XlNative"" v=""False"" /&gt;_x000D_
  &lt;param n=""UnselectedIds"" v="""" /&gt;_x000D_
  &lt;param n=""_ROM_V'"</definedName>
    <definedName name="_AMO_ContentDefinition_627987489.11" hidden="1">"'onsultas/CCEAR-DISP CT&amp;lt;/Path&amp;gt;&amp;#xD;&amp;#xA;&amp;lt;/DNA&amp;gt;"" /&gt;_x000D_
  &lt;param n=""ServerName"" v=""SASApp"" /&gt;_x000D_
  &lt;param n=""ClassName"" v=""SAS.OfficeAddin.StoredProcess"" /&gt;_x000D_
  &lt;param n=""XlNative"" v=""False"" /&gt;_x000D_
  &lt;param n=""UnselectedIds"" v="""" /&gt;'"</definedName>
    <definedName name="_AMO_ContentDefinition_627987489.12" localSheetId="11" hidden="1">"'ersion_"" v=""1.3"" /&gt;_x000D_
  &lt;param n=""_ROM_Application_"" v=""ODS"" /&gt;_x000D_
  &lt;param n=""_ROM_AppVersion_"" v=""9.4"" /&gt;_x000D_
  &lt;param n=""maxReportCols"" v=""8"" /&gt;_x000D_
  &lt;fids n=""main.srx"" v=""0"" /&gt;_x000D_
  &lt;ExcelXMLOptions AdjColWidths=""True"" RowOpt=""Insert'"</definedName>
    <definedName name="_AMO_ContentDefinition_627987489.12" hidden="1">"'_x000D_
  &lt;param n=""_ROM_Version_"" v=""1.3"" /&gt;_x000D_
  &lt;param n=""_ROM_Application_"" v=""ODS"" /&gt;_x000D_
  &lt;param n=""_ROM_AppVersion_"" v=""9.4"" /&gt;_x000D_
  &lt;param n=""maxReportCols"" v=""8"" /&gt;_x000D_
  &lt;fids n=""main.srx"" v=""0"" /&gt;_x000D_
  &lt;ExcelXMLOptions AdjColWidths=""T'"</definedName>
    <definedName name="_AMO_ContentDefinition_627987489.13" localSheetId="11" hidden="1">"'Entire"" ColOpt=""InsertCells"" /&gt;_x000D_
&lt;/ContentDefinition&gt;'"</definedName>
    <definedName name="_AMO_ContentDefinition_627987489.13" hidden="1">"'rue"" RowOpt=""InsertEntire"" ColOpt=""InsertCells"" /&gt;_x000D_
&lt;/ContentDefinition&gt;'"</definedName>
    <definedName name="_AMO_ContentDefinition_627987489.2" localSheetId="11" hidden="1">"'iles&gt;C:\Users\felipemoraes\Documents\My SAS Files\Add-In for Microsoft Office\_SOA_A57QXCXO.BH000GDY_456242286\main.srx&lt;/files&gt;_x000D_
  &lt;parents /&gt;_x000D_
  &lt;children /&gt;_x000D_
  &lt;param n=""DisplayName"" v=""CCEAR-DISP CT"" /&gt;_x000D_
  &lt;param n=""DisplayType"" v=""Stored P'"</definedName>
    <definedName name="_AMO_ContentDefinition_627987489.2" hidden="1">"'direct=""False""&gt;_x000D_
  &lt;files&gt;C:\Users\fabianocamilo\Documents\My SAS Files\Add-In for Microsoft Office\_SOA_A57QXCXO.BH000GDY_237878459\main.srx&lt;/files&gt;_x000D_
  &lt;parents /&gt;_x000D_
  &lt;children /&gt;_x000D_
  &lt;param n=""DisplayName"" v=""CCEAR-DISP CT"" /&gt;_x000D_
  &lt;param n=""Dis'"</definedName>
    <definedName name="_AMO_ContentDefinition_627987489.3" localSheetId="11" hidden="1">"'rocess"" /&gt;_x000D_
  &lt;param n=""RawValues"" v=""True"" /&gt;_x000D_
  &lt;param n=""ForceApplyStyle"" v=""1"" /&gt;_x000D_
  &lt;param n=""AMO_Version"" v=""6.1"" /&gt;_x000D_
  &lt;param n=""Prompts"" v=""&amp;lt;PromptValues obj=&amp;quot;p1&amp;quot; version=&amp;quot;1.0&amp;quot;&amp;gt;&amp;lt;DefinitionReferences'"</definedName>
    <definedName name="_AMO_ContentDefinition_627987489.3" hidden="1">"'playType"" v=""Stored Process"" /&gt;_x000D_
  &lt;param n=""RawValues"" v=""True"" /&gt;_x000D_
  &lt;param n=""ForceApplyStyle"" v=""1"" /&gt;_x000D_
  &lt;param n=""AMO_Version"" v=""7.1"" /&gt;_x000D_
  &lt;param n=""Prompts"" v=""&amp;lt;PromptValues obj=&amp;quot;p1&amp;quot; version=&amp;quot;1.0&amp;quot;&amp;gt;&amp;'"</definedName>
    <definedName name="_AMO_ContentDefinition_627987489.4" localSheetId="11" hidden="1">"'AndValues&amp;gt;&amp;lt;PromptDefinitionReference obj=&amp;quot;p2&amp;quot; promptId=&amp;quot;PromptDef_1424862549560_971362&amp;quot; name=&amp;quot;PeriodoInicial&amp;quot; definitionType=&amp;quot;TextDefinition&amp;quot; selectionType=&amp;quot;Single&amp;quot;&amp;gt;&amp;lt;Value&amp;gt;&amp;lt;String obj'"</definedName>
    <definedName name="_AMO_ContentDefinition_627987489.4" hidden="1">"'lt;DefinitionReferencesAndValues&amp;gt;&amp;lt;PromptDefinitionReference obj=&amp;quot;p2&amp;quot; promptId=&amp;quot;PromptDef_1424862549560_971362&amp;quot; name=&amp;quot;PeriodoInicial&amp;quot; definitionType=&amp;quot;TextDefinition&amp;quot; selectionType=&amp;quot;Single&amp;quot;&amp;gt;&amp;lt;'"</definedName>
    <definedName name="_AMO_ContentDefinition_627987489.5" localSheetId="11" hidden="1">"'=&amp;quot;p3&amp;quot; value=&amp;quot;mdy(1,1,2016)&amp;quot; /&amp;gt;&amp;lt;/Value&amp;gt;&amp;lt;/PromptDefinitionReference&amp;gt;&amp;lt;PromptDefinitionReference obj=&amp;quot;p4&amp;quot; promptId=&amp;quot;PromptDef_1199984374433_925986&amp;quot; name=&amp;quot;_gopt_device&amp;quot; definitionType=&amp;quo'"</definedName>
    <definedName name="_AMO_ContentDefinition_627987489.5" hidden="1">"'Value&amp;gt;&amp;lt;String obj=&amp;quot;p3&amp;quot; value=&amp;quot;mdy(3,1,2017)&amp;quot; /&amp;gt;&amp;lt;/Value&amp;gt;&amp;lt;/PromptDefinitionReference&amp;gt;&amp;lt;PromptDefinitionReference obj=&amp;quot;p4&amp;quot; promptId=&amp;quot;PromptDef_1190834293731_317767&amp;quot; name=&amp;quot;_odsstyle&amp;quot;'"</definedName>
    <definedName name="_AMO_ContentDefinition_627987489.6" localSheetId="11" hidden="1">"'t;SharedTextDefinition&amp;quot; selectionType=&amp;quot;Single&amp;quot;&amp;gt;&amp;lt;Value&amp;gt;&amp;lt;String obj=&amp;quot;p5&amp;quot; value=&amp;quot;  &amp;quot; /&amp;gt;&amp;lt;/Value&amp;gt;&amp;lt;/PromptDefinitionReference&amp;gt;&amp;lt;PromptDefinitionReference obj=&amp;quot;p6&amp;quot; promptId=&amp;quot;Promp'"</definedName>
    <definedName name="_AMO_ContentDefinition_627987489.6" hidden="1">"' definitionType=&amp;quot;SharedTextDefinition&amp;quot; selectionType=&amp;quot;Single&amp;quot;&amp;gt;&amp;lt;Value&amp;gt;&amp;lt;String obj=&amp;quot;p5&amp;quot; value=&amp;quot;Ocean&amp;quot; /&amp;gt;&amp;lt;/Value&amp;gt;&amp;lt;/PromptDefinitionReference&amp;gt;&amp;lt;PromptDefinitionReference obj=&amp;quot;p6&amp;quo'"</definedName>
    <definedName name="_AMO_ContentDefinition_627987489.7" localSheetId="11" hidden="1">"'tDef_1190834293731_317767&amp;quot; name=&amp;quot;_odsstyle&amp;quot; definitionType=&amp;quot;SharedTextDefinition&amp;quot; selectionType=&amp;quot;Single&amp;quot;&amp;gt;&amp;lt;Value&amp;gt;&amp;lt;String obj=&amp;quot;p7&amp;quot; value=&amp;quot;Ocean&amp;quot; /&amp;gt;&amp;lt;/Value&amp;gt;&amp;lt;/PromptDefinitionR'"</definedName>
    <definedName name="_AMO_ContentDefinition_627987489.7" hidden="1">"'t; promptId=&amp;quot;PromptDef_1199984374433_925986&amp;quot; name=&amp;quot;_gopt_device&amp;quot; definitionType=&amp;quot;SharedTextDefinition&amp;quot; selectionType=&amp;quot;Single&amp;quot;&amp;gt;&amp;lt;Value&amp;gt;&amp;lt;String obj=&amp;quot;p7&amp;quot; value=&amp;quot;  &amp;quot; /&amp;gt;&amp;lt;/Value&amp;gt'"</definedName>
    <definedName name="_AMO_ContentDefinition_627987489.8" localSheetId="11" hidden="1">"'eference&amp;gt;&amp;lt;/DefinitionReferencesAndValues&amp;gt;&amp;lt;/PromptValues&amp;gt;"" /&gt;_x000D_
  &lt;param n=""HasPrompts"" v=""True"" /&gt;_x000D_
  &lt;param n=""DNA"" v=""&amp;lt;DNA&amp;gt;&amp;#xD;&amp;#xA;  &amp;lt;Type&amp;gt;StoredProcess&amp;lt;/Type&amp;gt;&amp;#xD;&amp;#xA;  &amp;lt;Name&amp;gt;CCEAR-DISP CT&amp;lt;/Name&amp;g'"</definedName>
    <definedName name="_AMO_ContentDefinition_627987489.8" hidden="1">"';&amp;lt;/PromptDefinitionReference&amp;gt;&amp;lt;/DefinitionReferencesAndValues&amp;gt;&amp;lt;/PromptValues&amp;gt;""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&amp;lt;Type&amp;gt;StoredProcess&amp;lt;/Type&amp;gt;&amp;#xD;&amp;#xA;  &amp;lt;Name&amp;gt;C'"</definedName>
    <definedName name="_AMO_ContentDefinition_627987489.9" localSheetId="11" hidden="1">"'t;&amp;#xD;&amp;#xA;  &amp;lt;Version&amp;gt;1&amp;lt;/Version&amp;gt;&amp;#xD;&amp;#xA;  &amp;lt;Assembly&amp;gt;SAS.EG.SDS.Model&amp;lt;/Assembly&amp;gt;&amp;#xD;&amp;#xA;  &amp;lt;Factory&amp;gt;SAS.EG.SDS.Model.Creator&amp;lt;/Factory&amp;gt;&amp;#xD;&amp;#xA;  &amp;lt;ParentName&amp;gt;Consultas&amp;lt;/ParentName&amp;gt;&amp;#xD;&amp;#xA;  &amp;lt;Dis'"</definedName>
    <definedName name="_AMO_ContentDefinition_627987489.9" hidden="1">"'CEAR-DISP CT&amp;lt;/Name&amp;gt;&amp;#xD;&amp;#xA;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&amp;lt;ParentName&amp;gt;Consultas&amp;lt;/ParentName'"</definedName>
    <definedName name="_AMO_ContentLocation_627987489_ROM_F0.SEC2.Print_1.SEC1.BDY.Data_Set_WORK_CTCCEAR_D" hidden="1">"'Partitions:2'"</definedName>
    <definedName name="_AMO_ContentLocation_627987489_ROM_F0.SEC2.Print_1.SEC1.BDY.Data_Set_WORK_CTCCEAR_D.0" hidden="1">"'&lt;ContentLocation path=""F0.SEC2.Print_1.SEC1.BDY.Data_Set_WORK_CTCCEAR_D"" rsid=""627987489"" tag=""ROM"" fid=""0""&gt;_x000D_
  &lt;param n=""_NumRows"" v=""62"" /&gt;_x000D_
  &lt;param n=""_NumCols"" v=""6"" /&gt;_x000D_
  &lt;param n=""tableSig"" v=""R:R=62:C=6:FCR=2:FCC=1"" /&gt;_x000D_
 '"</definedName>
    <definedName name="_AMO_ContentLocation_627987489_ROM_F0.SEC2.Print_1.SEC1.BDY.Data_Set_WORK_CTCCEAR_D.1" hidden="1">"' &lt;param n=""leftMargin"" v=""0"" /&gt;_x000D_
&lt;/ContentLocation&gt;'"</definedName>
    <definedName name="_AMO_ContentLocation_627987489_ROM_F0.SEC2.Print_1.SEC1.FTR.TXT1" hidden="1">"'&lt;ContentLocation path=""F0.SEC2.Print_1.SEC1.FTR.TXT1"" rsid=""627987489"" tag=""ROM"" fid=""0""&gt;_x000D_
  &lt;param n=""_NumRows"" v=""1"" /&gt;_x000D_
  &lt;param n=""_NumCols"" v=""9"" /&gt;_x000D_
&lt;/ContentLocation&gt;'"</definedName>
    <definedName name="_AMO_ContentLocation_627987489_ROM_F0.SEC2.Print_1.SEC1.HDR.TXT1" hidden="1">"'&lt;ContentLocation path=""F0.SEC2.Print_1.SEC1.HDR.TXT1"" rsid=""627987489"" tag=""ROM"" fid=""0""&gt;_x000D_
  &lt;param n=""_NumRows"" v=""1"" /&gt;_x000D_
  &lt;param n=""_NumCols"" v=""4"" /&gt;_x000D_
&lt;/ContentLocation&gt;'"</definedName>
    <definedName name="_AMO_SingleObject_627987489_ROM_F0.SEC2.Print_1.SEC1.BDY.Data_Set_WORK_CTCCEAR_D" hidden="1">'CT Exposição e CT CCEAR-D'!$B$3:$G$64</definedName>
    <definedName name="_AMO_SingleObject_627987489_ROM_F0.SEC2.Print_1.SEC1.FTR.TXT1" hidden="1">'CT Exposição e CT CCEAR-D'!$B$68:$J$68</definedName>
    <definedName name="_AMO_SingleObject_627987489_ROM_F0.SEC2.Print_1.SEC1.HDR.TXT1" hidden="1">'CT Exposição e CT CCEAR-D'!$B$1:$E$1</definedName>
    <definedName name="_AMO_SingleObject_627987489_ROM_F0.SEC2.Print_2.SEC1.BDY.Data_Set_WORK_CONTRATOST" hidden="1">'CT Exposição e CT CCEAR-D'!$B$72:$J$511</definedName>
    <definedName name="_AMO_SingleObject_627987489_ROM_F0.SEC2.Print_2.SEC1.FTR.TXT1" hidden="1">'CT Exposição e CT CCEAR-D'!$B$513:$J$513</definedName>
    <definedName name="_AMO_SingleObject_627987489_ROM_F0.SEC2.Print_2.SEC1.HDR.TXT1" hidden="1">'CT Exposição e CT CCEAR-D'!$B$70:$J$70</definedName>
    <definedName name="_AMO_UniqueIdentifier" hidden="1">"'b544c5fb-31a0-45b4-b31e-731ab980ae38'"</definedName>
    <definedName name="_AMO_XmlVersion" hidden="1">"'1'"</definedName>
    <definedName name="_xlnm._FilterDatabase" localSheetId="10" hidden="1">'CustoLiqNaoCobertoMesN-1'!$A$2:$H$104</definedName>
    <definedName name="_xlnm._FilterDatabase" localSheetId="7" hidden="1">ESS_SE!$A$2:$D$51</definedName>
    <definedName name="_xlnm._FilterDatabase" localSheetId="2" hidden="1">Exposição!$A$1:$M$48</definedName>
    <definedName name="_xlnm._FilterDatabase" localSheetId="1" hidden="1">'MAC (MWh)'!$B$3:$C$50</definedName>
    <definedName name="_xlnm._FilterDatabase" localSheetId="0" hidden="1">'MAC (R$)'!$A$3:$B$50</definedName>
    <definedName name="_xlnm._FilterDatabase" localSheetId="4" hidden="1">'RH Cotas'!$A$1:$C$48</definedName>
    <definedName name="_xlnm._FilterDatabase" localSheetId="5" hidden="1">'RH Itaipu'!$A$1:$B$48</definedName>
    <definedName name="_xlnm._FilterDatabase" localSheetId="12" hidden="1">Total!$A$1:$AK$105</definedName>
    <definedName name="_xlnm.Print_Area" localSheetId="2">Exposição!$A$1:$D$51</definedName>
    <definedName name="_xlnm.Print_Area" localSheetId="1">'MAC (MWh)'!$A$2:$C$53</definedName>
    <definedName name="_xlnm.Print_Area" localSheetId="0">'MAC (R$)'!$A$3:$A$54</definedName>
    <definedName name="_xlnm.Print_Area" localSheetId="4">'RH Cotas'!$A$1:$A$52</definedName>
    <definedName name="_xlnm.Print_Area" localSheetId="5">'RH Itaipu'!$A$1:$A$52</definedName>
  </definedNames>
  <calcPr calcId="152511" iterate="1"/>
</workbook>
</file>

<file path=xl/calcChain.xml><?xml version="1.0" encoding="utf-8"?>
<calcChain xmlns="http://schemas.openxmlformats.org/spreadsheetml/2006/main">
  <c r="D49" i="25" l="1"/>
  <c r="B5" i="6" l="1"/>
  <c r="B22" i="6"/>
  <c r="B5" i="20"/>
  <c r="B22" i="20"/>
  <c r="E50" i="26" l="1"/>
  <c r="G50" i="26"/>
  <c r="E51" i="26"/>
  <c r="E52" i="26" s="1"/>
  <c r="G51" i="26"/>
  <c r="G52" i="26"/>
  <c r="E46" i="26"/>
  <c r="E32" i="26" l="1"/>
  <c r="E31" i="26"/>
  <c r="E28" i="26"/>
  <c r="E27" i="26"/>
  <c r="E26" i="26"/>
  <c r="E4" i="26"/>
  <c r="C55" i="16" l="1"/>
  <c r="C4" i="26"/>
  <c r="C5" i="26"/>
  <c r="C6" i="26"/>
  <c r="C7" i="26"/>
  <c r="C8" i="26"/>
  <c r="C9" i="26"/>
  <c r="C10" i="26"/>
  <c r="C11" i="26"/>
  <c r="C12" i="26"/>
  <c r="C13" i="26"/>
  <c r="C14" i="26"/>
  <c r="C15" i="26"/>
  <c r="C16" i="26"/>
  <c r="C17" i="26"/>
  <c r="C18" i="26"/>
  <c r="C19" i="26"/>
  <c r="C21" i="26"/>
  <c r="C22" i="26"/>
  <c r="C23" i="26"/>
  <c r="C24" i="26"/>
  <c r="C25" i="26"/>
  <c r="C26" i="26"/>
  <c r="C27" i="26"/>
  <c r="C28" i="26"/>
  <c r="C29" i="26"/>
  <c r="C30" i="26"/>
  <c r="C31" i="26"/>
  <c r="C32" i="26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2" i="26"/>
  <c r="C50" i="26" l="1"/>
  <c r="C51" i="26"/>
  <c r="B55" i="16"/>
  <c r="C52" i="26" l="1"/>
  <c r="B5" i="15" l="1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3" i="15"/>
  <c r="J100" i="5" l="1"/>
  <c r="F4" i="22" l="1"/>
  <c r="F5" i="22"/>
  <c r="F6" i="22"/>
  <c r="F7" i="22"/>
  <c r="F8" i="22"/>
  <c r="F9" i="22"/>
  <c r="F10" i="22"/>
  <c r="F11" i="22"/>
  <c r="F12" i="22"/>
  <c r="F13" i="22"/>
  <c r="F14" i="22"/>
  <c r="F16" i="22"/>
  <c r="F17" i="22"/>
  <c r="F19" i="22"/>
  <c r="F20" i="22"/>
  <c r="F21" i="22"/>
  <c r="F22" i="22"/>
  <c r="F25" i="22"/>
  <c r="F27" i="22"/>
  <c r="F28" i="22"/>
  <c r="F29" i="22"/>
  <c r="F31" i="22"/>
  <c r="F32" i="22"/>
  <c r="F33" i="22"/>
  <c r="F34" i="22"/>
  <c r="F35" i="22"/>
  <c r="F36" i="22"/>
  <c r="F37" i="22"/>
  <c r="F38" i="22"/>
  <c r="F39" i="22"/>
  <c r="F40" i="22"/>
  <c r="F41" i="22"/>
  <c r="F44" i="22"/>
  <c r="F45" i="22"/>
  <c r="F46" i="22"/>
  <c r="F47" i="22"/>
  <c r="F48" i="22"/>
  <c r="F49" i="22"/>
  <c r="F50" i="22"/>
  <c r="F51" i="22"/>
  <c r="F52" i="22"/>
  <c r="F53" i="22"/>
  <c r="F54" i="22"/>
  <c r="F55" i="22"/>
  <c r="F56" i="22"/>
  <c r="F57" i="22"/>
  <c r="F58" i="22"/>
  <c r="F59" i="22"/>
  <c r="F60" i="22"/>
  <c r="F61" i="22"/>
  <c r="F62" i="22"/>
  <c r="F63" i="22"/>
  <c r="F64" i="22"/>
  <c r="F65" i="22"/>
  <c r="F66" i="22"/>
  <c r="F68" i="22"/>
  <c r="F69" i="22"/>
  <c r="F70" i="22"/>
  <c r="F71" i="22"/>
  <c r="F73" i="22"/>
  <c r="F74" i="22"/>
  <c r="F75" i="22"/>
  <c r="F76" i="22"/>
  <c r="F77" i="22"/>
  <c r="F78" i="22"/>
  <c r="F79" i="22"/>
  <c r="F80" i="22"/>
  <c r="F81" i="22"/>
  <c r="F82" i="22"/>
  <c r="F83" i="22"/>
  <c r="F84" i="22"/>
  <c r="F85" i="22"/>
  <c r="F86" i="22"/>
  <c r="F87" i="22"/>
  <c r="F88" i="22"/>
  <c r="F89" i="22"/>
  <c r="F90" i="22"/>
  <c r="F91" i="22"/>
  <c r="F92" i="22"/>
  <c r="F93" i="22"/>
  <c r="F94" i="22"/>
  <c r="F95" i="22"/>
  <c r="F96" i="22"/>
  <c r="F97" i="22"/>
  <c r="F98" i="22"/>
  <c r="F99" i="22"/>
  <c r="E51" i="16" l="1"/>
  <c r="D51" i="16"/>
  <c r="E50" i="16"/>
  <c r="D50" i="16"/>
  <c r="D52" i="16" s="1"/>
  <c r="C48" i="16"/>
  <c r="B48" i="16" s="1"/>
  <c r="C47" i="16"/>
  <c r="B47" i="16"/>
  <c r="C46" i="16"/>
  <c r="B46" i="16" s="1"/>
  <c r="C45" i="16"/>
  <c r="B45" i="16" s="1"/>
  <c r="C44" i="16"/>
  <c r="B44" i="16" s="1"/>
  <c r="C43" i="16"/>
  <c r="B43" i="16" s="1"/>
  <c r="C42" i="16"/>
  <c r="B42" i="16" s="1"/>
  <c r="C41" i="16"/>
  <c r="B41" i="16"/>
  <c r="C40" i="16"/>
  <c r="B40" i="16" s="1"/>
  <c r="C39" i="16"/>
  <c r="B39" i="16"/>
  <c r="C38" i="16"/>
  <c r="B38" i="16" s="1"/>
  <c r="C37" i="16"/>
  <c r="B37" i="16"/>
  <c r="C36" i="16"/>
  <c r="B36" i="16" s="1"/>
  <c r="C35" i="16"/>
  <c r="B35" i="16" s="1"/>
  <c r="C34" i="16"/>
  <c r="B34" i="16" s="1"/>
  <c r="C33" i="16"/>
  <c r="B33" i="16"/>
  <c r="C32" i="16"/>
  <c r="B32" i="16" s="1"/>
  <c r="C31" i="16"/>
  <c r="B31" i="16" s="1"/>
  <c r="C30" i="16"/>
  <c r="B30" i="16" s="1"/>
  <c r="C29" i="16"/>
  <c r="B29" i="16"/>
  <c r="C28" i="16"/>
  <c r="B28" i="16" s="1"/>
  <c r="C27" i="16"/>
  <c r="B27" i="16" s="1"/>
  <c r="C26" i="16"/>
  <c r="B26" i="16" s="1"/>
  <c r="C25" i="16"/>
  <c r="B25" i="16"/>
  <c r="C24" i="16"/>
  <c r="B24" i="16" s="1"/>
  <c r="C23" i="16"/>
  <c r="B23" i="16"/>
  <c r="C22" i="16"/>
  <c r="B22" i="16" s="1"/>
  <c r="C21" i="16"/>
  <c r="B21" i="16"/>
  <c r="C20" i="16"/>
  <c r="B20" i="16" s="1"/>
  <c r="C19" i="16"/>
  <c r="B19" i="16" s="1"/>
  <c r="C18" i="16"/>
  <c r="B18" i="16" s="1"/>
  <c r="C17" i="16"/>
  <c r="B17" i="16"/>
  <c r="C16" i="16"/>
  <c r="B16" i="16" s="1"/>
  <c r="C15" i="16"/>
  <c r="B15" i="16"/>
  <c r="C14" i="16"/>
  <c r="B14" i="16" s="1"/>
  <c r="C13" i="16"/>
  <c r="B13" i="16"/>
  <c r="C12" i="16"/>
  <c r="B12" i="16" s="1"/>
  <c r="C11" i="16"/>
  <c r="B11" i="16" s="1"/>
  <c r="C10" i="16"/>
  <c r="B10" i="16" s="1"/>
  <c r="C9" i="16"/>
  <c r="B9" i="16"/>
  <c r="C8" i="16"/>
  <c r="B8" i="16" s="1"/>
  <c r="C7" i="16"/>
  <c r="B7" i="16"/>
  <c r="C6" i="16"/>
  <c r="B6" i="16" s="1"/>
  <c r="C5" i="16"/>
  <c r="B5" i="16"/>
  <c r="C4" i="16"/>
  <c r="B4" i="16" s="1"/>
  <c r="C3" i="16"/>
  <c r="B3" i="16" s="1"/>
  <c r="C2" i="16"/>
  <c r="B2" i="16" s="1"/>
  <c r="E52" i="16" l="1"/>
  <c r="B50" i="16"/>
  <c r="B51" i="16"/>
  <c r="C50" i="16"/>
  <c r="C51" i="16"/>
  <c r="B52" i="16" l="1"/>
  <c r="C52" i="16"/>
  <c r="I2" i="4" l="1"/>
  <c r="I3" i="4" l="1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L3" i="1"/>
  <c r="L4" i="1"/>
  <c r="L5" i="1"/>
  <c r="L6" i="1"/>
  <c r="L7" i="1"/>
  <c r="L8" i="1"/>
  <c r="L11" i="1"/>
  <c r="L13" i="1"/>
  <c r="L14" i="1"/>
  <c r="L15" i="1"/>
  <c r="L16" i="1"/>
  <c r="L17" i="1"/>
  <c r="L18" i="1"/>
  <c r="L19" i="1"/>
  <c r="L20" i="1"/>
  <c r="L21" i="1"/>
  <c r="F50" i="5" l="1"/>
  <c r="F51" i="5"/>
  <c r="F52" i="5"/>
  <c r="F53" i="5"/>
  <c r="F54" i="5"/>
  <c r="F55" i="5"/>
  <c r="F56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L12" i="1" l="1"/>
  <c r="L10" i="1" l="1"/>
  <c r="L9" i="1" l="1"/>
  <c r="AD5" i="5" l="1"/>
  <c r="B5" i="13" l="1"/>
  <c r="F3" i="1" s="1"/>
  <c r="G3" i="1" s="1"/>
  <c r="B7" i="13" l="1"/>
  <c r="F5" i="1" s="1"/>
  <c r="G5" i="1" s="1"/>
  <c r="B9" i="13"/>
  <c r="F7" i="1" s="1"/>
  <c r="G7" i="1" s="1"/>
  <c r="B10" i="13"/>
  <c r="F8" i="1" s="1"/>
  <c r="G8" i="1" s="1"/>
  <c r="B11" i="13"/>
  <c r="F9" i="1" s="1"/>
  <c r="G9" i="1" s="1"/>
  <c r="B12" i="13"/>
  <c r="F10" i="1" s="1"/>
  <c r="G10" i="1" s="1"/>
  <c r="B13" i="13"/>
  <c r="F11" i="1" s="1"/>
  <c r="G11" i="1" s="1"/>
  <c r="B14" i="13"/>
  <c r="F12" i="1" s="1"/>
  <c r="G12" i="1" s="1"/>
  <c r="B15" i="13"/>
  <c r="F13" i="1" s="1"/>
  <c r="G13" i="1" s="1"/>
  <c r="B16" i="13"/>
  <c r="F14" i="1" s="1"/>
  <c r="G14" i="1" s="1"/>
  <c r="B17" i="13"/>
  <c r="F15" i="1" s="1"/>
  <c r="G15" i="1" s="1"/>
  <c r="B18" i="13"/>
  <c r="F16" i="1" s="1"/>
  <c r="G16" i="1" s="1"/>
  <c r="B19" i="13"/>
  <c r="F17" i="1" s="1"/>
  <c r="G17" i="1" s="1"/>
  <c r="B20" i="13"/>
  <c r="F18" i="1" s="1"/>
  <c r="G18" i="1" s="1"/>
  <c r="B21" i="13"/>
  <c r="F19" i="1" s="1"/>
  <c r="G19" i="1" s="1"/>
  <c r="B22" i="13"/>
  <c r="F20" i="1" s="1"/>
  <c r="G20" i="1" s="1"/>
  <c r="B23" i="13"/>
  <c r="F21" i="1" s="1"/>
  <c r="G21" i="1" s="1"/>
  <c r="B24" i="13"/>
  <c r="F22" i="1" s="1"/>
  <c r="G22" i="1" s="1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4" i="13"/>
  <c r="B8" i="13" l="1"/>
  <c r="F6" i="1" s="1"/>
  <c r="G6" i="1" s="1"/>
  <c r="B6" i="13"/>
  <c r="F4" i="1" s="1"/>
  <c r="G4" i="1" s="1"/>
  <c r="T50" i="5" l="1"/>
  <c r="T51" i="5"/>
  <c r="T52" i="5"/>
  <c r="T53" i="5"/>
  <c r="T54" i="5"/>
  <c r="T55" i="5"/>
  <c r="T56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I42" i="4" l="1"/>
  <c r="H43" i="4"/>
  <c r="I43" i="4"/>
  <c r="I44" i="4"/>
  <c r="H45" i="4"/>
  <c r="I45" i="4"/>
  <c r="I46" i="4"/>
  <c r="I47" i="4"/>
  <c r="I48" i="4"/>
  <c r="J43" i="4" l="1"/>
  <c r="J45" i="4"/>
  <c r="I102" i="5" l="1"/>
  <c r="I101" i="5"/>
  <c r="I100" i="5"/>
  <c r="I99" i="5"/>
  <c r="I98" i="5"/>
  <c r="I97" i="5"/>
  <c r="I96" i="5"/>
  <c r="I95" i="5"/>
  <c r="I94" i="5"/>
  <c r="I93" i="5"/>
  <c r="I92" i="5"/>
  <c r="I91" i="5"/>
  <c r="I90" i="5"/>
  <c r="I89" i="5"/>
  <c r="I88" i="5"/>
  <c r="I87" i="5"/>
  <c r="I86" i="5"/>
  <c r="I85" i="5"/>
  <c r="I84" i="5"/>
  <c r="I83" i="5"/>
  <c r="I82" i="5"/>
  <c r="I81" i="5"/>
  <c r="I80" i="5"/>
  <c r="I79" i="5"/>
  <c r="I78" i="5"/>
  <c r="I77" i="5"/>
  <c r="I76" i="5"/>
  <c r="I75" i="5"/>
  <c r="I74" i="5"/>
  <c r="I73" i="5"/>
  <c r="I72" i="5"/>
  <c r="I71" i="5"/>
  <c r="I70" i="5"/>
  <c r="I69" i="5"/>
  <c r="I68" i="5"/>
  <c r="I67" i="5"/>
  <c r="I66" i="5"/>
  <c r="I65" i="5"/>
  <c r="I64" i="5"/>
  <c r="I63" i="5"/>
  <c r="I62" i="5"/>
  <c r="I61" i="5"/>
  <c r="I60" i="5"/>
  <c r="I59" i="5"/>
  <c r="I58" i="5"/>
  <c r="I56" i="5"/>
  <c r="I55" i="5"/>
  <c r="I54" i="5"/>
  <c r="I53" i="5"/>
  <c r="I52" i="5"/>
  <c r="I51" i="5"/>
  <c r="I50" i="5"/>
  <c r="I8" i="5"/>
  <c r="I12" i="5"/>
  <c r="I16" i="5"/>
  <c r="I20" i="5"/>
  <c r="I24" i="5"/>
  <c r="I28" i="5"/>
  <c r="I32" i="5"/>
  <c r="I36" i="5"/>
  <c r="I40" i="5"/>
  <c r="I44" i="5"/>
  <c r="I47" i="5"/>
  <c r="I6" i="5"/>
  <c r="I7" i="5"/>
  <c r="I9" i="5"/>
  <c r="I10" i="5"/>
  <c r="I11" i="5"/>
  <c r="I13" i="5"/>
  <c r="I14" i="5"/>
  <c r="I15" i="5"/>
  <c r="I17" i="5"/>
  <c r="I18" i="5"/>
  <c r="I19" i="5"/>
  <c r="I21" i="5"/>
  <c r="I23" i="5"/>
  <c r="I25" i="5"/>
  <c r="I26" i="5"/>
  <c r="I27" i="5"/>
  <c r="I29" i="5"/>
  <c r="I30" i="5"/>
  <c r="I31" i="5"/>
  <c r="I33" i="5"/>
  <c r="I34" i="5"/>
  <c r="I35" i="5"/>
  <c r="I37" i="5"/>
  <c r="I38" i="5"/>
  <c r="I39" i="5"/>
  <c r="I41" i="5"/>
  <c r="I42" i="5"/>
  <c r="I43" i="5"/>
  <c r="I57" i="5"/>
  <c r="I45" i="5"/>
  <c r="I46" i="5"/>
  <c r="I48" i="5"/>
  <c r="I49" i="5"/>
  <c r="I4" i="5"/>
  <c r="E42" i="4" l="1"/>
  <c r="F42" i="4" s="1"/>
  <c r="E43" i="4"/>
  <c r="F43" i="4" s="1"/>
  <c r="E44" i="4"/>
  <c r="F44" i="4" s="1"/>
  <c r="E45" i="4"/>
  <c r="F45" i="4" s="1"/>
  <c r="E46" i="4"/>
  <c r="F46" i="4" s="1"/>
  <c r="E47" i="4"/>
  <c r="F47" i="4" s="1"/>
  <c r="E48" i="4"/>
  <c r="F48" i="4" s="1"/>
  <c r="G10" i="25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C2" i="25" l="1"/>
  <c r="C32" i="25"/>
  <c r="C12" i="25"/>
  <c r="C29" i="25"/>
  <c r="C45" i="25"/>
  <c r="C5" i="25"/>
  <c r="C9" i="25"/>
  <c r="C13" i="25"/>
  <c r="C17" i="25"/>
  <c r="C22" i="25"/>
  <c r="C26" i="25"/>
  <c r="C30" i="25"/>
  <c r="C34" i="25"/>
  <c r="C38" i="25"/>
  <c r="C42" i="25"/>
  <c r="C46" i="25"/>
  <c r="C11" i="25"/>
  <c r="C19" i="25"/>
  <c r="C28" i="25"/>
  <c r="C36" i="25"/>
  <c r="C44" i="25"/>
  <c r="C4" i="25"/>
  <c r="C16" i="25"/>
  <c r="C25" i="25"/>
  <c r="C37" i="25"/>
  <c r="C6" i="25"/>
  <c r="C10" i="25"/>
  <c r="C14" i="25"/>
  <c r="C18" i="25"/>
  <c r="C23" i="25"/>
  <c r="C27" i="25"/>
  <c r="C31" i="25"/>
  <c r="C35" i="25"/>
  <c r="C39" i="25"/>
  <c r="C43" i="25"/>
  <c r="C47" i="25"/>
  <c r="C7" i="25"/>
  <c r="C15" i="25"/>
  <c r="C24" i="25"/>
  <c r="C40" i="25"/>
  <c r="C48" i="25"/>
  <c r="C8" i="25"/>
  <c r="C21" i="25"/>
  <c r="C33" i="25"/>
  <c r="C41" i="25"/>
  <c r="D51" i="26"/>
  <c r="D50" i="26"/>
  <c r="D52" i="26" l="1"/>
  <c r="E102" i="5" l="1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B43" i="10"/>
  <c r="F57" i="5" s="1"/>
  <c r="B44" i="10"/>
  <c r="F45" i="5" s="1"/>
  <c r="F42" i="1"/>
  <c r="G42" i="1" s="1"/>
  <c r="F43" i="1"/>
  <c r="G43" i="1" s="1"/>
  <c r="F44" i="1"/>
  <c r="G44" i="1" s="1"/>
  <c r="C44" i="11"/>
  <c r="I42" i="1" s="1"/>
  <c r="J42" i="1" s="1"/>
  <c r="C45" i="11"/>
  <c r="I43" i="1" s="1"/>
  <c r="J43" i="1" s="1"/>
  <c r="C46" i="11"/>
  <c r="I44" i="1" s="1"/>
  <c r="J44" i="1" s="1"/>
  <c r="E4" i="4"/>
  <c r="F4" i="4" s="1"/>
  <c r="E5" i="4"/>
  <c r="F5" i="4" s="1"/>
  <c r="E6" i="4"/>
  <c r="F6" i="4" s="1"/>
  <c r="E7" i="4"/>
  <c r="F7" i="4" s="1"/>
  <c r="E8" i="4"/>
  <c r="F8" i="4" s="1"/>
  <c r="E9" i="4"/>
  <c r="F9" i="4" s="1"/>
  <c r="E10" i="4"/>
  <c r="F10" i="4" s="1"/>
  <c r="E11" i="4"/>
  <c r="F11" i="4" s="1"/>
  <c r="E12" i="4"/>
  <c r="F12" i="4" s="1"/>
  <c r="E13" i="4"/>
  <c r="F13" i="4" s="1"/>
  <c r="E14" i="4"/>
  <c r="F14" i="4" s="1"/>
  <c r="E15" i="4"/>
  <c r="F15" i="4" s="1"/>
  <c r="E16" i="4"/>
  <c r="F16" i="4" s="1"/>
  <c r="E17" i="4"/>
  <c r="F17" i="4" s="1"/>
  <c r="E18" i="4"/>
  <c r="F18" i="4" s="1"/>
  <c r="E19" i="4"/>
  <c r="F19" i="4" s="1"/>
  <c r="E20" i="4"/>
  <c r="F20" i="4" s="1"/>
  <c r="E21" i="4"/>
  <c r="F21" i="4" s="1"/>
  <c r="E22" i="4"/>
  <c r="F22" i="4" s="1"/>
  <c r="E23" i="4"/>
  <c r="F23" i="4" s="1"/>
  <c r="E24" i="4"/>
  <c r="F24" i="4" s="1"/>
  <c r="E25" i="4"/>
  <c r="F25" i="4" s="1"/>
  <c r="E26" i="4"/>
  <c r="F26" i="4" s="1"/>
  <c r="E27" i="4"/>
  <c r="F27" i="4" s="1"/>
  <c r="E28" i="4"/>
  <c r="F28" i="4" s="1"/>
  <c r="E29" i="4"/>
  <c r="F29" i="4" s="1"/>
  <c r="E30" i="4"/>
  <c r="F30" i="4" s="1"/>
  <c r="E31" i="4"/>
  <c r="F31" i="4" s="1"/>
  <c r="E32" i="4"/>
  <c r="F32" i="4" s="1"/>
  <c r="E33" i="4"/>
  <c r="F33" i="4" s="1"/>
  <c r="E34" i="4"/>
  <c r="F34" i="4" s="1"/>
  <c r="E35" i="4"/>
  <c r="F35" i="4" s="1"/>
  <c r="E36" i="4"/>
  <c r="F36" i="4" s="1"/>
  <c r="E37" i="4"/>
  <c r="F37" i="4" s="1"/>
  <c r="E38" i="4"/>
  <c r="F38" i="4" s="1"/>
  <c r="E39" i="4"/>
  <c r="F39" i="4" s="1"/>
  <c r="E40" i="4"/>
  <c r="F40" i="4" s="1"/>
  <c r="E41" i="4"/>
  <c r="F41" i="4" s="1"/>
  <c r="E2" i="4"/>
  <c r="E49" i="4" l="1"/>
  <c r="K44" i="1"/>
  <c r="M44" i="1" s="1"/>
  <c r="K43" i="1"/>
  <c r="M43" i="1" s="1"/>
  <c r="K42" i="1"/>
  <c r="M42" i="1" s="1"/>
  <c r="C5" i="11" l="1"/>
  <c r="I3" i="1" s="1"/>
  <c r="J3" i="1" s="1"/>
  <c r="C4" i="11"/>
  <c r="K3" i="1" l="1"/>
  <c r="M3" i="1" s="1"/>
  <c r="L6" i="5"/>
  <c r="M6" i="5"/>
  <c r="N6" i="5"/>
  <c r="N7" i="5"/>
  <c r="N8" i="5"/>
  <c r="N9" i="5"/>
  <c r="N10" i="5"/>
  <c r="N11" i="5"/>
  <c r="N12" i="5"/>
  <c r="N13" i="5"/>
  <c r="N14" i="5"/>
  <c r="N15" i="5"/>
  <c r="N17" i="5"/>
  <c r="N18" i="5"/>
  <c r="N20" i="5"/>
  <c r="N21" i="5"/>
  <c r="N23" i="5"/>
  <c r="N26" i="5"/>
  <c r="N28" i="5"/>
  <c r="N29" i="5"/>
  <c r="N30" i="5"/>
  <c r="N32" i="5"/>
  <c r="N33" i="5"/>
  <c r="N34" i="5"/>
  <c r="N35" i="5"/>
  <c r="N37" i="5"/>
  <c r="N38" i="5"/>
  <c r="N39" i="5"/>
  <c r="N40" i="5"/>
  <c r="N41" i="5"/>
  <c r="N42" i="5"/>
  <c r="N45" i="5"/>
  <c r="N47" i="5"/>
  <c r="N48" i="5"/>
  <c r="N49" i="5"/>
  <c r="M50" i="5"/>
  <c r="N50" i="5"/>
  <c r="M51" i="5"/>
  <c r="N51" i="5"/>
  <c r="M52" i="5"/>
  <c r="N52" i="5"/>
  <c r="M53" i="5"/>
  <c r="N53" i="5"/>
  <c r="M54" i="5"/>
  <c r="N54" i="5"/>
  <c r="M55" i="5"/>
  <c r="N55" i="5"/>
  <c r="M56" i="5"/>
  <c r="N56" i="5"/>
  <c r="M58" i="5"/>
  <c r="N58" i="5"/>
  <c r="M59" i="5"/>
  <c r="N59" i="5"/>
  <c r="M60" i="5"/>
  <c r="N60" i="5"/>
  <c r="M61" i="5"/>
  <c r="N61" i="5"/>
  <c r="M62" i="5"/>
  <c r="N62" i="5"/>
  <c r="M63" i="5"/>
  <c r="N63" i="5"/>
  <c r="M64" i="5"/>
  <c r="N64" i="5"/>
  <c r="M65" i="5"/>
  <c r="N65" i="5"/>
  <c r="M66" i="5"/>
  <c r="N66" i="5"/>
  <c r="M67" i="5"/>
  <c r="N67" i="5"/>
  <c r="M69" i="5"/>
  <c r="N69" i="5"/>
  <c r="M70" i="5"/>
  <c r="N70" i="5"/>
  <c r="M71" i="5"/>
  <c r="N71" i="5"/>
  <c r="M72" i="5"/>
  <c r="N72" i="5"/>
  <c r="M74" i="5"/>
  <c r="N74" i="5"/>
  <c r="M75" i="5"/>
  <c r="N75" i="5"/>
  <c r="M76" i="5"/>
  <c r="N76" i="5"/>
  <c r="M77" i="5"/>
  <c r="N77" i="5"/>
  <c r="M78" i="5"/>
  <c r="N78" i="5"/>
  <c r="M79" i="5"/>
  <c r="N79" i="5"/>
  <c r="M80" i="5"/>
  <c r="N80" i="5"/>
  <c r="M81" i="5"/>
  <c r="N81" i="5"/>
  <c r="M82" i="5"/>
  <c r="N82" i="5"/>
  <c r="M83" i="5"/>
  <c r="N83" i="5"/>
  <c r="M84" i="5"/>
  <c r="N84" i="5"/>
  <c r="M85" i="5"/>
  <c r="N85" i="5"/>
  <c r="M86" i="5"/>
  <c r="N86" i="5"/>
  <c r="M87" i="5"/>
  <c r="N87" i="5"/>
  <c r="M88" i="5"/>
  <c r="N88" i="5"/>
  <c r="M89" i="5"/>
  <c r="N89" i="5"/>
  <c r="M90" i="5"/>
  <c r="N90" i="5"/>
  <c r="M91" i="5"/>
  <c r="N91" i="5"/>
  <c r="M92" i="5"/>
  <c r="N92" i="5"/>
  <c r="M93" i="5"/>
  <c r="N93" i="5"/>
  <c r="M94" i="5"/>
  <c r="N94" i="5"/>
  <c r="M95" i="5"/>
  <c r="N95" i="5"/>
  <c r="M96" i="5"/>
  <c r="N96" i="5"/>
  <c r="M97" i="5"/>
  <c r="N97" i="5"/>
  <c r="M98" i="5"/>
  <c r="N98" i="5"/>
  <c r="M99" i="5"/>
  <c r="N99" i="5"/>
  <c r="M100" i="5"/>
  <c r="N100" i="5"/>
  <c r="C6" i="11" l="1"/>
  <c r="I4" i="1" s="1"/>
  <c r="J4" i="1" s="1"/>
  <c r="K4" i="1" s="1"/>
  <c r="C7" i="11"/>
  <c r="I5" i="1" s="1"/>
  <c r="J5" i="1" s="1"/>
  <c r="K5" i="1" s="1"/>
  <c r="C8" i="11"/>
  <c r="I6" i="1" s="1"/>
  <c r="J6" i="1" s="1"/>
  <c r="K6" i="1" s="1"/>
  <c r="C9" i="11"/>
  <c r="I7" i="1" s="1"/>
  <c r="J7" i="1" s="1"/>
  <c r="K7" i="1" s="1"/>
  <c r="C10" i="11"/>
  <c r="I8" i="1" s="1"/>
  <c r="J8" i="1" s="1"/>
  <c r="K8" i="1" s="1"/>
  <c r="C11" i="11"/>
  <c r="I9" i="1" s="1"/>
  <c r="J9" i="1" s="1"/>
  <c r="K9" i="1" s="1"/>
  <c r="C12" i="11"/>
  <c r="I10" i="1" s="1"/>
  <c r="J10" i="1" s="1"/>
  <c r="K10" i="1" s="1"/>
  <c r="C13" i="11"/>
  <c r="I11" i="1" s="1"/>
  <c r="J11" i="1" s="1"/>
  <c r="K11" i="1" s="1"/>
  <c r="C14" i="11"/>
  <c r="I12" i="1" s="1"/>
  <c r="J12" i="1" s="1"/>
  <c r="K12" i="1" s="1"/>
  <c r="C15" i="11"/>
  <c r="I13" i="1" s="1"/>
  <c r="J13" i="1" s="1"/>
  <c r="K13" i="1" s="1"/>
  <c r="C16" i="11"/>
  <c r="I14" i="1" s="1"/>
  <c r="J14" i="1" s="1"/>
  <c r="K14" i="1" s="1"/>
  <c r="C17" i="11"/>
  <c r="I15" i="1" s="1"/>
  <c r="J15" i="1" s="1"/>
  <c r="K15" i="1" s="1"/>
  <c r="C18" i="11"/>
  <c r="I16" i="1" s="1"/>
  <c r="J16" i="1" s="1"/>
  <c r="K16" i="1" s="1"/>
  <c r="C19" i="11"/>
  <c r="I17" i="1" s="1"/>
  <c r="J17" i="1" s="1"/>
  <c r="K17" i="1" s="1"/>
  <c r="C20" i="11"/>
  <c r="I18" i="1" s="1"/>
  <c r="J18" i="1" s="1"/>
  <c r="K18" i="1" s="1"/>
  <c r="C21" i="11"/>
  <c r="I19" i="1" s="1"/>
  <c r="J19" i="1" s="1"/>
  <c r="K19" i="1" s="1"/>
  <c r="C22" i="11"/>
  <c r="I20" i="1" s="1"/>
  <c r="J20" i="1" s="1"/>
  <c r="K20" i="1" s="1"/>
  <c r="C23" i="11"/>
  <c r="I21" i="1" s="1"/>
  <c r="J21" i="1" s="1"/>
  <c r="K21" i="1" s="1"/>
  <c r="C24" i="11"/>
  <c r="I22" i="1" s="1"/>
  <c r="J22" i="1" s="1"/>
  <c r="K22" i="1" s="1"/>
  <c r="C25" i="11"/>
  <c r="I23" i="1" s="1"/>
  <c r="J23" i="1" s="1"/>
  <c r="C26" i="11"/>
  <c r="I24" i="1" s="1"/>
  <c r="J24" i="1" s="1"/>
  <c r="C27" i="11"/>
  <c r="I25" i="1" s="1"/>
  <c r="J25" i="1" s="1"/>
  <c r="C28" i="11"/>
  <c r="I26" i="1" s="1"/>
  <c r="J26" i="1" s="1"/>
  <c r="C29" i="11"/>
  <c r="I27" i="1" s="1"/>
  <c r="J27" i="1" s="1"/>
  <c r="C30" i="11"/>
  <c r="I28" i="1" s="1"/>
  <c r="J28" i="1" s="1"/>
  <c r="C31" i="11"/>
  <c r="I29" i="1" s="1"/>
  <c r="J29" i="1" s="1"/>
  <c r="C32" i="11"/>
  <c r="I30" i="1" s="1"/>
  <c r="J30" i="1" s="1"/>
  <c r="C33" i="11"/>
  <c r="I31" i="1" s="1"/>
  <c r="J31" i="1" s="1"/>
  <c r="C34" i="11"/>
  <c r="I32" i="1" s="1"/>
  <c r="J32" i="1" s="1"/>
  <c r="C35" i="11"/>
  <c r="I33" i="1" s="1"/>
  <c r="J33" i="1" s="1"/>
  <c r="C36" i="11"/>
  <c r="I34" i="1" s="1"/>
  <c r="J34" i="1" s="1"/>
  <c r="C37" i="11"/>
  <c r="I35" i="1" s="1"/>
  <c r="J35" i="1" s="1"/>
  <c r="C38" i="11"/>
  <c r="I36" i="1" s="1"/>
  <c r="J36" i="1" s="1"/>
  <c r="C39" i="11"/>
  <c r="I37" i="1" s="1"/>
  <c r="J37" i="1" s="1"/>
  <c r="C40" i="11"/>
  <c r="I38" i="1" s="1"/>
  <c r="J38" i="1" s="1"/>
  <c r="C41" i="11"/>
  <c r="I39" i="1" s="1"/>
  <c r="J39" i="1" s="1"/>
  <c r="C42" i="11"/>
  <c r="I40" i="1" s="1"/>
  <c r="J40" i="1" s="1"/>
  <c r="C43" i="11"/>
  <c r="I41" i="1" s="1"/>
  <c r="J41" i="1" s="1"/>
  <c r="C47" i="11"/>
  <c r="I45" i="1" s="1"/>
  <c r="J45" i="1" s="1"/>
  <c r="C48" i="11"/>
  <c r="I46" i="1" s="1"/>
  <c r="J46" i="1" s="1"/>
  <c r="C49" i="11"/>
  <c r="I47" i="1" s="1"/>
  <c r="J47" i="1" s="1"/>
  <c r="C50" i="11"/>
  <c r="I48" i="1" s="1"/>
  <c r="J48" i="1" s="1"/>
  <c r="F33" i="1" l="1"/>
  <c r="G33" i="1" s="1"/>
  <c r="K33" i="1" s="1"/>
  <c r="M33" i="1" s="1"/>
  <c r="F31" i="1"/>
  <c r="G31" i="1" s="1"/>
  <c r="K31" i="1" s="1"/>
  <c r="M31" i="1" s="1"/>
  <c r="F25" i="1"/>
  <c r="G25" i="1" s="1"/>
  <c r="K25" i="1" s="1"/>
  <c r="M25" i="1" s="1"/>
  <c r="M19" i="1"/>
  <c r="D21" i="5" s="1"/>
  <c r="M15" i="1"/>
  <c r="M13" i="1"/>
  <c r="M9" i="1"/>
  <c r="D11" i="5" s="1"/>
  <c r="M5" i="1"/>
  <c r="F45" i="1"/>
  <c r="G45" i="1" s="1"/>
  <c r="K45" i="1" s="1"/>
  <c r="M45" i="1" s="1"/>
  <c r="F48" i="1"/>
  <c r="G48" i="1" s="1"/>
  <c r="K48" i="1" s="1"/>
  <c r="M48" i="1" s="1"/>
  <c r="F41" i="1"/>
  <c r="G41" i="1" s="1"/>
  <c r="K41" i="1" s="1"/>
  <c r="M41" i="1" s="1"/>
  <c r="F37" i="1"/>
  <c r="G37" i="1" s="1"/>
  <c r="K37" i="1" s="1"/>
  <c r="M37" i="1" s="1"/>
  <c r="F27" i="1"/>
  <c r="G27" i="1" s="1"/>
  <c r="K27" i="1" s="1"/>
  <c r="M27" i="1" s="1"/>
  <c r="M21" i="1"/>
  <c r="M11" i="1"/>
  <c r="D13" i="5" s="1"/>
  <c r="F46" i="1"/>
  <c r="G46" i="1" s="1"/>
  <c r="K46" i="1" s="1"/>
  <c r="M46" i="1" s="1"/>
  <c r="F39" i="1"/>
  <c r="G39" i="1" s="1"/>
  <c r="K39" i="1" s="1"/>
  <c r="M39" i="1" s="1"/>
  <c r="F35" i="1"/>
  <c r="G35" i="1" s="1"/>
  <c r="K35" i="1" s="1"/>
  <c r="M35" i="1" s="1"/>
  <c r="F29" i="1"/>
  <c r="G29" i="1" s="1"/>
  <c r="K29" i="1" s="1"/>
  <c r="M29" i="1" s="1"/>
  <c r="F23" i="1"/>
  <c r="M17" i="1"/>
  <c r="M7" i="1"/>
  <c r="F47" i="1"/>
  <c r="G47" i="1" s="1"/>
  <c r="K47" i="1" s="1"/>
  <c r="M47" i="1" s="1"/>
  <c r="F40" i="1"/>
  <c r="G40" i="1" s="1"/>
  <c r="K40" i="1" s="1"/>
  <c r="M40" i="1" s="1"/>
  <c r="F38" i="1"/>
  <c r="G38" i="1" s="1"/>
  <c r="K38" i="1" s="1"/>
  <c r="M38" i="1" s="1"/>
  <c r="F36" i="1"/>
  <c r="G36" i="1" s="1"/>
  <c r="K36" i="1" s="1"/>
  <c r="M36" i="1" s="1"/>
  <c r="F34" i="1"/>
  <c r="G34" i="1" s="1"/>
  <c r="K34" i="1" s="1"/>
  <c r="M34" i="1" s="1"/>
  <c r="F32" i="1"/>
  <c r="G32" i="1" s="1"/>
  <c r="K32" i="1" s="1"/>
  <c r="M32" i="1" s="1"/>
  <c r="F30" i="1"/>
  <c r="G30" i="1" s="1"/>
  <c r="K30" i="1" s="1"/>
  <c r="M30" i="1" s="1"/>
  <c r="F28" i="1"/>
  <c r="G28" i="1" s="1"/>
  <c r="K28" i="1" s="1"/>
  <c r="M28" i="1" s="1"/>
  <c r="F26" i="1"/>
  <c r="G26" i="1" s="1"/>
  <c r="K26" i="1" s="1"/>
  <c r="M26" i="1" s="1"/>
  <c r="F24" i="1"/>
  <c r="G24" i="1" s="1"/>
  <c r="K24" i="1" s="1"/>
  <c r="M24" i="1" s="1"/>
  <c r="M22" i="1"/>
  <c r="M20" i="1"/>
  <c r="M18" i="1"/>
  <c r="M16" i="1"/>
  <c r="M14" i="1"/>
  <c r="M12" i="1"/>
  <c r="M10" i="1"/>
  <c r="D12" i="5" s="1"/>
  <c r="M8" i="1"/>
  <c r="D10" i="5" s="1"/>
  <c r="M6" i="1"/>
  <c r="M4" i="1"/>
  <c r="G23" i="1" l="1"/>
  <c r="K23" i="1" s="1"/>
  <c r="M23" i="1" s="1"/>
  <c r="G6" i="5"/>
  <c r="J6" i="5"/>
  <c r="G7" i="5"/>
  <c r="J7" i="5"/>
  <c r="G8" i="5"/>
  <c r="J8" i="5"/>
  <c r="G9" i="5"/>
  <c r="J9" i="5"/>
  <c r="G10" i="5"/>
  <c r="J10" i="5"/>
  <c r="G11" i="5"/>
  <c r="J11" i="5"/>
  <c r="G12" i="5"/>
  <c r="J12" i="5"/>
  <c r="G13" i="5"/>
  <c r="J13" i="5"/>
  <c r="G14" i="5"/>
  <c r="J14" i="5"/>
  <c r="G15" i="5"/>
  <c r="J15" i="5"/>
  <c r="G16" i="5"/>
  <c r="J16" i="5"/>
  <c r="G17" i="5"/>
  <c r="J17" i="5"/>
  <c r="G18" i="5"/>
  <c r="J18" i="5"/>
  <c r="G19" i="5"/>
  <c r="J19" i="5"/>
  <c r="G20" i="5"/>
  <c r="J20" i="5"/>
  <c r="G21" i="5"/>
  <c r="J21" i="5"/>
  <c r="G23" i="5"/>
  <c r="J23" i="5"/>
  <c r="G24" i="5"/>
  <c r="J24" i="5"/>
  <c r="G25" i="5"/>
  <c r="J25" i="5"/>
  <c r="G26" i="5"/>
  <c r="J26" i="5"/>
  <c r="G27" i="5"/>
  <c r="J27" i="5"/>
  <c r="G28" i="5"/>
  <c r="J28" i="5"/>
  <c r="G29" i="5"/>
  <c r="J29" i="5"/>
  <c r="G30" i="5"/>
  <c r="J30" i="5"/>
  <c r="G31" i="5"/>
  <c r="J31" i="5"/>
  <c r="G32" i="5"/>
  <c r="J32" i="5"/>
  <c r="G33" i="5"/>
  <c r="J33" i="5"/>
  <c r="G34" i="5"/>
  <c r="J34" i="5"/>
  <c r="G35" i="5"/>
  <c r="J35" i="5"/>
  <c r="G36" i="5"/>
  <c r="J36" i="5"/>
  <c r="G37" i="5"/>
  <c r="J37" i="5"/>
  <c r="G38" i="5"/>
  <c r="J38" i="5"/>
  <c r="G39" i="5"/>
  <c r="J39" i="5"/>
  <c r="G40" i="5"/>
  <c r="J40" i="5"/>
  <c r="G41" i="5"/>
  <c r="J41" i="5"/>
  <c r="G42" i="5"/>
  <c r="J42" i="5"/>
  <c r="G43" i="5"/>
  <c r="J43" i="5"/>
  <c r="G44" i="5"/>
  <c r="J44" i="5"/>
  <c r="G45" i="5"/>
  <c r="J45" i="5"/>
  <c r="G46" i="5"/>
  <c r="J46" i="5"/>
  <c r="G47" i="5"/>
  <c r="J47" i="5"/>
  <c r="G48" i="5"/>
  <c r="J48" i="5"/>
  <c r="G49" i="5"/>
  <c r="J49" i="5"/>
  <c r="G50" i="5"/>
  <c r="H50" i="5"/>
  <c r="J50" i="5"/>
  <c r="G51" i="5"/>
  <c r="H51" i="5"/>
  <c r="J51" i="5"/>
  <c r="G52" i="5"/>
  <c r="H52" i="5"/>
  <c r="J52" i="5"/>
  <c r="G53" i="5"/>
  <c r="H53" i="5"/>
  <c r="J53" i="5"/>
  <c r="G54" i="5"/>
  <c r="H54" i="5"/>
  <c r="J54" i="5"/>
  <c r="G55" i="5"/>
  <c r="H55" i="5"/>
  <c r="J55" i="5"/>
  <c r="G56" i="5"/>
  <c r="H56" i="5"/>
  <c r="J56" i="5"/>
  <c r="G57" i="5"/>
  <c r="H57" i="5"/>
  <c r="J57" i="5"/>
  <c r="G58" i="5"/>
  <c r="H58" i="5"/>
  <c r="J58" i="5"/>
  <c r="G59" i="5"/>
  <c r="H59" i="5"/>
  <c r="J59" i="5"/>
  <c r="G60" i="5"/>
  <c r="H60" i="5"/>
  <c r="J60" i="5"/>
  <c r="G61" i="5"/>
  <c r="H61" i="5"/>
  <c r="J61" i="5"/>
  <c r="G62" i="5"/>
  <c r="H62" i="5"/>
  <c r="J62" i="5"/>
  <c r="G63" i="5"/>
  <c r="H63" i="5"/>
  <c r="J63" i="5"/>
  <c r="G64" i="5"/>
  <c r="H64" i="5"/>
  <c r="J64" i="5"/>
  <c r="G65" i="5"/>
  <c r="H65" i="5"/>
  <c r="J65" i="5"/>
  <c r="G66" i="5"/>
  <c r="H66" i="5"/>
  <c r="J66" i="5"/>
  <c r="G67" i="5"/>
  <c r="H67" i="5"/>
  <c r="J67" i="5"/>
  <c r="G68" i="5"/>
  <c r="H68" i="5"/>
  <c r="J68" i="5"/>
  <c r="G69" i="5"/>
  <c r="H69" i="5"/>
  <c r="J69" i="5"/>
  <c r="G70" i="5"/>
  <c r="H70" i="5"/>
  <c r="J70" i="5"/>
  <c r="G71" i="5"/>
  <c r="H71" i="5"/>
  <c r="J71" i="5"/>
  <c r="G72" i="5"/>
  <c r="H72" i="5"/>
  <c r="J72" i="5"/>
  <c r="G73" i="5"/>
  <c r="H73" i="5"/>
  <c r="J73" i="5"/>
  <c r="G74" i="5"/>
  <c r="H74" i="5"/>
  <c r="J74" i="5"/>
  <c r="G75" i="5"/>
  <c r="H75" i="5"/>
  <c r="J75" i="5"/>
  <c r="G76" i="5"/>
  <c r="H76" i="5"/>
  <c r="J76" i="5"/>
  <c r="G77" i="5"/>
  <c r="H77" i="5"/>
  <c r="J77" i="5"/>
  <c r="G78" i="5"/>
  <c r="H78" i="5"/>
  <c r="J78" i="5"/>
  <c r="G79" i="5"/>
  <c r="H79" i="5"/>
  <c r="J79" i="5"/>
  <c r="G80" i="5"/>
  <c r="H80" i="5"/>
  <c r="J80" i="5"/>
  <c r="G81" i="5"/>
  <c r="H81" i="5"/>
  <c r="J81" i="5"/>
  <c r="G82" i="5"/>
  <c r="H82" i="5"/>
  <c r="J82" i="5"/>
  <c r="G83" i="5"/>
  <c r="H83" i="5"/>
  <c r="J83" i="5"/>
  <c r="G84" i="5"/>
  <c r="H84" i="5"/>
  <c r="J84" i="5"/>
  <c r="G85" i="5"/>
  <c r="H85" i="5"/>
  <c r="J85" i="5"/>
  <c r="G86" i="5"/>
  <c r="H86" i="5"/>
  <c r="J86" i="5"/>
  <c r="G87" i="5"/>
  <c r="H87" i="5"/>
  <c r="J87" i="5"/>
  <c r="G88" i="5"/>
  <c r="H88" i="5"/>
  <c r="J88" i="5"/>
  <c r="G89" i="5"/>
  <c r="H89" i="5"/>
  <c r="J89" i="5"/>
  <c r="G90" i="5"/>
  <c r="H90" i="5"/>
  <c r="J90" i="5"/>
  <c r="G91" i="5"/>
  <c r="H91" i="5"/>
  <c r="J91" i="5"/>
  <c r="G92" i="5"/>
  <c r="H92" i="5"/>
  <c r="J92" i="5"/>
  <c r="G93" i="5"/>
  <c r="H93" i="5"/>
  <c r="J93" i="5"/>
  <c r="G94" i="5"/>
  <c r="H94" i="5"/>
  <c r="J94" i="5"/>
  <c r="G95" i="5"/>
  <c r="H95" i="5"/>
  <c r="J95" i="5"/>
  <c r="G96" i="5"/>
  <c r="H96" i="5"/>
  <c r="J96" i="5"/>
  <c r="G97" i="5"/>
  <c r="H97" i="5"/>
  <c r="J97" i="5"/>
  <c r="G98" i="5"/>
  <c r="H98" i="5"/>
  <c r="J98" i="5"/>
  <c r="G99" i="5"/>
  <c r="H99" i="5"/>
  <c r="J99" i="5"/>
  <c r="G100" i="5"/>
  <c r="H100" i="5"/>
  <c r="G101" i="5"/>
  <c r="H101" i="5"/>
  <c r="J101" i="5"/>
  <c r="G102" i="5"/>
  <c r="H102" i="5"/>
  <c r="J102" i="5"/>
  <c r="J4" i="5"/>
  <c r="G4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B4" i="10" l="1"/>
  <c r="F6" i="5" s="1"/>
  <c r="B5" i="10"/>
  <c r="F7" i="5" s="1"/>
  <c r="B6" i="10"/>
  <c r="F8" i="5" s="1"/>
  <c r="B7" i="10"/>
  <c r="F9" i="5" s="1"/>
  <c r="B8" i="10"/>
  <c r="F10" i="5" s="1"/>
  <c r="B9" i="10"/>
  <c r="F11" i="5" s="1"/>
  <c r="B10" i="10"/>
  <c r="F12" i="5" s="1"/>
  <c r="B11" i="10"/>
  <c r="F13" i="5" s="1"/>
  <c r="B12" i="10"/>
  <c r="F14" i="5" s="1"/>
  <c r="B13" i="10"/>
  <c r="F15" i="5" s="1"/>
  <c r="B14" i="10"/>
  <c r="F16" i="5" s="1"/>
  <c r="B15" i="10"/>
  <c r="F17" i="5" s="1"/>
  <c r="B16" i="10"/>
  <c r="F18" i="5" s="1"/>
  <c r="B17" i="10"/>
  <c r="F19" i="5" s="1"/>
  <c r="B18" i="10"/>
  <c r="F20" i="5" s="1"/>
  <c r="B19" i="10"/>
  <c r="F21" i="5" s="1"/>
  <c r="B21" i="10"/>
  <c r="F23" i="5" s="1"/>
  <c r="B22" i="10"/>
  <c r="F24" i="5" s="1"/>
  <c r="B23" i="10"/>
  <c r="F25" i="5" s="1"/>
  <c r="B24" i="10"/>
  <c r="F26" i="5" s="1"/>
  <c r="B25" i="10"/>
  <c r="F27" i="5" s="1"/>
  <c r="B26" i="10"/>
  <c r="F28" i="5" s="1"/>
  <c r="B27" i="10"/>
  <c r="F29" i="5" s="1"/>
  <c r="B28" i="10"/>
  <c r="F30" i="5" s="1"/>
  <c r="B29" i="10"/>
  <c r="F31" i="5" s="1"/>
  <c r="B30" i="10"/>
  <c r="F32" i="5" s="1"/>
  <c r="B31" i="10"/>
  <c r="F33" i="5" s="1"/>
  <c r="B32" i="10"/>
  <c r="F34" i="5" s="1"/>
  <c r="B33" i="10"/>
  <c r="F35" i="5" s="1"/>
  <c r="B34" i="10"/>
  <c r="F36" i="5" s="1"/>
  <c r="B35" i="10"/>
  <c r="F37" i="5" s="1"/>
  <c r="B36" i="10"/>
  <c r="F38" i="5" s="1"/>
  <c r="B37" i="10"/>
  <c r="F39" i="5" s="1"/>
  <c r="B38" i="10"/>
  <c r="F40" i="5" s="1"/>
  <c r="B39" i="10"/>
  <c r="F41" i="5" s="1"/>
  <c r="B40" i="10"/>
  <c r="F42" i="5" s="1"/>
  <c r="B41" i="10"/>
  <c r="F43" i="5" s="1"/>
  <c r="B42" i="10"/>
  <c r="F44" i="5" s="1"/>
  <c r="B45" i="10"/>
  <c r="F46" i="5" s="1"/>
  <c r="B46" i="10"/>
  <c r="F47" i="5" s="1"/>
  <c r="B47" i="10"/>
  <c r="F48" i="5" s="1"/>
  <c r="B48" i="10"/>
  <c r="F49" i="5" s="1"/>
  <c r="B2" i="10"/>
  <c r="F4" i="5" s="1"/>
  <c r="D68" i="23" l="1"/>
  <c r="D72" i="23"/>
  <c r="D76" i="23"/>
  <c r="D84" i="23"/>
  <c r="D88" i="23"/>
  <c r="D92" i="23"/>
  <c r="D100" i="23"/>
  <c r="D67" i="23"/>
  <c r="D71" i="23"/>
  <c r="D79" i="23"/>
  <c r="D83" i="23"/>
  <c r="D87" i="23"/>
  <c r="D95" i="23"/>
  <c r="D99" i="23"/>
  <c r="D103" i="23"/>
  <c r="D80" i="23"/>
  <c r="D96" i="23"/>
  <c r="A66" i="23"/>
  <c r="B66" i="23"/>
  <c r="C66" i="23"/>
  <c r="D66" i="23"/>
  <c r="F66" i="23"/>
  <c r="G66" i="23"/>
  <c r="I66" i="23"/>
  <c r="J66" i="23"/>
  <c r="K66" i="23"/>
  <c r="M66" i="23"/>
  <c r="N66" i="23"/>
  <c r="A67" i="23"/>
  <c r="B67" i="23"/>
  <c r="C67" i="23"/>
  <c r="F67" i="23"/>
  <c r="G67" i="23"/>
  <c r="I67" i="23"/>
  <c r="J67" i="23"/>
  <c r="K67" i="23"/>
  <c r="M67" i="23"/>
  <c r="N67" i="23"/>
  <c r="A68" i="23"/>
  <c r="B68" i="23"/>
  <c r="C68" i="23"/>
  <c r="F68" i="23"/>
  <c r="G68" i="23"/>
  <c r="I68" i="23"/>
  <c r="J68" i="23"/>
  <c r="K68" i="23"/>
  <c r="M68" i="23"/>
  <c r="N68" i="23"/>
  <c r="A69" i="23"/>
  <c r="B69" i="23"/>
  <c r="C69" i="23"/>
  <c r="D69" i="23"/>
  <c r="F69" i="23"/>
  <c r="G69" i="23"/>
  <c r="I69" i="23"/>
  <c r="J69" i="23"/>
  <c r="K69" i="23"/>
  <c r="A70" i="23"/>
  <c r="B70" i="23"/>
  <c r="C70" i="23"/>
  <c r="D70" i="23"/>
  <c r="F70" i="23"/>
  <c r="G70" i="23"/>
  <c r="I70" i="23"/>
  <c r="J70" i="23"/>
  <c r="K70" i="23"/>
  <c r="M70" i="23"/>
  <c r="N70" i="23"/>
  <c r="A71" i="23"/>
  <c r="B71" i="23"/>
  <c r="C71" i="23"/>
  <c r="F71" i="23"/>
  <c r="G71" i="23"/>
  <c r="I71" i="23"/>
  <c r="J71" i="23"/>
  <c r="K71" i="23"/>
  <c r="M71" i="23"/>
  <c r="N71" i="23"/>
  <c r="A72" i="23"/>
  <c r="B72" i="23"/>
  <c r="C72" i="23"/>
  <c r="F72" i="23"/>
  <c r="G72" i="23"/>
  <c r="I72" i="23"/>
  <c r="J72" i="23"/>
  <c r="K72" i="23"/>
  <c r="M72" i="23"/>
  <c r="N72" i="23"/>
  <c r="A73" i="23"/>
  <c r="B73" i="23"/>
  <c r="C73" i="23"/>
  <c r="D73" i="23"/>
  <c r="F73" i="23"/>
  <c r="G73" i="23"/>
  <c r="I73" i="23"/>
  <c r="J73" i="23"/>
  <c r="K73" i="23"/>
  <c r="M73" i="23"/>
  <c r="N73" i="23"/>
  <c r="A74" i="23"/>
  <c r="B74" i="23"/>
  <c r="C74" i="23"/>
  <c r="D74" i="23"/>
  <c r="F74" i="23"/>
  <c r="G74" i="23"/>
  <c r="I74" i="23"/>
  <c r="J74" i="23"/>
  <c r="K74" i="23"/>
  <c r="A75" i="23"/>
  <c r="B75" i="23"/>
  <c r="C75" i="23"/>
  <c r="D75" i="23"/>
  <c r="F75" i="23"/>
  <c r="G75" i="23"/>
  <c r="I75" i="23"/>
  <c r="J75" i="23"/>
  <c r="K75" i="23"/>
  <c r="M75" i="23"/>
  <c r="N75" i="23"/>
  <c r="A76" i="23"/>
  <c r="B76" i="23"/>
  <c r="C76" i="23"/>
  <c r="F76" i="23"/>
  <c r="G76" i="23"/>
  <c r="I76" i="23"/>
  <c r="J76" i="23"/>
  <c r="K76" i="23"/>
  <c r="M76" i="23"/>
  <c r="N76" i="23"/>
  <c r="A77" i="23"/>
  <c r="B77" i="23"/>
  <c r="C77" i="23"/>
  <c r="D77" i="23"/>
  <c r="F77" i="23"/>
  <c r="G77" i="23"/>
  <c r="I77" i="23"/>
  <c r="J77" i="23"/>
  <c r="K77" i="23"/>
  <c r="M77" i="23"/>
  <c r="N77" i="23"/>
  <c r="A78" i="23"/>
  <c r="B78" i="23"/>
  <c r="C78" i="23"/>
  <c r="D78" i="23"/>
  <c r="F78" i="23"/>
  <c r="G78" i="23"/>
  <c r="I78" i="23"/>
  <c r="J78" i="23"/>
  <c r="K78" i="23"/>
  <c r="M78" i="23"/>
  <c r="N78" i="23"/>
  <c r="A79" i="23"/>
  <c r="B79" i="23"/>
  <c r="C79" i="23"/>
  <c r="F79" i="23"/>
  <c r="G79" i="23"/>
  <c r="I79" i="23"/>
  <c r="J79" i="23"/>
  <c r="K79" i="23"/>
  <c r="M79" i="23"/>
  <c r="N79" i="23"/>
  <c r="A80" i="23"/>
  <c r="B80" i="23"/>
  <c r="C80" i="23"/>
  <c r="F80" i="23"/>
  <c r="G80" i="23"/>
  <c r="I80" i="23"/>
  <c r="J80" i="23"/>
  <c r="K80" i="23"/>
  <c r="M80" i="23"/>
  <c r="N80" i="23"/>
  <c r="A81" i="23"/>
  <c r="B81" i="23"/>
  <c r="C81" i="23"/>
  <c r="D81" i="23"/>
  <c r="F81" i="23"/>
  <c r="G81" i="23"/>
  <c r="I81" i="23"/>
  <c r="J81" i="23"/>
  <c r="K81" i="23"/>
  <c r="M81" i="23"/>
  <c r="N81" i="23"/>
  <c r="A82" i="23"/>
  <c r="B82" i="23"/>
  <c r="C82" i="23"/>
  <c r="D82" i="23"/>
  <c r="F82" i="23"/>
  <c r="G82" i="23"/>
  <c r="I82" i="23"/>
  <c r="J82" i="23"/>
  <c r="K82" i="23"/>
  <c r="M82" i="23"/>
  <c r="N82" i="23"/>
  <c r="A83" i="23"/>
  <c r="B83" i="23"/>
  <c r="C83" i="23"/>
  <c r="F83" i="23"/>
  <c r="G83" i="23"/>
  <c r="I83" i="23"/>
  <c r="J83" i="23"/>
  <c r="K83" i="23"/>
  <c r="M83" i="23"/>
  <c r="N83" i="23"/>
  <c r="A84" i="23"/>
  <c r="B84" i="23"/>
  <c r="C84" i="23"/>
  <c r="F84" i="23"/>
  <c r="G84" i="23"/>
  <c r="I84" i="23"/>
  <c r="J84" i="23"/>
  <c r="K84" i="23"/>
  <c r="M84" i="23"/>
  <c r="N84" i="23"/>
  <c r="A85" i="23"/>
  <c r="B85" i="23"/>
  <c r="C85" i="23"/>
  <c r="D85" i="23"/>
  <c r="F85" i="23"/>
  <c r="G85" i="23"/>
  <c r="I85" i="23"/>
  <c r="J85" i="23"/>
  <c r="K85" i="23"/>
  <c r="M85" i="23"/>
  <c r="N85" i="23"/>
  <c r="A86" i="23"/>
  <c r="B86" i="23"/>
  <c r="C86" i="23"/>
  <c r="D86" i="23"/>
  <c r="F86" i="23"/>
  <c r="G86" i="23"/>
  <c r="I86" i="23"/>
  <c r="J86" i="23"/>
  <c r="K86" i="23"/>
  <c r="M86" i="23"/>
  <c r="N86" i="23"/>
  <c r="A87" i="23"/>
  <c r="B87" i="23"/>
  <c r="C87" i="23"/>
  <c r="F87" i="23"/>
  <c r="G87" i="23"/>
  <c r="I87" i="23"/>
  <c r="J87" i="23"/>
  <c r="K87" i="23"/>
  <c r="M87" i="23"/>
  <c r="N87" i="23"/>
  <c r="A88" i="23"/>
  <c r="B88" i="23"/>
  <c r="C88" i="23"/>
  <c r="F88" i="23"/>
  <c r="G88" i="23"/>
  <c r="I88" i="23"/>
  <c r="J88" i="23"/>
  <c r="K88" i="23"/>
  <c r="M88" i="23"/>
  <c r="N88" i="23"/>
  <c r="A89" i="23"/>
  <c r="B89" i="23"/>
  <c r="C89" i="23"/>
  <c r="D89" i="23"/>
  <c r="F89" i="23"/>
  <c r="G89" i="23"/>
  <c r="I89" i="23"/>
  <c r="J89" i="23"/>
  <c r="K89" i="23"/>
  <c r="M89" i="23"/>
  <c r="N89" i="23"/>
  <c r="A90" i="23"/>
  <c r="B90" i="23"/>
  <c r="C90" i="23"/>
  <c r="D90" i="23"/>
  <c r="F90" i="23"/>
  <c r="G90" i="23"/>
  <c r="I90" i="23"/>
  <c r="J90" i="23"/>
  <c r="K90" i="23"/>
  <c r="M90" i="23"/>
  <c r="N90" i="23"/>
  <c r="A91" i="23"/>
  <c r="B91" i="23"/>
  <c r="C91" i="23"/>
  <c r="D91" i="23"/>
  <c r="F91" i="23"/>
  <c r="G91" i="23"/>
  <c r="I91" i="23"/>
  <c r="J91" i="23"/>
  <c r="K91" i="23"/>
  <c r="M91" i="23"/>
  <c r="N91" i="23"/>
  <c r="A92" i="23"/>
  <c r="B92" i="23"/>
  <c r="C92" i="23"/>
  <c r="F92" i="23"/>
  <c r="G92" i="23"/>
  <c r="I92" i="23"/>
  <c r="J92" i="23"/>
  <c r="K92" i="23"/>
  <c r="M92" i="23"/>
  <c r="N92" i="23"/>
  <c r="A93" i="23"/>
  <c r="B93" i="23"/>
  <c r="C93" i="23"/>
  <c r="D93" i="23"/>
  <c r="F93" i="23"/>
  <c r="G93" i="23"/>
  <c r="I93" i="23"/>
  <c r="J93" i="23"/>
  <c r="K93" i="23"/>
  <c r="M93" i="23"/>
  <c r="N93" i="23"/>
  <c r="A94" i="23"/>
  <c r="B94" i="23"/>
  <c r="C94" i="23"/>
  <c r="D94" i="23"/>
  <c r="F94" i="23"/>
  <c r="G94" i="23"/>
  <c r="I94" i="23"/>
  <c r="J94" i="23"/>
  <c r="K94" i="23"/>
  <c r="M94" i="23"/>
  <c r="N94" i="23"/>
  <c r="A95" i="23"/>
  <c r="B95" i="23"/>
  <c r="C95" i="23"/>
  <c r="F95" i="23"/>
  <c r="G95" i="23"/>
  <c r="I95" i="23"/>
  <c r="J95" i="23"/>
  <c r="K95" i="23"/>
  <c r="M95" i="23"/>
  <c r="N95" i="23"/>
  <c r="A96" i="23"/>
  <c r="B96" i="23"/>
  <c r="C96" i="23"/>
  <c r="F96" i="23"/>
  <c r="G96" i="23"/>
  <c r="I96" i="23"/>
  <c r="J96" i="23"/>
  <c r="K96" i="23"/>
  <c r="M96" i="23"/>
  <c r="N96" i="23"/>
  <c r="A97" i="23"/>
  <c r="B97" i="23"/>
  <c r="C97" i="23"/>
  <c r="D97" i="23"/>
  <c r="F97" i="23"/>
  <c r="G97" i="23"/>
  <c r="I97" i="23"/>
  <c r="J97" i="23"/>
  <c r="K97" i="23"/>
  <c r="M97" i="23"/>
  <c r="N97" i="23"/>
  <c r="A98" i="23"/>
  <c r="B98" i="23"/>
  <c r="C98" i="23"/>
  <c r="D98" i="23"/>
  <c r="F98" i="23"/>
  <c r="G98" i="23"/>
  <c r="I98" i="23"/>
  <c r="J98" i="23"/>
  <c r="K98" i="23"/>
  <c r="M98" i="23"/>
  <c r="N98" i="23"/>
  <c r="A99" i="23"/>
  <c r="B99" i="23"/>
  <c r="C99" i="23"/>
  <c r="F99" i="23"/>
  <c r="G99" i="23"/>
  <c r="I99" i="23"/>
  <c r="J99" i="23"/>
  <c r="K99" i="23"/>
  <c r="M99" i="23"/>
  <c r="N99" i="23"/>
  <c r="A100" i="23"/>
  <c r="B100" i="23"/>
  <c r="C100" i="23"/>
  <c r="F100" i="23"/>
  <c r="G100" i="23"/>
  <c r="I100" i="23"/>
  <c r="J100" i="23"/>
  <c r="K100" i="23"/>
  <c r="M100" i="23"/>
  <c r="N100" i="23"/>
  <c r="A101" i="23"/>
  <c r="B101" i="23"/>
  <c r="C101" i="23"/>
  <c r="D101" i="23"/>
  <c r="F101" i="23"/>
  <c r="G101" i="23"/>
  <c r="I101" i="23"/>
  <c r="J101" i="23"/>
  <c r="K101" i="23"/>
  <c r="M101" i="23"/>
  <c r="N101" i="23"/>
  <c r="A102" i="23"/>
  <c r="B102" i="23"/>
  <c r="C102" i="23"/>
  <c r="D102" i="23"/>
  <c r="F102" i="23"/>
  <c r="G102" i="23"/>
  <c r="I102" i="23"/>
  <c r="J102" i="23"/>
  <c r="K102" i="23"/>
  <c r="A103" i="23"/>
  <c r="B103" i="23"/>
  <c r="C103" i="23"/>
  <c r="F103" i="23"/>
  <c r="G103" i="23"/>
  <c r="I103" i="23"/>
  <c r="J103" i="23"/>
  <c r="K103" i="23"/>
  <c r="O6" i="23" l="1"/>
  <c r="AE5" i="5"/>
  <c r="P6" i="23" s="1"/>
  <c r="AF5" i="5"/>
  <c r="Q6" i="23" s="1"/>
  <c r="AI5" i="5" l="1"/>
  <c r="AH5" i="5"/>
  <c r="AG5" i="5"/>
  <c r="C104" i="5" l="1"/>
  <c r="C103" i="5"/>
  <c r="C105" i="5" l="1"/>
  <c r="H66" i="23" l="1"/>
  <c r="H67" i="23"/>
  <c r="H68" i="23"/>
  <c r="H69" i="23"/>
  <c r="H70" i="23"/>
  <c r="H71" i="23"/>
  <c r="H72" i="23"/>
  <c r="H73" i="23"/>
  <c r="H74" i="23"/>
  <c r="H75" i="23"/>
  <c r="H76" i="23"/>
  <c r="H77" i="23"/>
  <c r="H78" i="23"/>
  <c r="H79" i="23"/>
  <c r="H80" i="23"/>
  <c r="H81" i="23"/>
  <c r="H82" i="23"/>
  <c r="H83" i="23"/>
  <c r="H84" i="23"/>
  <c r="H85" i="23"/>
  <c r="H86" i="23"/>
  <c r="H87" i="23"/>
  <c r="H88" i="23"/>
  <c r="H89" i="23"/>
  <c r="H90" i="23"/>
  <c r="H91" i="23"/>
  <c r="H92" i="23"/>
  <c r="H93" i="23"/>
  <c r="H94" i="23"/>
  <c r="H95" i="23"/>
  <c r="H96" i="23"/>
  <c r="H97" i="23"/>
  <c r="H98" i="23"/>
  <c r="H99" i="23"/>
  <c r="H100" i="23"/>
  <c r="H101" i="23"/>
  <c r="H102" i="23"/>
  <c r="H103" i="23"/>
  <c r="R100" i="5" l="1"/>
  <c r="AB100" i="5" s="1"/>
  <c r="AF100" i="5" s="1"/>
  <c r="R96" i="5"/>
  <c r="AB96" i="5" s="1"/>
  <c r="AF96" i="5" s="1"/>
  <c r="R92" i="5"/>
  <c r="AB92" i="5" s="1"/>
  <c r="AF92" i="5" s="1"/>
  <c r="R98" i="5"/>
  <c r="AB98" i="5" s="1"/>
  <c r="AF98" i="5" s="1"/>
  <c r="R94" i="5"/>
  <c r="AB94" i="5" s="1"/>
  <c r="AF94" i="5" s="1"/>
  <c r="R90" i="5"/>
  <c r="AB90" i="5" s="1"/>
  <c r="AF90" i="5" s="1"/>
  <c r="R79" i="5"/>
  <c r="AB79" i="5" s="1"/>
  <c r="AF79" i="5" s="1"/>
  <c r="R75" i="5"/>
  <c r="AB75" i="5" s="1"/>
  <c r="AF75" i="5" s="1"/>
  <c r="R72" i="5"/>
  <c r="AB72" i="5" s="1"/>
  <c r="AF72" i="5" s="1"/>
  <c r="R78" i="5"/>
  <c r="AB78" i="5" s="1"/>
  <c r="AF78" i="5" s="1"/>
  <c r="R71" i="5"/>
  <c r="AB71" i="5" s="1"/>
  <c r="AF71" i="5" s="1"/>
  <c r="R67" i="5"/>
  <c r="AB67" i="5" s="1"/>
  <c r="AF67" i="5" s="1"/>
  <c r="R87" i="5"/>
  <c r="AB87" i="5" s="1"/>
  <c r="AF87" i="5" s="1"/>
  <c r="R84" i="5"/>
  <c r="AB84" i="5" s="1"/>
  <c r="AF84" i="5" s="1"/>
  <c r="R80" i="5"/>
  <c r="AB80" i="5" s="1"/>
  <c r="AF80" i="5" s="1"/>
  <c r="R76" i="5"/>
  <c r="AB76" i="5" s="1"/>
  <c r="AF76" i="5" s="1"/>
  <c r="R88" i="5"/>
  <c r="AB88" i="5" s="1"/>
  <c r="AF88" i="5" s="1"/>
  <c r="R85" i="5"/>
  <c r="AB85" i="5" s="1"/>
  <c r="AF85" i="5" s="1"/>
  <c r="R74" i="5"/>
  <c r="AB74" i="5" s="1"/>
  <c r="AF74" i="5" s="1"/>
  <c r="R70" i="5"/>
  <c r="AB70" i="5" s="1"/>
  <c r="AF70" i="5" s="1"/>
  <c r="R86" i="5"/>
  <c r="AB86" i="5" s="1"/>
  <c r="AF86" i="5" s="1"/>
  <c r="R83" i="5"/>
  <c r="AB83" i="5" s="1"/>
  <c r="AF83" i="5" s="1"/>
  <c r="R65" i="5"/>
  <c r="AB65" i="5" s="1"/>
  <c r="AF65" i="5" s="1"/>
  <c r="Q81" i="5"/>
  <c r="AA81" i="5" s="1"/>
  <c r="AE81" i="5" s="1"/>
  <c r="K80" i="5"/>
  <c r="K100" i="5"/>
  <c r="Q77" i="5"/>
  <c r="AA77" i="5" s="1"/>
  <c r="AE77" i="5" s="1"/>
  <c r="K76" i="5"/>
  <c r="Q69" i="5"/>
  <c r="AA69" i="5" s="1"/>
  <c r="AE69" i="5" s="1"/>
  <c r="K68" i="5"/>
  <c r="Q66" i="5"/>
  <c r="AA66" i="5" s="1"/>
  <c r="AE66" i="5" s="1"/>
  <c r="K65" i="5"/>
  <c r="Q89" i="5"/>
  <c r="AA89" i="5" s="1"/>
  <c r="AE89" i="5" s="1"/>
  <c r="Q82" i="5"/>
  <c r="AA82" i="5" s="1"/>
  <c r="AE82" i="5" s="1"/>
  <c r="K82" i="5"/>
  <c r="Q86" i="5"/>
  <c r="AA86" i="5" s="1"/>
  <c r="AE86" i="5" s="1"/>
  <c r="Q83" i="5"/>
  <c r="AA83" i="5" s="1"/>
  <c r="AE83" i="5" s="1"/>
  <c r="Q78" i="5"/>
  <c r="AA78" i="5" s="1"/>
  <c r="AE78" i="5" s="1"/>
  <c r="Q74" i="5"/>
  <c r="AA74" i="5" s="1"/>
  <c r="AE74" i="5" s="1"/>
  <c r="K73" i="5"/>
  <c r="Q70" i="5"/>
  <c r="AA70" i="5" s="1"/>
  <c r="AE70" i="5" s="1"/>
  <c r="K69" i="5"/>
  <c r="K101" i="5"/>
  <c r="Q99" i="5"/>
  <c r="AA99" i="5" s="1"/>
  <c r="AE99" i="5" s="1"/>
  <c r="K98" i="5"/>
  <c r="Q87" i="5"/>
  <c r="AA87" i="5" s="1"/>
  <c r="AE87" i="5" s="1"/>
  <c r="Q84" i="5"/>
  <c r="AA84" i="5" s="1"/>
  <c r="AE84" i="5" s="1"/>
  <c r="Q79" i="5"/>
  <c r="AA79" i="5" s="1"/>
  <c r="AE79" i="5" s="1"/>
  <c r="K78" i="5"/>
  <c r="Q75" i="5"/>
  <c r="AA75" i="5" s="1"/>
  <c r="AE75" i="5" s="1"/>
  <c r="Q71" i="5"/>
  <c r="AA71" i="5" s="1"/>
  <c r="AE71" i="5" s="1"/>
  <c r="K70" i="5"/>
  <c r="Q67" i="5"/>
  <c r="AA67" i="5" s="1"/>
  <c r="AE67" i="5" s="1"/>
  <c r="Q98" i="5"/>
  <c r="AA98" i="5" s="1"/>
  <c r="AE98" i="5" s="1"/>
  <c r="Q90" i="5"/>
  <c r="AA90" i="5" s="1"/>
  <c r="AE90" i="5" s="1"/>
  <c r="K89" i="5"/>
  <c r="K66" i="5"/>
  <c r="Q100" i="5"/>
  <c r="AA100" i="5" s="1"/>
  <c r="AE100" i="5" s="1"/>
  <c r="R89" i="5"/>
  <c r="AB89" i="5" s="1"/>
  <c r="AF89" i="5" s="1"/>
  <c r="Q88" i="5"/>
  <c r="AA88" i="5" s="1"/>
  <c r="AE88" i="5" s="1"/>
  <c r="K87" i="5"/>
  <c r="Q85" i="5"/>
  <c r="AA85" i="5" s="1"/>
  <c r="AE85" i="5" s="1"/>
  <c r="K84" i="5"/>
  <c r="R82" i="5"/>
  <c r="AB82" i="5" s="1"/>
  <c r="AF82" i="5" s="1"/>
  <c r="R81" i="5"/>
  <c r="AB81" i="5" s="1"/>
  <c r="AF81" i="5" s="1"/>
  <c r="Q80" i="5"/>
  <c r="AA80" i="5" s="1"/>
  <c r="AE80" i="5" s="1"/>
  <c r="R77" i="5"/>
  <c r="AB77" i="5" s="1"/>
  <c r="AF77" i="5" s="1"/>
  <c r="Q76" i="5"/>
  <c r="AA76" i="5" s="1"/>
  <c r="AE76" i="5" s="1"/>
  <c r="Q72" i="5"/>
  <c r="AA72" i="5" s="1"/>
  <c r="AE72" i="5" s="1"/>
  <c r="K71" i="5"/>
  <c r="R69" i="5"/>
  <c r="AB69" i="5" s="1"/>
  <c r="AF69" i="5" s="1"/>
  <c r="K67" i="5"/>
  <c r="R66" i="5"/>
  <c r="AB66" i="5" s="1"/>
  <c r="AF66" i="5" s="1"/>
  <c r="Q65" i="5"/>
  <c r="AA65" i="5" s="1"/>
  <c r="AE65" i="5" s="1"/>
  <c r="K95" i="5"/>
  <c r="K91" i="5"/>
  <c r="K96" i="5"/>
  <c r="K93" i="5"/>
  <c r="K92" i="5"/>
  <c r="K97" i="5"/>
  <c r="K94" i="5"/>
  <c r="R97" i="5"/>
  <c r="AB97" i="5" s="1"/>
  <c r="AF97" i="5" s="1"/>
  <c r="R99" i="5"/>
  <c r="AB99" i="5" s="1"/>
  <c r="AF99" i="5" s="1"/>
  <c r="Q96" i="5"/>
  <c r="AA96" i="5" s="1"/>
  <c r="AE96" i="5" s="1"/>
  <c r="R95" i="5"/>
  <c r="AB95" i="5" s="1"/>
  <c r="AF95" i="5" s="1"/>
  <c r="Q94" i="5"/>
  <c r="AA94" i="5" s="1"/>
  <c r="AE94" i="5" s="1"/>
  <c r="R93" i="5"/>
  <c r="AB93" i="5" s="1"/>
  <c r="AF93" i="5" s="1"/>
  <c r="Q92" i="5"/>
  <c r="AA92" i="5" s="1"/>
  <c r="AE92" i="5" s="1"/>
  <c r="R91" i="5"/>
  <c r="AB91" i="5" s="1"/>
  <c r="AF91" i="5" s="1"/>
  <c r="K102" i="5"/>
  <c r="K99" i="5"/>
  <c r="Q97" i="5"/>
  <c r="Q95" i="5"/>
  <c r="Q93" i="5"/>
  <c r="Q91" i="5"/>
  <c r="K90" i="5"/>
  <c r="K88" i="5"/>
  <c r="K86" i="5"/>
  <c r="K85" i="5"/>
  <c r="K83" i="5"/>
  <c r="K81" i="5"/>
  <c r="K79" i="5"/>
  <c r="K77" i="5"/>
  <c r="K75" i="5"/>
  <c r="K74" i="5"/>
  <c r="K72" i="5"/>
  <c r="AH72" i="5" l="1"/>
  <c r="S73" i="23" s="1"/>
  <c r="P73" i="23"/>
  <c r="AH100" i="5"/>
  <c r="S101" i="23" s="1"/>
  <c r="P101" i="23"/>
  <c r="AH71" i="5"/>
  <c r="S72" i="23" s="1"/>
  <c r="P72" i="23"/>
  <c r="AH74" i="5"/>
  <c r="S75" i="23" s="1"/>
  <c r="P75" i="23"/>
  <c r="AI88" i="5"/>
  <c r="T89" i="23" s="1"/>
  <c r="Q89" i="23"/>
  <c r="AI92" i="5"/>
  <c r="T93" i="23" s="1"/>
  <c r="Q93" i="23"/>
  <c r="AH96" i="5"/>
  <c r="S97" i="23" s="1"/>
  <c r="P97" i="23"/>
  <c r="AI97" i="5"/>
  <c r="T98" i="23" s="1"/>
  <c r="Q98" i="23"/>
  <c r="AI81" i="5"/>
  <c r="T82" i="23" s="1"/>
  <c r="Q82" i="23"/>
  <c r="AH98" i="5"/>
  <c r="S99" i="23" s="1"/>
  <c r="P99" i="23"/>
  <c r="AH87" i="5"/>
  <c r="S88" i="23" s="1"/>
  <c r="P88" i="23"/>
  <c r="AH78" i="5"/>
  <c r="S79" i="23" s="1"/>
  <c r="P79" i="23"/>
  <c r="AH81" i="5"/>
  <c r="S82" i="23" s="1"/>
  <c r="P82" i="23"/>
  <c r="AI76" i="5"/>
  <c r="T77" i="23" s="1"/>
  <c r="Q77" i="23"/>
  <c r="AI67" i="5"/>
  <c r="T68" i="23" s="1"/>
  <c r="Q68" i="23"/>
  <c r="AI96" i="5"/>
  <c r="T97" i="23" s="1"/>
  <c r="Q97" i="23"/>
  <c r="AI93" i="5"/>
  <c r="T94" i="23" s="1"/>
  <c r="Q94" i="23"/>
  <c r="AI69" i="5"/>
  <c r="T70" i="23" s="1"/>
  <c r="Q70" i="23"/>
  <c r="AI82" i="5"/>
  <c r="T83" i="23" s="1"/>
  <c r="Q83" i="23"/>
  <c r="AH67" i="5"/>
  <c r="S68" i="23" s="1"/>
  <c r="P68" i="23"/>
  <c r="AH70" i="5"/>
  <c r="S71" i="23" s="1"/>
  <c r="P71" i="23"/>
  <c r="AH83" i="5"/>
  <c r="S84" i="23" s="1"/>
  <c r="P84" i="23"/>
  <c r="AH94" i="5"/>
  <c r="S95" i="23" s="1"/>
  <c r="P95" i="23"/>
  <c r="AI66" i="5"/>
  <c r="T67" i="23" s="1"/>
  <c r="Q67" i="23"/>
  <c r="AI77" i="5"/>
  <c r="T78" i="23" s="1"/>
  <c r="Q78" i="23"/>
  <c r="AI89" i="5"/>
  <c r="T90" i="23" s="1"/>
  <c r="Q90" i="23"/>
  <c r="AH79" i="5"/>
  <c r="S80" i="23" s="1"/>
  <c r="P80" i="23"/>
  <c r="AH99" i="5"/>
  <c r="S100" i="23" s="1"/>
  <c r="P100" i="23"/>
  <c r="AH86" i="5"/>
  <c r="S87" i="23" s="1"/>
  <c r="P87" i="23"/>
  <c r="AH89" i="5"/>
  <c r="S90" i="23" s="1"/>
  <c r="P90" i="23"/>
  <c r="AH69" i="5"/>
  <c r="S70" i="23" s="1"/>
  <c r="P70" i="23"/>
  <c r="AI83" i="5"/>
  <c r="T84" i="23" s="1"/>
  <c r="Q84" i="23"/>
  <c r="AI85" i="5"/>
  <c r="T86" i="23" s="1"/>
  <c r="Q86" i="23"/>
  <c r="AI84" i="5"/>
  <c r="T85" i="23" s="1"/>
  <c r="Q85" i="23"/>
  <c r="AI78" i="5"/>
  <c r="T79" i="23" s="1"/>
  <c r="Q79" i="23"/>
  <c r="AI79" i="5"/>
  <c r="T80" i="23" s="1"/>
  <c r="Q80" i="23"/>
  <c r="AI95" i="5"/>
  <c r="T96" i="23" s="1"/>
  <c r="Q96" i="23"/>
  <c r="AH80" i="5"/>
  <c r="S81" i="23" s="1"/>
  <c r="P81" i="23"/>
  <c r="AH90" i="5"/>
  <c r="S91" i="23" s="1"/>
  <c r="P91" i="23"/>
  <c r="AI86" i="5"/>
  <c r="T87" i="23" s="1"/>
  <c r="Q87" i="23"/>
  <c r="AH92" i="5"/>
  <c r="S93" i="23" s="1"/>
  <c r="P93" i="23"/>
  <c r="AI94" i="5"/>
  <c r="T95" i="23" s="1"/>
  <c r="Q95" i="23"/>
  <c r="AI91" i="5"/>
  <c r="T92" i="23" s="1"/>
  <c r="Q92" i="23"/>
  <c r="AH85" i="5"/>
  <c r="S86" i="23" s="1"/>
  <c r="P86" i="23"/>
  <c r="AH84" i="5"/>
  <c r="S85" i="23" s="1"/>
  <c r="P85" i="23"/>
  <c r="AI87" i="5"/>
  <c r="T88" i="23" s="1"/>
  <c r="Q88" i="23"/>
  <c r="AI90" i="5"/>
  <c r="T91" i="23" s="1"/>
  <c r="Q91" i="23"/>
  <c r="AI99" i="5"/>
  <c r="T100" i="23" s="1"/>
  <c r="Q100" i="23"/>
  <c r="AH75" i="5"/>
  <c r="S76" i="23" s="1"/>
  <c r="P76" i="23"/>
  <c r="AH66" i="5"/>
  <c r="S67" i="23" s="1"/>
  <c r="P67" i="23"/>
  <c r="AI70" i="5"/>
  <c r="T71" i="23" s="1"/>
  <c r="Q71" i="23"/>
  <c r="AI72" i="5"/>
  <c r="T73" i="23" s="1"/>
  <c r="Q73" i="23"/>
  <c r="AH65" i="5"/>
  <c r="S66" i="23" s="1"/>
  <c r="P66" i="23"/>
  <c r="AH76" i="5"/>
  <c r="S77" i="23" s="1"/>
  <c r="P77" i="23"/>
  <c r="AH88" i="5"/>
  <c r="S89" i="23" s="1"/>
  <c r="P89" i="23"/>
  <c r="AH82" i="5"/>
  <c r="S83" i="23" s="1"/>
  <c r="P83" i="23"/>
  <c r="AH77" i="5"/>
  <c r="S78" i="23" s="1"/>
  <c r="P78" i="23"/>
  <c r="AI65" i="5"/>
  <c r="T66" i="23" s="1"/>
  <c r="Q66" i="23"/>
  <c r="AI74" i="5"/>
  <c r="T75" i="23" s="1"/>
  <c r="Q75" i="23"/>
  <c r="AI80" i="5"/>
  <c r="T81" i="23" s="1"/>
  <c r="Q81" i="23"/>
  <c r="AI71" i="5"/>
  <c r="T72" i="23" s="1"/>
  <c r="Q72" i="23"/>
  <c r="AI75" i="5"/>
  <c r="T76" i="23" s="1"/>
  <c r="Q76" i="23"/>
  <c r="AI98" i="5"/>
  <c r="T99" i="23" s="1"/>
  <c r="Q99" i="23"/>
  <c r="AI100" i="5"/>
  <c r="T101" i="23" s="1"/>
  <c r="Q101" i="23"/>
  <c r="AA97" i="5"/>
  <c r="AE97" i="5" s="1"/>
  <c r="AA91" i="5"/>
  <c r="AE91" i="5" s="1"/>
  <c r="AA95" i="5"/>
  <c r="AE95" i="5" s="1"/>
  <c r="AA93" i="5"/>
  <c r="AE93" i="5" s="1"/>
  <c r="AH97" i="5" l="1"/>
  <c r="S98" i="23" s="1"/>
  <c r="P98" i="23"/>
  <c r="AH95" i="5"/>
  <c r="S96" i="23" s="1"/>
  <c r="P96" i="23"/>
  <c r="AH91" i="5"/>
  <c r="S92" i="23" s="1"/>
  <c r="P92" i="23"/>
  <c r="AH93" i="5"/>
  <c r="S94" i="23" s="1"/>
  <c r="P94" i="23"/>
  <c r="E52" i="13" l="1"/>
  <c r="D52" i="13"/>
  <c r="D53" i="13"/>
  <c r="E53" i="13"/>
  <c r="D54" i="13" l="1"/>
  <c r="E54" i="13"/>
  <c r="B51" i="10" l="1"/>
  <c r="B50" i="10"/>
  <c r="B52" i="10" l="1"/>
  <c r="C65" i="23" l="1"/>
  <c r="B65" i="23"/>
  <c r="A65" i="23"/>
  <c r="C64" i="23"/>
  <c r="B64" i="23"/>
  <c r="A64" i="23"/>
  <c r="C63" i="23"/>
  <c r="B63" i="23"/>
  <c r="A63" i="23"/>
  <c r="C62" i="23"/>
  <c r="B62" i="23"/>
  <c r="A62" i="23"/>
  <c r="C61" i="23"/>
  <c r="B61" i="23"/>
  <c r="A61" i="23"/>
  <c r="C60" i="23"/>
  <c r="B60" i="23"/>
  <c r="A60" i="23"/>
  <c r="C59" i="23"/>
  <c r="B59" i="23"/>
  <c r="A59" i="23"/>
  <c r="C58" i="23"/>
  <c r="B58" i="23"/>
  <c r="A58" i="23"/>
  <c r="C57" i="23"/>
  <c r="B57" i="23"/>
  <c r="A57" i="23"/>
  <c r="C56" i="23"/>
  <c r="B56" i="23"/>
  <c r="A56" i="23"/>
  <c r="C55" i="23"/>
  <c r="B55" i="23"/>
  <c r="A55" i="23"/>
  <c r="C54" i="23"/>
  <c r="B54" i="23"/>
  <c r="A54" i="23"/>
  <c r="C53" i="23"/>
  <c r="B53" i="23"/>
  <c r="A53" i="23"/>
  <c r="C52" i="23"/>
  <c r="B52" i="23"/>
  <c r="A52" i="23"/>
  <c r="C51" i="23"/>
  <c r="B51" i="23"/>
  <c r="A51" i="23"/>
  <c r="C50" i="23"/>
  <c r="B50" i="23"/>
  <c r="A50" i="23"/>
  <c r="C49" i="23"/>
  <c r="B49" i="23"/>
  <c r="A49" i="23"/>
  <c r="C48" i="23"/>
  <c r="B48" i="23"/>
  <c r="A48" i="23"/>
  <c r="C47" i="23"/>
  <c r="B47" i="23"/>
  <c r="A47" i="23"/>
  <c r="C46" i="23"/>
  <c r="B46" i="23"/>
  <c r="A46" i="23"/>
  <c r="C45" i="23"/>
  <c r="B45" i="23"/>
  <c r="A45" i="23"/>
  <c r="C44" i="23"/>
  <c r="B44" i="23"/>
  <c r="A44" i="23"/>
  <c r="C43" i="23"/>
  <c r="B43" i="23"/>
  <c r="A43" i="23"/>
  <c r="C42" i="23"/>
  <c r="B42" i="23"/>
  <c r="A42" i="23"/>
  <c r="C41" i="23"/>
  <c r="B41" i="23"/>
  <c r="A41" i="23"/>
  <c r="C40" i="23"/>
  <c r="B40" i="23"/>
  <c r="A40" i="23"/>
  <c r="C39" i="23"/>
  <c r="B39" i="23"/>
  <c r="A39" i="23"/>
  <c r="C38" i="23"/>
  <c r="B38" i="23"/>
  <c r="A38" i="23"/>
  <c r="C37" i="23"/>
  <c r="B37" i="23"/>
  <c r="A37" i="23"/>
  <c r="C36" i="23"/>
  <c r="B36" i="23"/>
  <c r="A36" i="23"/>
  <c r="C35" i="23"/>
  <c r="B35" i="23"/>
  <c r="A35" i="23"/>
  <c r="C34" i="23"/>
  <c r="B34" i="23"/>
  <c r="A34" i="23"/>
  <c r="C33" i="23"/>
  <c r="B33" i="23"/>
  <c r="A33" i="23"/>
  <c r="C32" i="23"/>
  <c r="B32" i="23"/>
  <c r="A32" i="23"/>
  <c r="C31" i="23"/>
  <c r="B31" i="23"/>
  <c r="A31" i="23"/>
  <c r="C30" i="23"/>
  <c r="B30" i="23"/>
  <c r="A30" i="23"/>
  <c r="C29" i="23"/>
  <c r="B29" i="23"/>
  <c r="A29" i="23"/>
  <c r="C28" i="23"/>
  <c r="B28" i="23"/>
  <c r="A28" i="23"/>
  <c r="C27" i="23"/>
  <c r="B27" i="23"/>
  <c r="A27" i="23"/>
  <c r="C26" i="23"/>
  <c r="B26" i="23"/>
  <c r="A26" i="23"/>
  <c r="C25" i="23"/>
  <c r="B25" i="23"/>
  <c r="A25" i="23"/>
  <c r="C24" i="23"/>
  <c r="B24" i="23"/>
  <c r="A24" i="23"/>
  <c r="C23" i="23"/>
  <c r="B23" i="23"/>
  <c r="A23" i="23"/>
  <c r="C22" i="23"/>
  <c r="B22" i="23"/>
  <c r="A22" i="23"/>
  <c r="C21" i="23"/>
  <c r="B21" i="23"/>
  <c r="A21" i="23"/>
  <c r="C20" i="23"/>
  <c r="B20" i="23"/>
  <c r="A20" i="23"/>
  <c r="C19" i="23"/>
  <c r="B19" i="23"/>
  <c r="A19" i="23"/>
  <c r="C18" i="23"/>
  <c r="B18" i="23"/>
  <c r="A18" i="23"/>
  <c r="C17" i="23"/>
  <c r="B17" i="23"/>
  <c r="A17" i="23"/>
  <c r="C16" i="23"/>
  <c r="B16" i="23"/>
  <c r="A16" i="23"/>
  <c r="C15" i="23"/>
  <c r="B15" i="23"/>
  <c r="A15" i="23"/>
  <c r="C14" i="23"/>
  <c r="B14" i="23"/>
  <c r="A14" i="23"/>
  <c r="C13" i="23"/>
  <c r="B13" i="23"/>
  <c r="A13" i="23"/>
  <c r="C12" i="23"/>
  <c r="B12" i="23"/>
  <c r="A12" i="23"/>
  <c r="C11" i="23"/>
  <c r="B11" i="23"/>
  <c r="A11" i="23"/>
  <c r="C10" i="23"/>
  <c r="B10" i="23"/>
  <c r="A10" i="23"/>
  <c r="C9" i="23"/>
  <c r="B9" i="23"/>
  <c r="A9" i="23"/>
  <c r="C8" i="23"/>
  <c r="B8" i="23"/>
  <c r="A8" i="23"/>
  <c r="C7" i="23"/>
  <c r="B7" i="23"/>
  <c r="A7" i="23"/>
  <c r="C6" i="23"/>
  <c r="B6" i="23"/>
  <c r="A6" i="23"/>
  <c r="C5" i="23"/>
  <c r="B5" i="23"/>
  <c r="A5" i="23"/>
  <c r="D6" i="23" l="1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2" i="23"/>
  <c r="D23" i="23"/>
  <c r="D24" i="23"/>
  <c r="D25" i="23"/>
  <c r="D26" i="23"/>
  <c r="D27" i="23"/>
  <c r="D28" i="23"/>
  <c r="D29" i="23"/>
  <c r="D30" i="23"/>
  <c r="D31" i="23"/>
  <c r="D32" i="23"/>
  <c r="D33" i="23"/>
  <c r="D34" i="23"/>
  <c r="D35" i="23"/>
  <c r="D36" i="23"/>
  <c r="D37" i="23"/>
  <c r="D38" i="23"/>
  <c r="D39" i="23"/>
  <c r="D40" i="23"/>
  <c r="D41" i="23"/>
  <c r="D42" i="23"/>
  <c r="D43" i="23"/>
  <c r="D44" i="23"/>
  <c r="D45" i="23"/>
  <c r="D46" i="23"/>
  <c r="D47" i="23"/>
  <c r="D48" i="23"/>
  <c r="D49" i="23"/>
  <c r="D50" i="23"/>
  <c r="D51" i="23"/>
  <c r="D52" i="23"/>
  <c r="D53" i="23"/>
  <c r="D54" i="23"/>
  <c r="D55" i="23"/>
  <c r="D56" i="23"/>
  <c r="D57" i="23"/>
  <c r="D58" i="23"/>
  <c r="D59" i="23"/>
  <c r="D60" i="23"/>
  <c r="D61" i="23"/>
  <c r="D62" i="23"/>
  <c r="D63" i="23"/>
  <c r="D64" i="23"/>
  <c r="D65" i="23"/>
  <c r="D5" i="23"/>
  <c r="O6" i="5" l="1"/>
  <c r="I27" i="4" l="1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L6" i="23" l="1"/>
  <c r="M6" i="23"/>
  <c r="N6" i="23"/>
  <c r="L7" i="23"/>
  <c r="M7" i="23"/>
  <c r="N7" i="23"/>
  <c r="N8" i="23"/>
  <c r="N9" i="23"/>
  <c r="N10" i="23"/>
  <c r="N11" i="23"/>
  <c r="N12" i="23"/>
  <c r="N13" i="23"/>
  <c r="N14" i="23"/>
  <c r="N15" i="23"/>
  <c r="N16" i="23"/>
  <c r="N18" i="23"/>
  <c r="N19" i="23"/>
  <c r="N21" i="23"/>
  <c r="N22" i="23"/>
  <c r="N23" i="23"/>
  <c r="N24" i="23"/>
  <c r="N27" i="23"/>
  <c r="N29" i="23"/>
  <c r="N30" i="23"/>
  <c r="N31" i="23"/>
  <c r="N33" i="23"/>
  <c r="N34" i="23"/>
  <c r="N35" i="23"/>
  <c r="N36" i="23"/>
  <c r="N38" i="23"/>
  <c r="N39" i="23"/>
  <c r="N40" i="23"/>
  <c r="N41" i="23"/>
  <c r="N42" i="23"/>
  <c r="N43" i="23"/>
  <c r="N46" i="23"/>
  <c r="N48" i="23"/>
  <c r="N49" i="23"/>
  <c r="N50" i="23"/>
  <c r="M51" i="23"/>
  <c r="N51" i="23"/>
  <c r="M52" i="23"/>
  <c r="N52" i="23"/>
  <c r="M53" i="23"/>
  <c r="N53" i="23"/>
  <c r="M54" i="23"/>
  <c r="N54" i="23"/>
  <c r="M55" i="23"/>
  <c r="N55" i="23"/>
  <c r="M56" i="23"/>
  <c r="N56" i="23"/>
  <c r="M57" i="23"/>
  <c r="N57" i="23"/>
  <c r="M59" i="23"/>
  <c r="N59" i="23"/>
  <c r="M60" i="23"/>
  <c r="N60" i="23"/>
  <c r="M61" i="23"/>
  <c r="N61" i="23"/>
  <c r="M62" i="23"/>
  <c r="N62" i="23"/>
  <c r="M63" i="23"/>
  <c r="N63" i="23"/>
  <c r="M64" i="23"/>
  <c r="N64" i="23"/>
  <c r="M65" i="23"/>
  <c r="N65" i="23"/>
  <c r="L2" i="1" l="1"/>
  <c r="G65" i="23" l="1"/>
  <c r="H65" i="23"/>
  <c r="I65" i="23"/>
  <c r="K65" i="23"/>
  <c r="J65" i="23" l="1"/>
  <c r="R64" i="5"/>
  <c r="AB64" i="5" s="1"/>
  <c r="F65" i="23"/>
  <c r="Q64" i="5"/>
  <c r="AA64" i="5" s="1"/>
  <c r="AE64" i="5" s="1"/>
  <c r="K64" i="5"/>
  <c r="AH64" i="5" l="1"/>
  <c r="S65" i="23" s="1"/>
  <c r="P65" i="23"/>
  <c r="AF64" i="5"/>
  <c r="AI64" i="5" l="1"/>
  <c r="T65" i="23" s="1"/>
  <c r="Q65" i="23"/>
  <c r="G51" i="23" l="1"/>
  <c r="G52" i="23"/>
  <c r="G53" i="23"/>
  <c r="G54" i="23"/>
  <c r="G55" i="23"/>
  <c r="G56" i="23"/>
  <c r="G57" i="23"/>
  <c r="G58" i="23"/>
  <c r="G59" i="23"/>
  <c r="G60" i="23"/>
  <c r="G61" i="23"/>
  <c r="G62" i="23"/>
  <c r="G63" i="23"/>
  <c r="G64" i="23"/>
  <c r="R63" i="5" l="1"/>
  <c r="AB63" i="5" s="1"/>
  <c r="F64" i="23"/>
  <c r="R59" i="5"/>
  <c r="AB59" i="5" s="1"/>
  <c r="F60" i="23"/>
  <c r="R55" i="5"/>
  <c r="AB55" i="5" s="1"/>
  <c r="F56" i="23"/>
  <c r="R51" i="5"/>
  <c r="AB51" i="5" s="1"/>
  <c r="F52" i="23"/>
  <c r="R62" i="5"/>
  <c r="AB62" i="5" s="1"/>
  <c r="F63" i="23"/>
  <c r="R58" i="5"/>
  <c r="AB58" i="5" s="1"/>
  <c r="F59" i="23"/>
  <c r="R54" i="5"/>
  <c r="AB54" i="5" s="1"/>
  <c r="F55" i="23"/>
  <c r="R50" i="5"/>
  <c r="AB50" i="5" s="1"/>
  <c r="F51" i="23"/>
  <c r="R61" i="5"/>
  <c r="AB61" i="5" s="1"/>
  <c r="F62" i="23"/>
  <c r="F58" i="23"/>
  <c r="R53" i="5"/>
  <c r="AB53" i="5" s="1"/>
  <c r="F54" i="23"/>
  <c r="R60" i="5"/>
  <c r="AB60" i="5" s="1"/>
  <c r="F61" i="23"/>
  <c r="R56" i="5"/>
  <c r="AB56" i="5" s="1"/>
  <c r="F57" i="23"/>
  <c r="R52" i="5"/>
  <c r="AB52" i="5" s="1"/>
  <c r="F53" i="23"/>
  <c r="K51" i="23"/>
  <c r="K52" i="23"/>
  <c r="K53" i="23"/>
  <c r="K54" i="23"/>
  <c r="K55" i="23"/>
  <c r="K56" i="23"/>
  <c r="K57" i="23"/>
  <c r="K58" i="23"/>
  <c r="K59" i="23"/>
  <c r="K60" i="23"/>
  <c r="K61" i="23"/>
  <c r="K62" i="23"/>
  <c r="K63" i="23"/>
  <c r="K64" i="23"/>
  <c r="I6" i="23"/>
  <c r="I7" i="23"/>
  <c r="I8" i="23"/>
  <c r="I9" i="23"/>
  <c r="I10" i="23"/>
  <c r="I11" i="23"/>
  <c r="I12" i="23"/>
  <c r="I13" i="23"/>
  <c r="I14" i="23"/>
  <c r="I15" i="23"/>
  <c r="I16" i="23"/>
  <c r="I17" i="23"/>
  <c r="I18" i="23"/>
  <c r="I19" i="23"/>
  <c r="I20" i="23"/>
  <c r="I21" i="23"/>
  <c r="I22" i="23"/>
  <c r="I23" i="23"/>
  <c r="I24" i="23"/>
  <c r="I25" i="23"/>
  <c r="I26" i="23"/>
  <c r="I27" i="23"/>
  <c r="I28" i="23"/>
  <c r="I29" i="23"/>
  <c r="I30" i="23"/>
  <c r="I31" i="23"/>
  <c r="I32" i="23"/>
  <c r="I33" i="23"/>
  <c r="I34" i="23"/>
  <c r="I35" i="23"/>
  <c r="I36" i="23"/>
  <c r="I37" i="23"/>
  <c r="I38" i="23"/>
  <c r="I39" i="23"/>
  <c r="I40" i="23"/>
  <c r="I41" i="23"/>
  <c r="I42" i="23"/>
  <c r="I43" i="23"/>
  <c r="I44" i="23"/>
  <c r="I45" i="23"/>
  <c r="I46" i="23"/>
  <c r="I47" i="23"/>
  <c r="I48" i="23"/>
  <c r="I49" i="23"/>
  <c r="I50" i="23"/>
  <c r="I51" i="23"/>
  <c r="I52" i="23"/>
  <c r="I53" i="23"/>
  <c r="I54" i="23"/>
  <c r="I55" i="23"/>
  <c r="I56" i="23"/>
  <c r="I57" i="23"/>
  <c r="I58" i="23"/>
  <c r="I59" i="23"/>
  <c r="I60" i="23"/>
  <c r="I61" i="23"/>
  <c r="I62" i="23"/>
  <c r="I63" i="23"/>
  <c r="I64" i="23"/>
  <c r="H52" i="23"/>
  <c r="H53" i="23"/>
  <c r="H54" i="23"/>
  <c r="H56" i="23"/>
  <c r="H57" i="23"/>
  <c r="H58" i="23"/>
  <c r="H59" i="23"/>
  <c r="H60" i="23"/>
  <c r="H61" i="23"/>
  <c r="H62" i="23"/>
  <c r="H63" i="23"/>
  <c r="H64" i="23"/>
  <c r="AF52" i="5" l="1"/>
  <c r="AF60" i="5"/>
  <c r="AF50" i="5"/>
  <c r="AF58" i="5"/>
  <c r="AF51" i="5"/>
  <c r="AF59" i="5"/>
  <c r="AF56" i="5"/>
  <c r="AF53" i="5"/>
  <c r="AF61" i="5"/>
  <c r="AF54" i="5"/>
  <c r="AF62" i="5"/>
  <c r="AF55" i="5"/>
  <c r="AF63" i="5"/>
  <c r="G103" i="5"/>
  <c r="G104" i="5"/>
  <c r="I103" i="5"/>
  <c r="I104" i="5"/>
  <c r="I5" i="23"/>
  <c r="J54" i="23"/>
  <c r="J61" i="23"/>
  <c r="J57" i="23"/>
  <c r="J53" i="23"/>
  <c r="J64" i="23"/>
  <c r="J60" i="23"/>
  <c r="J56" i="23"/>
  <c r="J52" i="23"/>
  <c r="J59" i="23"/>
  <c r="J55" i="23"/>
  <c r="J51" i="23"/>
  <c r="J63" i="23"/>
  <c r="J62" i="23"/>
  <c r="J58" i="23"/>
  <c r="H55" i="23"/>
  <c r="H51" i="23"/>
  <c r="Q58" i="5"/>
  <c r="AA58" i="5" s="1"/>
  <c r="Q54" i="5"/>
  <c r="AA54" i="5" s="1"/>
  <c r="Q50" i="5"/>
  <c r="AA50" i="5" s="1"/>
  <c r="Q52" i="5"/>
  <c r="AA52" i="5" s="1"/>
  <c r="Q62" i="5"/>
  <c r="AA62" i="5" s="1"/>
  <c r="Q56" i="5"/>
  <c r="AA56" i="5" s="1"/>
  <c r="Q60" i="5"/>
  <c r="AA60" i="5" s="1"/>
  <c r="AE60" i="5" s="1"/>
  <c r="Q55" i="5"/>
  <c r="AA55" i="5" s="1"/>
  <c r="AE55" i="5" s="1"/>
  <c r="Q51" i="5"/>
  <c r="Q63" i="5"/>
  <c r="AA63" i="5" s="1"/>
  <c r="Q59" i="5"/>
  <c r="AA59" i="5" s="1"/>
  <c r="AE59" i="5" s="1"/>
  <c r="Q61" i="5"/>
  <c r="AA61" i="5" s="1"/>
  <c r="Q53" i="5"/>
  <c r="AA53" i="5" s="1"/>
  <c r="K62" i="5"/>
  <c r="K58" i="5"/>
  <c r="K54" i="5"/>
  <c r="K50" i="5"/>
  <c r="K57" i="5"/>
  <c r="K63" i="5"/>
  <c r="K59" i="5"/>
  <c r="K55" i="5"/>
  <c r="K51" i="5"/>
  <c r="K53" i="5"/>
  <c r="K61" i="5"/>
  <c r="K60" i="5"/>
  <c r="K56" i="5"/>
  <c r="K52" i="5"/>
  <c r="AI62" i="5" l="1"/>
  <c r="T63" i="23" s="1"/>
  <c r="Q63" i="23"/>
  <c r="AI56" i="5"/>
  <c r="T57" i="23" s="1"/>
  <c r="Q57" i="23"/>
  <c r="AI50" i="5"/>
  <c r="T51" i="23" s="1"/>
  <c r="Q51" i="23"/>
  <c r="AH55" i="5"/>
  <c r="S56" i="23" s="1"/>
  <c r="P56" i="23"/>
  <c r="AH59" i="5"/>
  <c r="S60" i="23" s="1"/>
  <c r="P60" i="23"/>
  <c r="AH60" i="5"/>
  <c r="S61" i="23" s="1"/>
  <c r="P61" i="23"/>
  <c r="AI54" i="5"/>
  <c r="T55" i="23" s="1"/>
  <c r="Q55" i="23"/>
  <c r="AI59" i="5"/>
  <c r="T60" i="23" s="1"/>
  <c r="Q60" i="23"/>
  <c r="AI63" i="5"/>
  <c r="T64" i="23" s="1"/>
  <c r="Q64" i="23"/>
  <c r="AI61" i="5"/>
  <c r="T62" i="23" s="1"/>
  <c r="Q62" i="23"/>
  <c r="AI51" i="5"/>
  <c r="T52" i="23" s="1"/>
  <c r="Q52" i="23"/>
  <c r="AI60" i="5"/>
  <c r="T61" i="23" s="1"/>
  <c r="Q61" i="23"/>
  <c r="AI55" i="5"/>
  <c r="T56" i="23" s="1"/>
  <c r="Q56" i="23"/>
  <c r="AI53" i="5"/>
  <c r="T54" i="23" s="1"/>
  <c r="Q54" i="23"/>
  <c r="AI58" i="5"/>
  <c r="T59" i="23" s="1"/>
  <c r="Q59" i="23"/>
  <c r="AI52" i="5"/>
  <c r="T53" i="23" s="1"/>
  <c r="Q53" i="23"/>
  <c r="AE50" i="5"/>
  <c r="AE56" i="5"/>
  <c r="AE54" i="5"/>
  <c r="AE63" i="5"/>
  <c r="AE62" i="5"/>
  <c r="AE58" i="5"/>
  <c r="AE53" i="5"/>
  <c r="AE61" i="5"/>
  <c r="AE52" i="5"/>
  <c r="I105" i="5"/>
  <c r="G105" i="5"/>
  <c r="K6" i="23"/>
  <c r="K7" i="23"/>
  <c r="K8" i="23"/>
  <c r="K9" i="23"/>
  <c r="K10" i="23"/>
  <c r="K11" i="23"/>
  <c r="K12" i="23"/>
  <c r="K13" i="23"/>
  <c r="K14" i="23"/>
  <c r="K15" i="23"/>
  <c r="K16" i="23"/>
  <c r="K17" i="23"/>
  <c r="K18" i="23"/>
  <c r="K19" i="23"/>
  <c r="K20" i="23"/>
  <c r="K21" i="23"/>
  <c r="K22" i="23"/>
  <c r="K23" i="23"/>
  <c r="K24" i="23"/>
  <c r="K25" i="23"/>
  <c r="K26" i="23"/>
  <c r="K27" i="23"/>
  <c r="K28" i="23"/>
  <c r="K29" i="23"/>
  <c r="K30" i="23"/>
  <c r="K31" i="23"/>
  <c r="K32" i="23"/>
  <c r="K33" i="23"/>
  <c r="K34" i="23"/>
  <c r="K35" i="23"/>
  <c r="K36" i="23"/>
  <c r="K37" i="23"/>
  <c r="K38" i="23"/>
  <c r="K39" i="23"/>
  <c r="K40" i="23"/>
  <c r="K41" i="23"/>
  <c r="K42" i="23"/>
  <c r="K43" i="23"/>
  <c r="K44" i="23"/>
  <c r="K45" i="23"/>
  <c r="K46" i="23"/>
  <c r="K47" i="23"/>
  <c r="K48" i="23"/>
  <c r="K49" i="23"/>
  <c r="K50" i="23"/>
  <c r="AH53" i="5" l="1"/>
  <c r="S54" i="23" s="1"/>
  <c r="P54" i="23"/>
  <c r="AH58" i="5"/>
  <c r="S59" i="23" s="1"/>
  <c r="P59" i="23"/>
  <c r="AH54" i="5"/>
  <c r="S55" i="23" s="1"/>
  <c r="P55" i="23"/>
  <c r="AH50" i="5"/>
  <c r="S51" i="23" s="1"/>
  <c r="P51" i="23"/>
  <c r="AH61" i="5"/>
  <c r="S62" i="23" s="1"/>
  <c r="P62" i="23"/>
  <c r="AH52" i="5"/>
  <c r="S53" i="23" s="1"/>
  <c r="P53" i="23"/>
  <c r="AH62" i="5"/>
  <c r="S63" i="23" s="1"/>
  <c r="P63" i="23"/>
  <c r="AH56" i="5"/>
  <c r="S57" i="23" s="1"/>
  <c r="P57" i="23"/>
  <c r="AH63" i="5"/>
  <c r="S64" i="23" s="1"/>
  <c r="P64" i="23"/>
  <c r="K5" i="23" l="1"/>
  <c r="J103" i="5"/>
  <c r="J104" i="5"/>
  <c r="J105" i="5" l="1"/>
  <c r="C52" i="13"/>
  <c r="C53" i="13"/>
  <c r="C54" i="13" l="1"/>
  <c r="H6" i="5" l="1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10" i="23"/>
  <c r="J44" i="23" l="1"/>
  <c r="J40" i="23"/>
  <c r="J36" i="23"/>
  <c r="J32" i="23"/>
  <c r="J28" i="23"/>
  <c r="J24" i="23"/>
  <c r="J20" i="23"/>
  <c r="J16" i="23"/>
  <c r="J12" i="23"/>
  <c r="J8" i="23"/>
  <c r="J48" i="23"/>
  <c r="J47" i="23"/>
  <c r="J43" i="23"/>
  <c r="J39" i="23"/>
  <c r="J35" i="23"/>
  <c r="J31" i="23"/>
  <c r="J27" i="23"/>
  <c r="J23" i="23"/>
  <c r="J19" i="23"/>
  <c r="J15" i="23"/>
  <c r="J11" i="23"/>
  <c r="Q6" i="5"/>
  <c r="J7" i="23"/>
  <c r="J46" i="23"/>
  <c r="J42" i="23"/>
  <c r="J38" i="23"/>
  <c r="J34" i="23"/>
  <c r="J30" i="23"/>
  <c r="J26" i="23"/>
  <c r="J22" i="23"/>
  <c r="J18" i="23"/>
  <c r="J14" i="23"/>
  <c r="J10" i="23"/>
  <c r="J6" i="23"/>
  <c r="J50" i="23"/>
  <c r="J49" i="23"/>
  <c r="J45" i="23"/>
  <c r="J41" i="23"/>
  <c r="J37" i="23"/>
  <c r="J33" i="23"/>
  <c r="J29" i="23"/>
  <c r="J25" i="23"/>
  <c r="J21" i="23"/>
  <c r="J17" i="23"/>
  <c r="J13" i="23"/>
  <c r="J9" i="23"/>
  <c r="I515" i="21"/>
  <c r="C53" i="15"/>
  <c r="H4" i="5"/>
  <c r="C54" i="15"/>
  <c r="H6" i="23"/>
  <c r="H7" i="23"/>
  <c r="H8" i="23"/>
  <c r="H9" i="23"/>
  <c r="H11" i="23"/>
  <c r="H12" i="23"/>
  <c r="H13" i="23"/>
  <c r="H14" i="23"/>
  <c r="H15" i="23"/>
  <c r="H16" i="23"/>
  <c r="H17" i="23"/>
  <c r="H18" i="23"/>
  <c r="H19" i="23"/>
  <c r="H20" i="23"/>
  <c r="H21" i="23"/>
  <c r="H22" i="23"/>
  <c r="H23" i="23"/>
  <c r="H24" i="23"/>
  <c r="H25" i="23"/>
  <c r="H26" i="23"/>
  <c r="H27" i="23"/>
  <c r="H28" i="23"/>
  <c r="H29" i="23"/>
  <c r="H30" i="23"/>
  <c r="H31" i="23"/>
  <c r="H32" i="23"/>
  <c r="H33" i="23"/>
  <c r="H34" i="23"/>
  <c r="H35" i="23"/>
  <c r="H36" i="23"/>
  <c r="H37" i="23"/>
  <c r="H38" i="23"/>
  <c r="H39" i="23"/>
  <c r="H40" i="23"/>
  <c r="H41" i="23"/>
  <c r="H42" i="23"/>
  <c r="H43" i="23"/>
  <c r="H44" i="23"/>
  <c r="H45" i="23"/>
  <c r="H46" i="23"/>
  <c r="H47" i="23"/>
  <c r="H48" i="23"/>
  <c r="H49" i="23"/>
  <c r="H50" i="23"/>
  <c r="H103" i="5" l="1"/>
  <c r="H104" i="5"/>
  <c r="F104" i="5"/>
  <c r="F103" i="5"/>
  <c r="H5" i="23"/>
  <c r="J5" i="23"/>
  <c r="D9" i="5"/>
  <c r="C55" i="15"/>
  <c r="R9" i="5" l="1"/>
  <c r="F105" i="5"/>
  <c r="H105" i="5"/>
  <c r="F10" i="23"/>
  <c r="C51" i="17"/>
  <c r="C52" i="17"/>
  <c r="C53" i="17" l="1"/>
  <c r="B53" i="15"/>
  <c r="B54" i="15"/>
  <c r="B51" i="14"/>
  <c r="B50" i="14"/>
  <c r="I517" i="21"/>
  <c r="B52" i="14" l="1"/>
  <c r="B55" i="15"/>
  <c r="D53" i="15"/>
  <c r="D54" i="15"/>
  <c r="C51" i="10"/>
  <c r="C50" i="10"/>
  <c r="D55" i="15" l="1"/>
  <c r="C52" i="10"/>
  <c r="D6" i="5" l="1"/>
  <c r="D7" i="5"/>
  <c r="D8" i="5"/>
  <c r="D15" i="5"/>
  <c r="D16" i="5"/>
  <c r="D17" i="5"/>
  <c r="D19" i="5"/>
  <c r="D20" i="5"/>
  <c r="D23" i="5"/>
  <c r="D24" i="5"/>
  <c r="D25" i="5"/>
  <c r="D27" i="5"/>
  <c r="D28" i="5"/>
  <c r="D29" i="5"/>
  <c r="D31" i="5"/>
  <c r="D32" i="5"/>
  <c r="D33" i="5"/>
  <c r="D35" i="5"/>
  <c r="D36" i="5"/>
  <c r="D37" i="5"/>
  <c r="D39" i="5"/>
  <c r="D40" i="5"/>
  <c r="D41" i="5"/>
  <c r="D43" i="5"/>
  <c r="D44" i="5"/>
  <c r="D45" i="5"/>
  <c r="D47" i="5"/>
  <c r="D48" i="5"/>
  <c r="D49" i="5"/>
  <c r="D46" i="5" l="1"/>
  <c r="D42" i="5"/>
  <c r="D38" i="5"/>
  <c r="D34" i="5"/>
  <c r="D30" i="5"/>
  <c r="D26" i="5"/>
  <c r="D18" i="5"/>
  <c r="D14" i="5"/>
  <c r="R10" i="5" l="1"/>
  <c r="F11" i="23"/>
  <c r="D49" i="1"/>
  <c r="E49" i="1"/>
  <c r="D50" i="1"/>
  <c r="E50" i="1"/>
  <c r="C49" i="1"/>
  <c r="D51" i="1" l="1"/>
  <c r="D55" i="1" s="1"/>
  <c r="E51" i="1"/>
  <c r="E55" i="1" s="1"/>
  <c r="E46" i="5" l="1"/>
  <c r="G47" i="23" l="1"/>
  <c r="H49" i="1"/>
  <c r="H50" i="1"/>
  <c r="H51" i="1" l="1"/>
  <c r="H55" i="1" s="1"/>
  <c r="R42" i="5" l="1"/>
  <c r="F43" i="23"/>
  <c r="R38" i="5"/>
  <c r="F39" i="23"/>
  <c r="R34" i="5"/>
  <c r="F35" i="23"/>
  <c r="R30" i="5"/>
  <c r="F31" i="23"/>
  <c r="R26" i="5"/>
  <c r="F27" i="23"/>
  <c r="F23" i="23"/>
  <c r="R18" i="5"/>
  <c r="F19" i="23"/>
  <c r="R14" i="5"/>
  <c r="F15" i="23"/>
  <c r="R8" i="5"/>
  <c r="F9" i="23"/>
  <c r="R49" i="5"/>
  <c r="F50" i="23"/>
  <c r="R45" i="5"/>
  <c r="F46" i="23"/>
  <c r="R41" i="5"/>
  <c r="F42" i="23"/>
  <c r="R37" i="5"/>
  <c r="F38" i="23"/>
  <c r="R33" i="5"/>
  <c r="F34" i="23"/>
  <c r="R29" i="5"/>
  <c r="F30" i="23"/>
  <c r="F26" i="23"/>
  <c r="R21" i="5"/>
  <c r="F22" i="23"/>
  <c r="R17" i="5"/>
  <c r="F18" i="23"/>
  <c r="R13" i="5"/>
  <c r="F14" i="23"/>
  <c r="R7" i="5"/>
  <c r="F8" i="23"/>
  <c r="R48" i="5"/>
  <c r="F49" i="23"/>
  <c r="F45" i="23"/>
  <c r="R40" i="5"/>
  <c r="F41" i="23"/>
  <c r="F37" i="23"/>
  <c r="R32" i="5"/>
  <c r="F33" i="23"/>
  <c r="R28" i="5"/>
  <c r="F29" i="23"/>
  <c r="F25" i="23"/>
  <c r="R20" i="5"/>
  <c r="F21" i="23"/>
  <c r="F17" i="23"/>
  <c r="R12" i="5"/>
  <c r="F13" i="23"/>
  <c r="R6" i="5"/>
  <c r="F7" i="23"/>
  <c r="F47" i="23"/>
  <c r="R47" i="5"/>
  <c r="F48" i="23"/>
  <c r="F44" i="23"/>
  <c r="R39" i="5"/>
  <c r="F40" i="23"/>
  <c r="R35" i="5"/>
  <c r="F36" i="23"/>
  <c r="F32" i="23"/>
  <c r="F28" i="23"/>
  <c r="R23" i="5"/>
  <c r="F24" i="23"/>
  <c r="F20" i="23"/>
  <c r="R15" i="5"/>
  <c r="F16" i="23"/>
  <c r="R11" i="5"/>
  <c r="F12" i="23"/>
  <c r="F6" i="23"/>
  <c r="K46" i="5"/>
  <c r="I49" i="4" l="1"/>
  <c r="G49" i="4" l="1"/>
  <c r="G54" i="4" s="1"/>
  <c r="C50" i="1" l="1"/>
  <c r="C51" i="1" s="1"/>
  <c r="C55" i="1" s="1"/>
  <c r="G6" i="23" l="1"/>
  <c r="C49" i="4" l="1"/>
  <c r="F2" i="1" l="1"/>
  <c r="F50" i="1" s="1"/>
  <c r="B52" i="13"/>
  <c r="G2" i="1" l="1"/>
  <c r="F49" i="1"/>
  <c r="F51" i="1" s="1"/>
  <c r="B53" i="13"/>
  <c r="B54" i="13" s="1"/>
  <c r="G49" i="1" l="1"/>
  <c r="G50" i="1"/>
  <c r="G51" i="1" l="1"/>
  <c r="D53" i="11" l="1"/>
  <c r="D52" i="11"/>
  <c r="D54" i="11" l="1"/>
  <c r="I2" i="1"/>
  <c r="J2" i="1" l="1"/>
  <c r="C52" i="11"/>
  <c r="C53" i="11"/>
  <c r="I50" i="1"/>
  <c r="I49" i="1"/>
  <c r="J49" i="1" l="1"/>
  <c r="J50" i="1"/>
  <c r="K2" i="1"/>
  <c r="M2" i="1" s="1"/>
  <c r="I51" i="1"/>
  <c r="C54" i="11"/>
  <c r="J51" i="1" l="1"/>
  <c r="M49" i="1" l="1"/>
  <c r="M50" i="1"/>
  <c r="D4" i="5"/>
  <c r="M51" i="1" l="1"/>
  <c r="D103" i="5"/>
  <c r="D104" i="5"/>
  <c r="F5" i="23"/>
  <c r="R6" i="23"/>
  <c r="D105" i="5" l="1"/>
  <c r="S6" i="23"/>
  <c r="T6" i="23"/>
  <c r="M7" i="5" l="1"/>
  <c r="M41" i="5"/>
  <c r="M8" i="5"/>
  <c r="M12" i="5"/>
  <c r="M9" i="5"/>
  <c r="M11" i="5"/>
  <c r="O53" i="5" l="1"/>
  <c r="S53" i="5" s="1"/>
  <c r="O67" i="5"/>
  <c r="S67" i="5" s="1"/>
  <c r="O98" i="5"/>
  <c r="S98" i="5" s="1"/>
  <c r="M33" i="5"/>
  <c r="M45" i="5"/>
  <c r="M47" i="5"/>
  <c r="M42" i="5"/>
  <c r="L82" i="5"/>
  <c r="O82" i="5"/>
  <c r="S82" i="5" s="1"/>
  <c r="M17" i="5"/>
  <c r="M40" i="5"/>
  <c r="M28" i="5"/>
  <c r="M36" i="5"/>
  <c r="L76" i="5"/>
  <c r="O76" i="5"/>
  <c r="S76" i="5" s="1"/>
  <c r="L78" i="5"/>
  <c r="O78" i="5"/>
  <c r="S78" i="5" s="1"/>
  <c r="L50" i="5"/>
  <c r="O50" i="5"/>
  <c r="S50" i="5" s="1"/>
  <c r="L58" i="5"/>
  <c r="O58" i="5"/>
  <c r="S58" i="5" s="1"/>
  <c r="M13" i="23"/>
  <c r="Q12" i="5"/>
  <c r="M9" i="23"/>
  <c r="Q8" i="5"/>
  <c r="L62" i="5"/>
  <c r="O62" i="5"/>
  <c r="S62" i="5" s="1"/>
  <c r="L52" i="5"/>
  <c r="O52" i="5"/>
  <c r="S52" i="5" s="1"/>
  <c r="M48" i="5"/>
  <c r="L51" i="5"/>
  <c r="O51" i="5"/>
  <c r="S51" i="5" s="1"/>
  <c r="L95" i="5"/>
  <c r="O95" i="5"/>
  <c r="S95" i="5" s="1"/>
  <c r="L94" i="5"/>
  <c r="O94" i="5"/>
  <c r="S94" i="5" s="1"/>
  <c r="M12" i="23"/>
  <c r="Q11" i="5"/>
  <c r="M10" i="23"/>
  <c r="Q9" i="5"/>
  <c r="L53" i="5"/>
  <c r="M42" i="23"/>
  <c r="Q41" i="5"/>
  <c r="L90" i="5"/>
  <c r="O90" i="5"/>
  <c r="S90" i="5" s="1"/>
  <c r="M8" i="23"/>
  <c r="Q7" i="5"/>
  <c r="L71" i="5"/>
  <c r="O71" i="5"/>
  <c r="S71" i="5" s="1"/>
  <c r="O85" i="5"/>
  <c r="S85" i="5" s="1"/>
  <c r="L85" i="5"/>
  <c r="L84" i="5"/>
  <c r="O84" i="5"/>
  <c r="S84" i="5" s="1"/>
  <c r="M23" i="5"/>
  <c r="M49" i="5"/>
  <c r="M10" i="5"/>
  <c r="M15" i="5"/>
  <c r="N46" i="5"/>
  <c r="M35" i="5"/>
  <c r="M26" i="5"/>
  <c r="M46" i="5"/>
  <c r="L80" i="5"/>
  <c r="O80" i="5"/>
  <c r="S80" i="5" s="1"/>
  <c r="L60" i="5"/>
  <c r="O60" i="5"/>
  <c r="S60" i="5" s="1"/>
  <c r="L74" i="5"/>
  <c r="O74" i="5"/>
  <c r="S74" i="5" s="1"/>
  <c r="L56" i="5"/>
  <c r="O56" i="5"/>
  <c r="S56" i="5" s="1"/>
  <c r="L99" i="5"/>
  <c r="O99" i="5"/>
  <c r="S99" i="5" s="1"/>
  <c r="L86" i="5"/>
  <c r="O86" i="5"/>
  <c r="S86" i="5" s="1"/>
  <c r="L67" i="5" l="1"/>
  <c r="P67" i="5" s="1"/>
  <c r="L98" i="5"/>
  <c r="P98" i="5" s="1"/>
  <c r="Z98" i="5" s="1"/>
  <c r="L87" i="23"/>
  <c r="P86" i="5"/>
  <c r="L86" i="23"/>
  <c r="P85" i="5"/>
  <c r="L72" i="5"/>
  <c r="O72" i="5"/>
  <c r="S72" i="5" s="1"/>
  <c r="L7" i="5"/>
  <c r="O7" i="5"/>
  <c r="L81" i="5"/>
  <c r="O81" i="5"/>
  <c r="S81" i="5" s="1"/>
  <c r="L97" i="5"/>
  <c r="O97" i="5"/>
  <c r="S97" i="5" s="1"/>
  <c r="M21" i="5"/>
  <c r="N57" i="5"/>
  <c r="L100" i="5"/>
  <c r="O100" i="5"/>
  <c r="S100" i="5" s="1"/>
  <c r="M27" i="23"/>
  <c r="Q26" i="5"/>
  <c r="M36" i="23"/>
  <c r="Q35" i="5"/>
  <c r="L54" i="5"/>
  <c r="O54" i="5"/>
  <c r="S54" i="5" s="1"/>
  <c r="L65" i="5"/>
  <c r="O65" i="5"/>
  <c r="S65" i="5" s="1"/>
  <c r="L93" i="5"/>
  <c r="O93" i="5"/>
  <c r="S93" i="5" s="1"/>
  <c r="M11" i="23"/>
  <c r="Q10" i="5"/>
  <c r="M50" i="23"/>
  <c r="Q49" i="5"/>
  <c r="M24" i="23"/>
  <c r="Q23" i="5"/>
  <c r="L85" i="23"/>
  <c r="P84" i="5"/>
  <c r="L95" i="23"/>
  <c r="P94" i="5"/>
  <c r="Z94" i="5" s="1"/>
  <c r="L52" i="23"/>
  <c r="P51" i="5"/>
  <c r="Z51" i="5" s="1"/>
  <c r="L63" i="23"/>
  <c r="P62" i="5"/>
  <c r="L51" i="23"/>
  <c r="P50" i="5"/>
  <c r="Z50" i="5" s="1"/>
  <c r="L77" i="23"/>
  <c r="P76" i="5"/>
  <c r="L61" i="5"/>
  <c r="O61" i="5"/>
  <c r="S61" i="5" s="1"/>
  <c r="L48" i="5"/>
  <c r="O48" i="5"/>
  <c r="L70" i="5"/>
  <c r="O70" i="5"/>
  <c r="S70" i="5" s="1"/>
  <c r="M46" i="23"/>
  <c r="Q45" i="5"/>
  <c r="M39" i="5"/>
  <c r="L57" i="23"/>
  <c r="P56" i="5"/>
  <c r="L89" i="5"/>
  <c r="O89" i="5"/>
  <c r="S89" i="5" s="1"/>
  <c r="M49" i="23"/>
  <c r="Q48" i="5"/>
  <c r="M41" i="23"/>
  <c r="Q40" i="5"/>
  <c r="M47" i="23"/>
  <c r="Q46" i="5"/>
  <c r="L55" i="5"/>
  <c r="O55" i="5"/>
  <c r="S55" i="5" s="1"/>
  <c r="N47" i="23"/>
  <c r="R46" i="5"/>
  <c r="M16" i="23"/>
  <c r="Q15" i="5"/>
  <c r="L41" i="5"/>
  <c r="O41" i="5"/>
  <c r="L8" i="5"/>
  <c r="O8" i="5"/>
  <c r="L59" i="5"/>
  <c r="O59" i="5"/>
  <c r="S59" i="5" s="1"/>
  <c r="L88" i="5"/>
  <c r="O88" i="5"/>
  <c r="S88" i="5" s="1"/>
  <c r="L23" i="5"/>
  <c r="O23" i="5"/>
  <c r="L72" i="23"/>
  <c r="P71" i="5"/>
  <c r="Z71" i="5" s="1"/>
  <c r="L91" i="23"/>
  <c r="P90" i="5"/>
  <c r="L54" i="23"/>
  <c r="P53" i="5"/>
  <c r="L96" i="23"/>
  <c r="P95" i="5"/>
  <c r="L53" i="23"/>
  <c r="P52" i="5"/>
  <c r="L59" i="23"/>
  <c r="P58" i="5"/>
  <c r="L79" i="23"/>
  <c r="P78" i="5"/>
  <c r="M43" i="23"/>
  <c r="Q42" i="5"/>
  <c r="M48" i="23"/>
  <c r="Q47" i="5"/>
  <c r="L91" i="5"/>
  <c r="O91" i="5"/>
  <c r="S91" i="5" s="1"/>
  <c r="M34" i="23"/>
  <c r="Q33" i="5"/>
  <c r="M14" i="5"/>
  <c r="M34" i="5"/>
  <c r="M38" i="5"/>
  <c r="M20" i="5"/>
  <c r="L61" i="23"/>
  <c r="P60" i="5"/>
  <c r="M37" i="23"/>
  <c r="Q36" i="5"/>
  <c r="M18" i="23"/>
  <c r="Q17" i="5"/>
  <c r="N36" i="5"/>
  <c r="M18" i="5"/>
  <c r="M57" i="5"/>
  <c r="M30" i="5"/>
  <c r="M37" i="5"/>
  <c r="L100" i="23"/>
  <c r="P99" i="5"/>
  <c r="Z99" i="5" s="1"/>
  <c r="L75" i="23"/>
  <c r="P74" i="5"/>
  <c r="L81" i="23"/>
  <c r="P80" i="5"/>
  <c r="L77" i="5"/>
  <c r="O77" i="5"/>
  <c r="S77" i="5" s="1"/>
  <c r="L66" i="5"/>
  <c r="O66" i="5"/>
  <c r="S66" i="5" s="1"/>
  <c r="L64" i="5"/>
  <c r="O64" i="5"/>
  <c r="S64" i="5" s="1"/>
  <c r="L79" i="5"/>
  <c r="O79" i="5"/>
  <c r="S79" i="5" s="1"/>
  <c r="L69" i="5"/>
  <c r="O69" i="5"/>
  <c r="S69" i="5" s="1"/>
  <c r="M29" i="23"/>
  <c r="Q28" i="5"/>
  <c r="L26" i="5"/>
  <c r="O26" i="5"/>
  <c r="L83" i="23"/>
  <c r="P82" i="5"/>
  <c r="L68" i="23" l="1"/>
  <c r="L99" i="23"/>
  <c r="L28" i="5"/>
  <c r="M29" i="5"/>
  <c r="L78" i="23"/>
  <c r="P77" i="5"/>
  <c r="Z58" i="5"/>
  <c r="L60" i="23"/>
  <c r="P59" i="5"/>
  <c r="L96" i="5"/>
  <c r="O96" i="5"/>
  <c r="S96" i="5" s="1"/>
  <c r="L87" i="5"/>
  <c r="O87" i="5"/>
  <c r="S87" i="5" s="1"/>
  <c r="M58" i="23"/>
  <c r="Q57" i="5"/>
  <c r="M19" i="23"/>
  <c r="Q18" i="5"/>
  <c r="L92" i="23"/>
  <c r="P91" i="5"/>
  <c r="L92" i="5"/>
  <c r="O92" i="5"/>
  <c r="S92" i="5" s="1"/>
  <c r="L57" i="5"/>
  <c r="O57" i="5"/>
  <c r="S57" i="5" s="1"/>
  <c r="L49" i="23"/>
  <c r="L62" i="23"/>
  <c r="P61" i="5"/>
  <c r="L30" i="5"/>
  <c r="O30" i="5"/>
  <c r="L20" i="5"/>
  <c r="O20" i="5"/>
  <c r="L34" i="5"/>
  <c r="O34" i="5"/>
  <c r="L9" i="5"/>
  <c r="O9" i="5"/>
  <c r="M22" i="23"/>
  <c r="Q21" i="5"/>
  <c r="L65" i="23"/>
  <c r="P64" i="5"/>
  <c r="Z64" i="5" s="1"/>
  <c r="L24" i="23"/>
  <c r="L55" i="23"/>
  <c r="P54" i="5"/>
  <c r="M13" i="5"/>
  <c r="L80" i="23"/>
  <c r="P79" i="5"/>
  <c r="M38" i="23"/>
  <c r="Q37" i="5"/>
  <c r="M31" i="23"/>
  <c r="Q30" i="5"/>
  <c r="L36" i="5"/>
  <c r="O36" i="5"/>
  <c r="L18" i="5"/>
  <c r="O18" i="5"/>
  <c r="N37" i="23"/>
  <c r="R36" i="5"/>
  <c r="L37" i="5"/>
  <c r="O37" i="5"/>
  <c r="L75" i="5"/>
  <c r="O75" i="5"/>
  <c r="S75" i="5" s="1"/>
  <c r="L11" i="5"/>
  <c r="O11" i="5"/>
  <c r="L90" i="23"/>
  <c r="P89" i="5"/>
  <c r="L71" i="23"/>
  <c r="P70" i="5"/>
  <c r="L63" i="5"/>
  <c r="O63" i="5"/>
  <c r="S63" i="5" s="1"/>
  <c r="N58" i="23"/>
  <c r="R57" i="5"/>
  <c r="L40" i="5"/>
  <c r="O40" i="5"/>
  <c r="L47" i="5"/>
  <c r="O47" i="5"/>
  <c r="L8" i="23"/>
  <c r="L67" i="23"/>
  <c r="P66" i="5"/>
  <c r="M35" i="23"/>
  <c r="Q34" i="5"/>
  <c r="L42" i="23"/>
  <c r="M40" i="23"/>
  <c r="Q39" i="5"/>
  <c r="Z62" i="5"/>
  <c r="L94" i="23"/>
  <c r="P93" i="5"/>
  <c r="L98" i="23"/>
  <c r="P97" i="5"/>
  <c r="M32" i="5"/>
  <c r="L27" i="23"/>
  <c r="L70" i="23"/>
  <c r="P69" i="5"/>
  <c r="Z69" i="5" s="1"/>
  <c r="M21" i="23"/>
  <c r="Q20" i="5"/>
  <c r="M39" i="23"/>
  <c r="Q38" i="5"/>
  <c r="M15" i="23"/>
  <c r="Q14" i="5"/>
  <c r="L89" i="23"/>
  <c r="P88" i="5"/>
  <c r="L9" i="23"/>
  <c r="L56" i="23"/>
  <c r="P55" i="5"/>
  <c r="L83" i="5"/>
  <c r="O83" i="5"/>
  <c r="S83" i="5" s="1"/>
  <c r="L46" i="5"/>
  <c r="O46" i="5"/>
  <c r="S46" i="5" s="1"/>
  <c r="L66" i="23"/>
  <c r="P65" i="5"/>
  <c r="L101" i="23"/>
  <c r="P100" i="5"/>
  <c r="L82" i="23"/>
  <c r="P81" i="5"/>
  <c r="L73" i="23"/>
  <c r="P72" i="5"/>
  <c r="O28" i="5" l="1"/>
  <c r="L37" i="23"/>
  <c r="L35" i="23"/>
  <c r="L21" i="23"/>
  <c r="L29" i="23"/>
  <c r="L45" i="5"/>
  <c r="O45" i="5"/>
  <c r="L76" i="23"/>
  <c r="P75" i="5"/>
  <c r="L42" i="5"/>
  <c r="O42" i="5"/>
  <c r="L21" i="5"/>
  <c r="O21" i="5"/>
  <c r="M30" i="23"/>
  <c r="Q29" i="5"/>
  <c r="L12" i="5"/>
  <c r="O12" i="5"/>
  <c r="L84" i="23"/>
  <c r="P83" i="5"/>
  <c r="L15" i="5"/>
  <c r="O15" i="5"/>
  <c r="L33" i="5"/>
  <c r="O33" i="5"/>
  <c r="L47" i="23"/>
  <c r="P46" i="5"/>
  <c r="L35" i="5"/>
  <c r="O35" i="5"/>
  <c r="L38" i="5"/>
  <c r="O38" i="5"/>
  <c r="L17" i="5"/>
  <c r="O17" i="5"/>
  <c r="L48" i="23"/>
  <c r="L41" i="23"/>
  <c r="L64" i="23"/>
  <c r="P63" i="5"/>
  <c r="L19" i="23"/>
  <c r="L10" i="23"/>
  <c r="L31" i="23"/>
  <c r="L93" i="23"/>
  <c r="P92" i="5"/>
  <c r="L88" i="23"/>
  <c r="P87" i="5"/>
  <c r="Z87" i="5" s="1"/>
  <c r="L97" i="23"/>
  <c r="P96" i="5"/>
  <c r="Z96" i="5" s="1"/>
  <c r="M33" i="23"/>
  <c r="Q32" i="5"/>
  <c r="L29" i="5"/>
  <c r="O29" i="5"/>
  <c r="L58" i="23"/>
  <c r="P57" i="5"/>
  <c r="Z72" i="5"/>
  <c r="L49" i="5"/>
  <c r="O49" i="5"/>
  <c r="L39" i="5"/>
  <c r="O39" i="5"/>
  <c r="L12" i="23"/>
  <c r="L38" i="23"/>
  <c r="M14" i="23"/>
  <c r="Q13" i="5"/>
  <c r="L13" i="5"/>
  <c r="O13" i="5"/>
  <c r="L14" i="5"/>
  <c r="O14" i="5"/>
  <c r="L15" i="23" l="1"/>
  <c r="M23" i="23"/>
  <c r="L13" i="23"/>
  <c r="L22" i="23"/>
  <c r="L14" i="23"/>
  <c r="L18" i="23"/>
  <c r="L40" i="23"/>
  <c r="L50" i="23"/>
  <c r="L10" i="5"/>
  <c r="Z63" i="5"/>
  <c r="L43" i="23"/>
  <c r="L32" i="5"/>
  <c r="O32" i="5"/>
  <c r="L36" i="23"/>
  <c r="L30" i="23"/>
  <c r="L39" i="23"/>
  <c r="L34" i="23"/>
  <c r="L16" i="23"/>
  <c r="L46" i="23"/>
  <c r="O10" i="5" l="1"/>
  <c r="L23" i="23"/>
  <c r="L11" i="23"/>
  <c r="L33" i="23"/>
  <c r="H7" i="4" l="1"/>
  <c r="J7" i="4" s="1"/>
  <c r="E9" i="5" s="1"/>
  <c r="H33" i="4"/>
  <c r="H21" i="4" l="1"/>
  <c r="J21" i="4" s="1"/>
  <c r="E23" i="5" s="1"/>
  <c r="H25" i="4"/>
  <c r="J25" i="4" s="1"/>
  <c r="E27" i="5" s="1"/>
  <c r="H19" i="4"/>
  <c r="J19" i="4" s="1"/>
  <c r="E21" i="5" s="1"/>
  <c r="H35" i="4"/>
  <c r="J35" i="4" s="1"/>
  <c r="E37" i="5" s="1"/>
  <c r="H20" i="4"/>
  <c r="J20" i="4" s="1"/>
  <c r="H24" i="4"/>
  <c r="J24" i="4" s="1"/>
  <c r="E26" i="5" s="1"/>
  <c r="H11" i="4"/>
  <c r="J11" i="4" s="1"/>
  <c r="E13" i="5" s="1"/>
  <c r="H23" i="4"/>
  <c r="J23" i="4" s="1"/>
  <c r="E25" i="5" s="1"/>
  <c r="H15" i="4"/>
  <c r="J15" i="4" s="1"/>
  <c r="E17" i="5" s="1"/>
  <c r="H38" i="4"/>
  <c r="J38" i="4" s="1"/>
  <c r="E40" i="5" s="1"/>
  <c r="H17" i="4"/>
  <c r="J17" i="4" s="1"/>
  <c r="E19" i="5" s="1"/>
  <c r="H41" i="4"/>
  <c r="J41" i="4" s="1"/>
  <c r="E43" i="5" s="1"/>
  <c r="H47" i="4"/>
  <c r="J47" i="4" s="1"/>
  <c r="E48" i="5" s="1"/>
  <c r="H42" i="4"/>
  <c r="J42" i="4" s="1"/>
  <c r="E44" i="5" s="1"/>
  <c r="H39" i="4"/>
  <c r="J39" i="4" s="1"/>
  <c r="E41" i="5" s="1"/>
  <c r="H27" i="4"/>
  <c r="J27" i="4" s="1"/>
  <c r="E29" i="5" s="1"/>
  <c r="H37" i="4"/>
  <c r="J37" i="4" s="1"/>
  <c r="E39" i="5" s="1"/>
  <c r="H6" i="4"/>
  <c r="J6" i="4" s="1"/>
  <c r="E8" i="5" s="1"/>
  <c r="H34" i="4"/>
  <c r="J34" i="4" s="1"/>
  <c r="E36" i="5" s="1"/>
  <c r="H4" i="4"/>
  <c r="H5" i="4"/>
  <c r="J5" i="4" s="1"/>
  <c r="E7" i="5" s="1"/>
  <c r="H18" i="4"/>
  <c r="J18" i="4" s="1"/>
  <c r="E20" i="5" s="1"/>
  <c r="H8" i="4"/>
  <c r="J8" i="4" s="1"/>
  <c r="E10" i="5" s="1"/>
  <c r="H44" i="4"/>
  <c r="J44" i="4" s="1"/>
  <c r="E45" i="5" s="1"/>
  <c r="H12" i="4"/>
  <c r="J12" i="4" s="1"/>
  <c r="E14" i="5" s="1"/>
  <c r="H30" i="4"/>
  <c r="J30" i="4" s="1"/>
  <c r="E32" i="5" s="1"/>
  <c r="H14" i="4"/>
  <c r="J14" i="4" s="1"/>
  <c r="E16" i="5" s="1"/>
  <c r="H26" i="4"/>
  <c r="J26" i="4" s="1"/>
  <c r="E28" i="5" s="1"/>
  <c r="H31" i="4"/>
  <c r="J31" i="4" s="1"/>
  <c r="E33" i="5" s="1"/>
  <c r="H22" i="4"/>
  <c r="J22" i="4" s="1"/>
  <c r="E24" i="5" s="1"/>
  <c r="H16" i="4"/>
  <c r="J16" i="4" s="1"/>
  <c r="E18" i="5" s="1"/>
  <c r="H32" i="4"/>
  <c r="J32" i="4" s="1"/>
  <c r="E34" i="5" s="1"/>
  <c r="H9" i="4"/>
  <c r="J9" i="4" s="1"/>
  <c r="E11" i="5" s="1"/>
  <c r="H46" i="4"/>
  <c r="J46" i="4" s="1"/>
  <c r="E47" i="5" s="1"/>
  <c r="H10" i="4"/>
  <c r="J10" i="4" s="1"/>
  <c r="E12" i="5" s="1"/>
  <c r="H40" i="4"/>
  <c r="J40" i="4" s="1"/>
  <c r="E42" i="5" s="1"/>
  <c r="I516" i="21"/>
  <c r="J33" i="4"/>
  <c r="E35" i="5" s="1"/>
  <c r="H28" i="4"/>
  <c r="J28" i="4" s="1"/>
  <c r="E30" i="5" s="1"/>
  <c r="H13" i="4"/>
  <c r="J13" i="4" s="1"/>
  <c r="E15" i="5" s="1"/>
  <c r="H48" i="4"/>
  <c r="J48" i="4" s="1"/>
  <c r="E49" i="5" s="1"/>
  <c r="H29" i="4"/>
  <c r="J29" i="4" s="1"/>
  <c r="E31" i="5" s="1"/>
  <c r="H36" i="4"/>
  <c r="J36" i="4" s="1"/>
  <c r="E38" i="5" s="1"/>
  <c r="G10" i="23"/>
  <c r="K9" i="5"/>
  <c r="S9" i="5" s="1"/>
  <c r="P9" i="5"/>
  <c r="G32" i="23" l="1"/>
  <c r="K31" i="5"/>
  <c r="G36" i="23"/>
  <c r="K35" i="5"/>
  <c r="S35" i="5" s="1"/>
  <c r="P35" i="5"/>
  <c r="K16" i="5"/>
  <c r="G17" i="23"/>
  <c r="K41" i="5"/>
  <c r="S41" i="5" s="1"/>
  <c r="G42" i="23"/>
  <c r="P41" i="5"/>
  <c r="K38" i="5"/>
  <c r="S38" i="5" s="1"/>
  <c r="G39" i="23"/>
  <c r="P38" i="5"/>
  <c r="G31" i="23"/>
  <c r="K30" i="5"/>
  <c r="S30" i="5" s="1"/>
  <c r="P30" i="5"/>
  <c r="K12" i="5"/>
  <c r="S12" i="5" s="1"/>
  <c r="G13" i="23"/>
  <c r="P12" i="5"/>
  <c r="G35" i="23"/>
  <c r="K34" i="5"/>
  <c r="S34" i="5" s="1"/>
  <c r="P34" i="5"/>
  <c r="K28" i="5"/>
  <c r="S28" i="5" s="1"/>
  <c r="G29" i="23"/>
  <c r="P28" i="5"/>
  <c r="G46" i="23"/>
  <c r="K45" i="5"/>
  <c r="S45" i="5" s="1"/>
  <c r="P45" i="5"/>
  <c r="J4" i="4"/>
  <c r="K29" i="5"/>
  <c r="S29" i="5" s="1"/>
  <c r="G30" i="23"/>
  <c r="P29" i="5"/>
  <c r="G44" i="23"/>
  <c r="K43" i="5"/>
  <c r="G26" i="23"/>
  <c r="K25" i="5"/>
  <c r="G38" i="23"/>
  <c r="K37" i="5"/>
  <c r="S37" i="5" s="1"/>
  <c r="P37" i="5"/>
  <c r="K18" i="5"/>
  <c r="S18" i="5" s="1"/>
  <c r="G19" i="23"/>
  <c r="P18" i="5"/>
  <c r="K36" i="5"/>
  <c r="S36" i="5" s="1"/>
  <c r="G37" i="23"/>
  <c r="P36" i="5"/>
  <c r="G14" i="23"/>
  <c r="K13" i="5"/>
  <c r="S13" i="5" s="1"/>
  <c r="P13" i="5"/>
  <c r="K21" i="5"/>
  <c r="S21" i="5" s="1"/>
  <c r="G22" i="23"/>
  <c r="P21" i="5"/>
  <c r="G50" i="23"/>
  <c r="K49" i="5"/>
  <c r="S49" i="5" s="1"/>
  <c r="P49" i="5"/>
  <c r="K11" i="5"/>
  <c r="S11" i="5" s="1"/>
  <c r="G12" i="23"/>
  <c r="P11" i="5"/>
  <c r="G25" i="23"/>
  <c r="K24" i="5"/>
  <c r="G33" i="23"/>
  <c r="K32" i="5"/>
  <c r="S32" i="5" s="1"/>
  <c r="P32" i="5"/>
  <c r="G21" i="23"/>
  <c r="K20" i="5"/>
  <c r="S20" i="5" s="1"/>
  <c r="P20" i="5"/>
  <c r="K8" i="5"/>
  <c r="S8" i="5" s="1"/>
  <c r="G9" i="23"/>
  <c r="P8" i="5"/>
  <c r="K44" i="5"/>
  <c r="G45" i="23"/>
  <c r="G41" i="23"/>
  <c r="K40" i="5"/>
  <c r="S40" i="5" s="1"/>
  <c r="P40" i="5"/>
  <c r="G27" i="23"/>
  <c r="K26" i="5"/>
  <c r="S26" i="5" s="1"/>
  <c r="P26" i="5"/>
  <c r="G28" i="23"/>
  <c r="K27" i="5"/>
  <c r="K47" i="5"/>
  <c r="S47" i="5" s="1"/>
  <c r="G48" i="23"/>
  <c r="P47" i="5"/>
  <c r="G11" i="23"/>
  <c r="K10" i="5"/>
  <c r="S10" i="5" s="1"/>
  <c r="P10" i="5"/>
  <c r="G20" i="23"/>
  <c r="K19" i="5"/>
  <c r="K15" i="5"/>
  <c r="S15" i="5" s="1"/>
  <c r="G16" i="23"/>
  <c r="P15" i="5"/>
  <c r="G43" i="23"/>
  <c r="K42" i="5"/>
  <c r="S42" i="5" s="1"/>
  <c r="P42" i="5"/>
  <c r="F2" i="4"/>
  <c r="D49" i="4"/>
  <c r="D54" i="4" s="1"/>
  <c r="K33" i="5"/>
  <c r="S33" i="5" s="1"/>
  <c r="G34" i="23"/>
  <c r="P33" i="5"/>
  <c r="G15" i="23"/>
  <c r="K14" i="5"/>
  <c r="S14" i="5" s="1"/>
  <c r="P14" i="5"/>
  <c r="G8" i="23"/>
  <c r="K7" i="5"/>
  <c r="S7" i="5" s="1"/>
  <c r="P7" i="5"/>
  <c r="G40" i="23"/>
  <c r="K39" i="5"/>
  <c r="S39" i="5" s="1"/>
  <c r="P39" i="5"/>
  <c r="K48" i="5"/>
  <c r="S48" i="5" s="1"/>
  <c r="G49" i="23"/>
  <c r="P48" i="5"/>
  <c r="G18" i="23"/>
  <c r="K17" i="5"/>
  <c r="S17" i="5" s="1"/>
  <c r="P17" i="5"/>
  <c r="G23" i="23"/>
  <c r="G24" i="23"/>
  <c r="K23" i="5"/>
  <c r="S23" i="5" s="1"/>
  <c r="P23" i="5"/>
  <c r="F49" i="4" l="1"/>
  <c r="H2" i="4"/>
  <c r="E6" i="5"/>
  <c r="J2" i="4" l="1"/>
  <c r="H49" i="4"/>
  <c r="P6" i="5"/>
  <c r="G7" i="23"/>
  <c r="K6" i="5"/>
  <c r="S6" i="5" s="1"/>
  <c r="E4" i="5" l="1"/>
  <c r="J49" i="4"/>
  <c r="G5" i="23" l="1"/>
  <c r="K4" i="5"/>
  <c r="E104" i="5"/>
  <c r="E103" i="5"/>
  <c r="E105" i="5" l="1"/>
  <c r="K104" i="5"/>
  <c r="K103" i="5"/>
  <c r="K105" i="5" l="1"/>
  <c r="B3" i="25" l="1"/>
  <c r="B47" i="25"/>
  <c r="E6" i="23" l="1"/>
  <c r="B33" i="25"/>
  <c r="T35" i="5"/>
  <c r="T48" i="5"/>
  <c r="AO5" i="5" l="1"/>
  <c r="B6" i="25"/>
  <c r="T8" i="5"/>
  <c r="B14" i="25"/>
  <c r="T16" i="5"/>
  <c r="B15" i="25"/>
  <c r="T17" i="5"/>
  <c r="B27" i="25"/>
  <c r="T29" i="5"/>
  <c r="B30" i="25"/>
  <c r="T32" i="5"/>
  <c r="B22" i="25"/>
  <c r="T24" i="5"/>
  <c r="B11" i="25"/>
  <c r="T13" i="5"/>
  <c r="B10" i="25"/>
  <c r="T12" i="5"/>
  <c r="T42" i="5"/>
  <c r="B40" i="25"/>
  <c r="B19" i="25"/>
  <c r="T21" i="5"/>
  <c r="T9" i="5"/>
  <c r="B7" i="25"/>
  <c r="B26" i="25"/>
  <c r="T28" i="5"/>
  <c r="B35" i="25"/>
  <c r="T37" i="5"/>
  <c r="B37" i="25"/>
  <c r="T39" i="5"/>
  <c r="B4" i="25"/>
  <c r="T6" i="5"/>
  <c r="B38" i="25"/>
  <c r="T40" i="5"/>
  <c r="T27" i="5"/>
  <c r="B25" i="25"/>
  <c r="B32" i="25"/>
  <c r="T34" i="5"/>
  <c r="B42" i="25"/>
  <c r="T44" i="5"/>
  <c r="B12" i="25"/>
  <c r="T14" i="5"/>
  <c r="B20" i="25"/>
  <c r="B39" i="25"/>
  <c r="T41" i="5"/>
  <c r="B17" i="25"/>
  <c r="T19" i="5"/>
  <c r="B29" i="25"/>
  <c r="T31" i="5"/>
  <c r="B24" i="25"/>
  <c r="T26" i="5"/>
  <c r="B36" i="25"/>
  <c r="T38" i="5"/>
  <c r="B28" i="25"/>
  <c r="T30" i="5"/>
  <c r="B34" i="25"/>
  <c r="T36" i="5"/>
  <c r="B9" i="25"/>
  <c r="T11" i="5"/>
  <c r="B5" i="25"/>
  <c r="T7" i="5"/>
  <c r="B46" i="25"/>
  <c r="T47" i="5"/>
  <c r="B21" i="25"/>
  <c r="T23" i="5"/>
  <c r="B13" i="25"/>
  <c r="T15" i="5"/>
  <c r="B43" i="25"/>
  <c r="T57" i="5"/>
  <c r="C50" i="25"/>
  <c r="B2" i="25"/>
  <c r="C49" i="25"/>
  <c r="T4" i="5"/>
  <c r="B44" i="25"/>
  <c r="T45" i="5"/>
  <c r="B41" i="25"/>
  <c r="T43" i="5"/>
  <c r="B23" i="25"/>
  <c r="T25" i="5"/>
  <c r="B18" i="25"/>
  <c r="T20" i="5"/>
  <c r="B8" i="25"/>
  <c r="T10" i="5"/>
  <c r="B31" i="25"/>
  <c r="T33" i="5"/>
  <c r="T18" i="5"/>
  <c r="B16" i="25"/>
  <c r="B48" i="25"/>
  <c r="T49" i="5"/>
  <c r="B45" i="25"/>
  <c r="T46" i="5"/>
  <c r="C51" i="25" l="1"/>
  <c r="B50" i="25"/>
  <c r="B49" i="25"/>
  <c r="T104" i="5"/>
  <c r="T103" i="5"/>
  <c r="T105" i="5" l="1"/>
  <c r="B51" i="25"/>
  <c r="E23" i="23" l="1"/>
  <c r="Z48" i="5" l="1"/>
  <c r="AA48" i="5" s="1"/>
  <c r="AO22" i="5"/>
  <c r="Z33" i="5"/>
  <c r="AA33" i="5" s="1"/>
  <c r="AE33" i="5" s="1"/>
  <c r="Z57" i="5" l="1"/>
  <c r="AA38" i="5"/>
  <c r="AE38" i="5" s="1"/>
  <c r="AH38" i="5" s="1"/>
  <c r="S39" i="23" s="1"/>
  <c r="AA23" i="5"/>
  <c r="AE23" i="5" s="1"/>
  <c r="P24" i="23" s="1"/>
  <c r="AA28" i="5"/>
  <c r="AE28" i="5" s="1"/>
  <c r="P29" i="23" s="1"/>
  <c r="Z47" i="5"/>
  <c r="AA47" i="5" s="1"/>
  <c r="AE47" i="5" s="1"/>
  <c r="AH47" i="5" s="1"/>
  <c r="S48" i="23" s="1"/>
  <c r="AA13" i="5"/>
  <c r="AB6" i="5"/>
  <c r="AF6" i="5" s="1"/>
  <c r="AB35" i="5"/>
  <c r="AF35" i="5" s="1"/>
  <c r="AB20" i="5"/>
  <c r="AF20" i="5" s="1"/>
  <c r="AB40" i="5"/>
  <c r="AF40" i="5" s="1"/>
  <c r="AE22" i="5"/>
  <c r="AH33" i="5"/>
  <c r="S34" i="23" s="1"/>
  <c r="P34" i="23"/>
  <c r="AB30" i="5"/>
  <c r="AB34" i="5"/>
  <c r="AB29" i="5"/>
  <c r="AE48" i="5"/>
  <c r="AA41" i="5" l="1"/>
  <c r="AE41" i="5" s="1"/>
  <c r="AH41" i="5" s="1"/>
  <c r="S42" i="23" s="1"/>
  <c r="P39" i="23"/>
  <c r="AH23" i="5"/>
  <c r="S24" i="23" s="1"/>
  <c r="AH28" i="5"/>
  <c r="S29" i="23" s="1"/>
  <c r="AA36" i="5"/>
  <c r="AE36" i="5" s="1"/>
  <c r="AB28" i="5"/>
  <c r="AB23" i="5"/>
  <c r="AB38" i="5"/>
  <c r="AA11" i="5"/>
  <c r="AE11" i="5" s="1"/>
  <c r="P12" i="23" s="1"/>
  <c r="AA10" i="5"/>
  <c r="AE10" i="5" s="1"/>
  <c r="P11" i="23" s="1"/>
  <c r="AA21" i="5"/>
  <c r="AB21" i="5" s="1"/>
  <c r="AA8" i="5"/>
  <c r="AE8" i="5" s="1"/>
  <c r="AA26" i="5"/>
  <c r="AE26" i="5" s="1"/>
  <c r="AA39" i="5"/>
  <c r="AE39" i="5" s="1"/>
  <c r="AE13" i="5"/>
  <c r="P48" i="23"/>
  <c r="AB47" i="5"/>
  <c r="AI20" i="5"/>
  <c r="T21" i="23" s="1"/>
  <c r="Q21" i="23"/>
  <c r="Q7" i="23"/>
  <c r="AI6" i="5"/>
  <c r="T7" i="23" s="1"/>
  <c r="AI40" i="5"/>
  <c r="T41" i="23" s="1"/>
  <c r="Q41" i="23"/>
  <c r="AI35" i="5"/>
  <c r="T36" i="23" s="1"/>
  <c r="Q36" i="23"/>
  <c r="AF34" i="5"/>
  <c r="AF22" i="5"/>
  <c r="AD22" i="5"/>
  <c r="P49" i="23"/>
  <c r="AH48" i="5"/>
  <c r="S49" i="23" s="1"/>
  <c r="AF30" i="5"/>
  <c r="AH22" i="5"/>
  <c r="S23" i="23" s="1"/>
  <c r="P23" i="23"/>
  <c r="AF29" i="5"/>
  <c r="P42" i="23" l="1"/>
  <c r="AH36" i="5"/>
  <c r="S37" i="23" s="1"/>
  <c r="P37" i="23"/>
  <c r="AF38" i="5"/>
  <c r="AF28" i="5"/>
  <c r="AF23" i="5"/>
  <c r="AH10" i="5"/>
  <c r="S11" i="23" s="1"/>
  <c r="AF21" i="5"/>
  <c r="AE21" i="5"/>
  <c r="AH11" i="5"/>
  <c r="S12" i="23" s="1"/>
  <c r="P9" i="23"/>
  <c r="AH8" i="5"/>
  <c r="S9" i="23" s="1"/>
  <c r="P27" i="23"/>
  <c r="AH26" i="5"/>
  <c r="S27" i="23" s="1"/>
  <c r="P40" i="23"/>
  <c r="AH39" i="5"/>
  <c r="S40" i="23" s="1"/>
  <c r="P14" i="23"/>
  <c r="AH13" i="5"/>
  <c r="S14" i="23" s="1"/>
  <c r="AF47" i="5"/>
  <c r="AG22" i="5"/>
  <c r="R23" i="23" s="1"/>
  <c r="O23" i="23"/>
  <c r="AI34" i="5"/>
  <c r="T35" i="23" s="1"/>
  <c r="Q35" i="23"/>
  <c r="Q30" i="23"/>
  <c r="AI29" i="5"/>
  <c r="T30" i="23" s="1"/>
  <c r="Q31" i="23"/>
  <c r="AI30" i="5"/>
  <c r="T31" i="23" s="1"/>
  <c r="AI22" i="5"/>
  <c r="T23" i="23" s="1"/>
  <c r="Q23" i="23"/>
  <c r="AI23" i="5" l="1"/>
  <c r="T24" i="23" s="1"/>
  <c r="Q24" i="23"/>
  <c r="AI28" i="5"/>
  <c r="T29" i="23" s="1"/>
  <c r="Q29" i="23"/>
  <c r="Q39" i="23"/>
  <c r="AI38" i="5"/>
  <c r="T39" i="23" s="1"/>
  <c r="P22" i="23"/>
  <c r="AH21" i="5"/>
  <c r="S22" i="23" s="1"/>
  <c r="Q22" i="23"/>
  <c r="AI21" i="5"/>
  <c r="T22" i="23" s="1"/>
  <c r="Q48" i="23"/>
  <c r="AI47" i="5"/>
  <c r="T48" i="23" s="1"/>
  <c r="AA6" i="5" l="1"/>
  <c r="AE6" i="5" s="1"/>
  <c r="AA7" i="5"/>
  <c r="AE7" i="5" s="1"/>
  <c r="P8" i="23" s="1"/>
  <c r="AA12" i="5"/>
  <c r="AE12" i="5" s="1"/>
  <c r="AA14" i="5"/>
  <c r="AE14" i="5" s="1"/>
  <c r="AA15" i="5"/>
  <c r="AE15" i="5" s="1"/>
  <c r="AA17" i="5"/>
  <c r="AE17" i="5" s="1"/>
  <c r="P18" i="23" s="1"/>
  <c r="AA18" i="5"/>
  <c r="AE18" i="5" s="1"/>
  <c r="AA20" i="5"/>
  <c r="AE20" i="5" s="1"/>
  <c r="AA29" i="5"/>
  <c r="AE29" i="5" s="1"/>
  <c r="AA30" i="5"/>
  <c r="AE30" i="5" s="1"/>
  <c r="AH30" i="5" s="1"/>
  <c r="S31" i="23" s="1"/>
  <c r="AA32" i="5"/>
  <c r="AE32" i="5" s="1"/>
  <c r="AA34" i="5"/>
  <c r="AE34" i="5" s="1"/>
  <c r="AA35" i="5"/>
  <c r="AE35" i="5" s="1"/>
  <c r="AA37" i="5"/>
  <c r="AE37" i="5" s="1"/>
  <c r="AH37" i="5" s="1"/>
  <c r="S38" i="23" s="1"/>
  <c r="AA40" i="5"/>
  <c r="AE40" i="5" s="1"/>
  <c r="AA42" i="5"/>
  <c r="AE42" i="5" s="1"/>
  <c r="AA45" i="5"/>
  <c r="AE45" i="5" s="1"/>
  <c r="AH45" i="5" s="1"/>
  <c r="S46" i="23" s="1"/>
  <c r="AA46" i="5"/>
  <c r="AE46" i="5" s="1"/>
  <c r="AA49" i="5"/>
  <c r="AE49" i="5" s="1"/>
  <c r="AH40" i="5" l="1"/>
  <c r="S41" i="23" s="1"/>
  <c r="P41" i="23"/>
  <c r="P33" i="23"/>
  <c r="AH32" i="5"/>
  <c r="S33" i="23" s="1"/>
  <c r="P36" i="23"/>
  <c r="AH35" i="5"/>
  <c r="S36" i="23" s="1"/>
  <c r="AH20" i="5"/>
  <c r="S21" i="23" s="1"/>
  <c r="P21" i="23"/>
  <c r="P16" i="23"/>
  <c r="AH15" i="5"/>
  <c r="S16" i="23" s="1"/>
  <c r="AH49" i="5"/>
  <c r="S50" i="23" s="1"/>
  <c r="P50" i="23"/>
  <c r="AH34" i="5"/>
  <c r="S35" i="23" s="1"/>
  <c r="P35" i="23"/>
  <c r="AH18" i="5"/>
  <c r="S19" i="23" s="1"/>
  <c r="P19" i="23"/>
  <c r="AH14" i="5"/>
  <c r="S15" i="23" s="1"/>
  <c r="P15" i="23"/>
  <c r="P7" i="23"/>
  <c r="AH6" i="5"/>
  <c r="S7" i="23" s="1"/>
  <c r="AH46" i="5"/>
  <c r="S47" i="23" s="1"/>
  <c r="P47" i="23"/>
  <c r="AH42" i="5"/>
  <c r="S43" i="23" s="1"/>
  <c r="P43" i="23"/>
  <c r="AH12" i="5"/>
  <c r="S13" i="23" s="1"/>
  <c r="P13" i="23"/>
  <c r="AH29" i="5"/>
  <c r="S30" i="23" s="1"/>
  <c r="P30" i="23"/>
  <c r="P46" i="23"/>
  <c r="P38" i="23"/>
  <c r="P31" i="23"/>
  <c r="AH17" i="5"/>
  <c r="S18" i="23" s="1"/>
  <c r="AH7" i="5"/>
  <c r="S8" i="23" s="1"/>
  <c r="F15" i="22"/>
  <c r="O16" i="5" s="1"/>
  <c r="S16" i="5" s="1"/>
  <c r="F18" i="22"/>
  <c r="O19" i="5" s="1"/>
  <c r="S19" i="5" s="1"/>
  <c r="F23" i="22"/>
  <c r="O24" i="5" s="1"/>
  <c r="S24" i="5" s="1"/>
  <c r="F24" i="22"/>
  <c r="F26" i="22"/>
  <c r="O27" i="5" s="1"/>
  <c r="S27" i="5" s="1"/>
  <c r="F30" i="22"/>
  <c r="O31" i="5" s="1"/>
  <c r="S31" i="5" s="1"/>
  <c r="F42" i="22"/>
  <c r="O43" i="5" s="1"/>
  <c r="S43" i="5" s="1"/>
  <c r="F43" i="22"/>
  <c r="F67" i="22"/>
  <c r="F72" i="22"/>
  <c r="F100" i="22"/>
  <c r="O101" i="5" s="1"/>
  <c r="S101" i="5" s="1"/>
  <c r="F101" i="22"/>
  <c r="L16" i="5"/>
  <c r="L17" i="23" s="1"/>
  <c r="M16" i="5"/>
  <c r="M17" i="23" s="1"/>
  <c r="N16" i="5"/>
  <c r="N17" i="23" s="1"/>
  <c r="L19" i="5"/>
  <c r="L20" i="23" s="1"/>
  <c r="M19" i="5"/>
  <c r="M20" i="23" s="1"/>
  <c r="N19" i="5"/>
  <c r="N20" i="23" s="1"/>
  <c r="L24" i="5"/>
  <c r="L25" i="23" s="1"/>
  <c r="M24" i="5"/>
  <c r="M25" i="23" s="1"/>
  <c r="N24" i="5"/>
  <c r="N25" i="23" s="1"/>
  <c r="L25" i="5"/>
  <c r="L26" i="23" s="1"/>
  <c r="M25" i="5"/>
  <c r="M26" i="23" s="1"/>
  <c r="N25" i="5"/>
  <c r="N26" i="23" s="1"/>
  <c r="O25" i="5"/>
  <c r="S25" i="5" s="1"/>
  <c r="L27" i="5"/>
  <c r="L28" i="23" s="1"/>
  <c r="M27" i="5"/>
  <c r="M28" i="23" s="1"/>
  <c r="N27" i="5"/>
  <c r="N28" i="23" s="1"/>
  <c r="L31" i="5"/>
  <c r="L32" i="23" s="1"/>
  <c r="M31" i="5"/>
  <c r="M32" i="23" s="1"/>
  <c r="N31" i="5"/>
  <c r="N32" i="23" s="1"/>
  <c r="L43" i="5"/>
  <c r="L44" i="23" s="1"/>
  <c r="M43" i="5"/>
  <c r="M44" i="23" s="1"/>
  <c r="N43" i="5"/>
  <c r="N44" i="23" s="1"/>
  <c r="L44" i="5"/>
  <c r="L45" i="23" s="1"/>
  <c r="M44" i="5"/>
  <c r="M45" i="23" s="1"/>
  <c r="N44" i="5"/>
  <c r="N45" i="23" s="1"/>
  <c r="O44" i="5"/>
  <c r="S44" i="5" s="1"/>
  <c r="L68" i="5"/>
  <c r="L69" i="23" s="1"/>
  <c r="M68" i="5"/>
  <c r="M69" i="23" s="1"/>
  <c r="N68" i="5"/>
  <c r="N69" i="23" s="1"/>
  <c r="O68" i="5"/>
  <c r="S68" i="5" s="1"/>
  <c r="L73" i="5"/>
  <c r="L74" i="23" s="1"/>
  <c r="M73" i="5"/>
  <c r="M74" i="23" s="1"/>
  <c r="N73" i="5"/>
  <c r="N74" i="23" s="1"/>
  <c r="O73" i="5"/>
  <c r="S73" i="5" s="1"/>
  <c r="L101" i="5"/>
  <c r="L102" i="23" s="1"/>
  <c r="M101" i="5"/>
  <c r="M102" i="23" s="1"/>
  <c r="N101" i="5"/>
  <c r="N102" i="23" s="1"/>
  <c r="L102" i="5"/>
  <c r="L103" i="23" s="1"/>
  <c r="M102" i="5"/>
  <c r="M103" i="23" s="1"/>
  <c r="N102" i="5"/>
  <c r="N103" i="23" s="1"/>
  <c r="O102" i="5"/>
  <c r="S102" i="5" s="1"/>
  <c r="R27" i="5" l="1"/>
  <c r="P27" i="5"/>
  <c r="P19" i="5"/>
  <c r="Q27" i="5"/>
  <c r="AA27" i="5" s="1"/>
  <c r="AE27" i="5" s="1"/>
  <c r="P28" i="23" s="1"/>
  <c r="P73" i="5"/>
  <c r="P101" i="5"/>
  <c r="Z101" i="5" s="1"/>
  <c r="Q31" i="5"/>
  <c r="AA31" i="5" s="1"/>
  <c r="AE31" i="5" s="1"/>
  <c r="P32" i="23" s="1"/>
  <c r="R25" i="5"/>
  <c r="AB25" i="5" s="1"/>
  <c r="AF25" i="5" s="1"/>
  <c r="Q26" i="23" s="1"/>
  <c r="Q19" i="5"/>
  <c r="AA19" i="5" s="1"/>
  <c r="AE19" i="5" s="1"/>
  <c r="P20" i="23" s="1"/>
  <c r="R16" i="5"/>
  <c r="Q16" i="5"/>
  <c r="AA16" i="5" s="1"/>
  <c r="AE16" i="5" s="1"/>
  <c r="P17" i="23" s="1"/>
  <c r="Q44" i="5"/>
  <c r="AA44" i="5" s="1"/>
  <c r="AE44" i="5" s="1"/>
  <c r="P45" i="23" s="1"/>
  <c r="P16" i="5"/>
  <c r="R68" i="5"/>
  <c r="AB68" i="5" s="1"/>
  <c r="AF68" i="5" s="1"/>
  <c r="Q69" i="23" s="1"/>
  <c r="Q73" i="5"/>
  <c r="AA73" i="5" s="1"/>
  <c r="AE73" i="5" s="1"/>
  <c r="P74" i="23" s="1"/>
  <c r="R43" i="5"/>
  <c r="R44" i="5"/>
  <c r="Q43" i="5"/>
  <c r="AA43" i="5" s="1"/>
  <c r="AE43" i="5" s="1"/>
  <c r="P44" i="23" s="1"/>
  <c r="R24" i="5"/>
  <c r="P24" i="5"/>
  <c r="Q68" i="5"/>
  <c r="AA68" i="5" s="1"/>
  <c r="AE68" i="5" s="1"/>
  <c r="P69" i="23" s="1"/>
  <c r="R31" i="5"/>
  <c r="Q25" i="5"/>
  <c r="AA25" i="5" s="1"/>
  <c r="AE25" i="5" s="1"/>
  <c r="P26" i="23" s="1"/>
  <c r="R73" i="5"/>
  <c r="AB73" i="5" s="1"/>
  <c r="AF73" i="5" s="1"/>
  <c r="Q74" i="23" s="1"/>
  <c r="P43" i="5"/>
  <c r="Q24" i="5"/>
  <c r="AA24" i="5" s="1"/>
  <c r="AE24" i="5" s="1"/>
  <c r="P25" i="23" s="1"/>
  <c r="R19" i="5"/>
  <c r="Q101" i="5"/>
  <c r="AA101" i="5" s="1"/>
  <c r="AE101" i="5" s="1"/>
  <c r="P102" i="23" s="1"/>
  <c r="P44" i="5"/>
  <c r="P31" i="5"/>
  <c r="P25" i="5"/>
  <c r="P68" i="5"/>
  <c r="Q102" i="5"/>
  <c r="AA102" i="5" s="1"/>
  <c r="AE102" i="5" s="1"/>
  <c r="P103" i="23" s="1"/>
  <c r="R101" i="5"/>
  <c r="AB101" i="5" s="1"/>
  <c r="AF101" i="5" s="1"/>
  <c r="Q102" i="23" s="1"/>
  <c r="P102" i="5"/>
  <c r="Z102" i="5" s="1"/>
  <c r="R102" i="5"/>
  <c r="AB102" i="5" s="1"/>
  <c r="AF102" i="5" s="1"/>
  <c r="Q103" i="23" s="1"/>
  <c r="D102" i="22"/>
  <c r="E102" i="22"/>
  <c r="D103" i="22"/>
  <c r="E103" i="22"/>
  <c r="M4" i="5"/>
  <c r="M5" i="23" s="1"/>
  <c r="N4" i="5"/>
  <c r="N5" i="23" s="1"/>
  <c r="AH43" i="5" l="1"/>
  <c r="S44" i="23" s="1"/>
  <c r="AH27" i="5"/>
  <c r="S28" i="23" s="1"/>
  <c r="AH31" i="5"/>
  <c r="S32" i="23" s="1"/>
  <c r="AH24" i="5"/>
  <c r="S25" i="23" s="1"/>
  <c r="AI68" i="5"/>
  <c r="T69" i="23" s="1"/>
  <c r="AI25" i="5"/>
  <c r="T26" i="23" s="1"/>
  <c r="AH44" i="5"/>
  <c r="S45" i="23" s="1"/>
  <c r="AH68" i="5"/>
  <c r="S69" i="23" s="1"/>
  <c r="AH19" i="5"/>
  <c r="S20" i="23" s="1"/>
  <c r="AH16" i="5"/>
  <c r="S17" i="23" s="1"/>
  <c r="AH73" i="5"/>
  <c r="S74" i="23" s="1"/>
  <c r="AH101" i="5"/>
  <c r="S102" i="23" s="1"/>
  <c r="AI73" i="5"/>
  <c r="T74" i="23" s="1"/>
  <c r="M104" i="5"/>
  <c r="N103" i="5"/>
  <c r="D104" i="22"/>
  <c r="AH25" i="5"/>
  <c r="S26" i="23" s="1"/>
  <c r="E104" i="22"/>
  <c r="N104" i="5"/>
  <c r="AH102" i="5"/>
  <c r="S103" i="23" s="1"/>
  <c r="AI102" i="5"/>
  <c r="T103" i="23" s="1"/>
  <c r="M103" i="5"/>
  <c r="M105" i="5" s="1"/>
  <c r="Q4" i="5"/>
  <c r="R4" i="5"/>
  <c r="AI101" i="5"/>
  <c r="T102" i="23" s="1"/>
  <c r="N105" i="5" l="1"/>
  <c r="Q103" i="5"/>
  <c r="AA4" i="5"/>
  <c r="AE4" i="5" s="1"/>
  <c r="Q104" i="5"/>
  <c r="R104" i="5"/>
  <c r="R103" i="5"/>
  <c r="P5" i="23" l="1"/>
  <c r="AH4" i="5"/>
  <c r="S5" i="23" s="1"/>
  <c r="Q105" i="5"/>
  <c r="R105" i="5"/>
  <c r="F3" i="22"/>
  <c r="F103" i="22" s="1"/>
  <c r="C102" i="22"/>
  <c r="C103" i="22"/>
  <c r="L4" i="5"/>
  <c r="L5" i="23" s="1"/>
  <c r="O4" i="5"/>
  <c r="S4" i="5" s="1"/>
  <c r="S104" i="5" s="1"/>
  <c r="C104" i="22" l="1"/>
  <c r="O104" i="5"/>
  <c r="F102" i="22"/>
  <c r="F104" i="22" s="1"/>
  <c r="L104" i="5"/>
  <c r="L103" i="5"/>
  <c r="O103" i="5"/>
  <c r="O105" i="5" s="1"/>
  <c r="S103" i="5"/>
  <c r="S105" i="5" s="1"/>
  <c r="U2" i="5" s="1"/>
  <c r="V82" i="5" s="1"/>
  <c r="P4" i="5"/>
  <c r="L105" i="5" l="1"/>
  <c r="W89" i="5"/>
  <c r="U84" i="5"/>
  <c r="U59" i="5"/>
  <c r="V80" i="5"/>
  <c r="W91" i="5"/>
  <c r="U100" i="5"/>
  <c r="U86" i="5"/>
  <c r="V97" i="5"/>
  <c r="V74" i="5"/>
  <c r="W98" i="5"/>
  <c r="AO98" i="5" s="1"/>
  <c r="U95" i="5"/>
  <c r="V83" i="5"/>
  <c r="W93" i="5"/>
  <c r="V102" i="5"/>
  <c r="V88" i="5"/>
  <c r="U81" i="5"/>
  <c r="W50" i="5"/>
  <c r="V87" i="5"/>
  <c r="V96" i="5"/>
  <c r="U82" i="5"/>
  <c r="V92" i="5"/>
  <c r="W78" i="5"/>
  <c r="E79" i="23" s="1"/>
  <c r="W69" i="5"/>
  <c r="V85" i="5"/>
  <c r="U90" i="5"/>
  <c r="U94" i="5"/>
  <c r="V99" i="5"/>
  <c r="W81" i="5"/>
  <c r="W85" i="5"/>
  <c r="AO85" i="5" s="1"/>
  <c r="V90" i="5"/>
  <c r="W96" i="5"/>
  <c r="U79" i="5"/>
  <c r="W51" i="5"/>
  <c r="U78" i="5"/>
  <c r="U88" i="5"/>
  <c r="U92" i="5"/>
  <c r="U97" i="5"/>
  <c r="W101" i="5"/>
  <c r="E102" i="23" s="1"/>
  <c r="W83" i="5"/>
  <c r="W87" i="5"/>
  <c r="V94" i="5"/>
  <c r="V100" i="5"/>
  <c r="U69" i="5"/>
  <c r="U63" i="5"/>
  <c r="U52" i="5"/>
  <c r="W102" i="5"/>
  <c r="AO102" i="5" s="1"/>
  <c r="U77" i="5"/>
  <c r="V66" i="5"/>
  <c r="U57" i="5"/>
  <c r="U48" i="5"/>
  <c r="U71" i="5"/>
  <c r="V60" i="5"/>
  <c r="V46" i="5"/>
  <c r="U76" i="5"/>
  <c r="V65" i="5"/>
  <c r="V77" i="5"/>
  <c r="U75" i="5"/>
  <c r="V63" i="5"/>
  <c r="U55" i="5"/>
  <c r="W46" i="5"/>
  <c r="U68" i="5"/>
  <c r="V56" i="5"/>
  <c r="U44" i="5"/>
  <c r="U74" i="5"/>
  <c r="U62" i="5"/>
  <c r="V57" i="5"/>
  <c r="U72" i="5"/>
  <c r="U61" i="5"/>
  <c r="U53" i="5"/>
  <c r="W44" i="5"/>
  <c r="E45" i="23" s="1"/>
  <c r="U66" i="5"/>
  <c r="V52" i="5"/>
  <c r="U80" i="5"/>
  <c r="W72" i="5"/>
  <c r="AO72" i="5" s="1"/>
  <c r="U60" i="5"/>
  <c r="V42" i="5"/>
  <c r="W74" i="5"/>
  <c r="Y74" i="5" s="1"/>
  <c r="V68" i="5"/>
  <c r="W62" i="5"/>
  <c r="V58" i="5"/>
  <c r="W54" i="5"/>
  <c r="AO54" i="5" s="1"/>
  <c r="U49" i="5"/>
  <c r="V45" i="5"/>
  <c r="W73" i="5"/>
  <c r="W67" i="5"/>
  <c r="Y67" i="5" s="1"/>
  <c r="V62" i="5"/>
  <c r="V54" i="5"/>
  <c r="U47" i="5"/>
  <c r="U43" i="5"/>
  <c r="W77" i="5"/>
  <c r="E78" i="23" s="1"/>
  <c r="V73" i="5"/>
  <c r="V67" i="5"/>
  <c r="W61" i="5"/>
  <c r="E62" i="23" s="1"/>
  <c r="W48" i="5"/>
  <c r="W34" i="5"/>
  <c r="W99" i="5"/>
  <c r="W80" i="5"/>
  <c r="Y80" i="5" s="1"/>
  <c r="W76" i="5"/>
  <c r="AO76" i="5" s="1"/>
  <c r="V71" i="5"/>
  <c r="U64" i="5"/>
  <c r="W60" i="5"/>
  <c r="Y60" i="5" s="1"/>
  <c r="W56" i="5"/>
  <c r="E57" i="23" s="1"/>
  <c r="W52" i="5"/>
  <c r="V47" i="5"/>
  <c r="V76" i="5"/>
  <c r="W70" i="5"/>
  <c r="Y70" i="5" s="1"/>
  <c r="W65" i="5"/>
  <c r="U58" i="5"/>
  <c r="V51" i="5"/>
  <c r="U45" i="5"/>
  <c r="W79" i="5"/>
  <c r="W75" i="5"/>
  <c r="V70" i="5"/>
  <c r="W64" i="5"/>
  <c r="AO64" i="5" s="1"/>
  <c r="U56" i="5"/>
  <c r="V69" i="5"/>
  <c r="V21" i="5"/>
  <c r="W55" i="5"/>
  <c r="U51" i="5"/>
  <c r="U46" i="5"/>
  <c r="V75" i="5"/>
  <c r="W68" i="5"/>
  <c r="Y68" i="5" s="1"/>
  <c r="Z68" i="5" s="1"/>
  <c r="U50" i="5"/>
  <c r="V28" i="5"/>
  <c r="V39" i="5"/>
  <c r="W16" i="5"/>
  <c r="Y16" i="5" s="1"/>
  <c r="Z16" i="5" s="1"/>
  <c r="AB16" i="5" s="1"/>
  <c r="AF16" i="5" s="1"/>
  <c r="W59" i="5"/>
  <c r="U54" i="5"/>
  <c r="V50" i="5"/>
  <c r="V81" i="5"/>
  <c r="U73" i="5"/>
  <c r="U65" i="5"/>
  <c r="V43" i="5"/>
  <c r="W21" i="5"/>
  <c r="W32" i="5"/>
  <c r="V26" i="5"/>
  <c r="W57" i="5"/>
  <c r="B57" i="6" s="1"/>
  <c r="W53" i="5"/>
  <c r="E54" i="23" s="1"/>
  <c r="W49" i="5"/>
  <c r="V79" i="5"/>
  <c r="V72" i="5"/>
  <c r="V64" i="5"/>
  <c r="W39" i="5"/>
  <c r="V18" i="5"/>
  <c r="W29" i="5"/>
  <c r="U41" i="5"/>
  <c r="W71" i="5"/>
  <c r="U67" i="5"/>
  <c r="W63" i="5"/>
  <c r="V49" i="5"/>
  <c r="U38" i="5"/>
  <c r="W27" i="5"/>
  <c r="W17" i="5"/>
  <c r="U37" i="5"/>
  <c r="U28" i="5"/>
  <c r="U14" i="5"/>
  <c r="V35" i="5"/>
  <c r="U70" i="5"/>
  <c r="W66" i="5"/>
  <c r="W58" i="5"/>
  <c r="W45" i="5"/>
  <c r="U35" i="5"/>
  <c r="U23" i="5"/>
  <c r="V12" i="5"/>
  <c r="V33" i="5"/>
  <c r="V24" i="5"/>
  <c r="V32" i="5"/>
  <c r="V9" i="5"/>
  <c r="V61" i="5"/>
  <c r="V55" i="5"/>
  <c r="V48" i="5"/>
  <c r="W42" i="5"/>
  <c r="V37" i="5"/>
  <c r="W33" i="5"/>
  <c r="U25" i="5"/>
  <c r="U20" i="5"/>
  <c r="U15" i="5"/>
  <c r="W41" i="5"/>
  <c r="V36" i="5"/>
  <c r="W31" i="5"/>
  <c r="V27" i="5"/>
  <c r="U18" i="5"/>
  <c r="U42" i="5"/>
  <c r="U21" i="5"/>
  <c r="U29" i="5"/>
  <c r="V59" i="5"/>
  <c r="V53" i="5"/>
  <c r="W47" i="5"/>
  <c r="V40" i="5"/>
  <c r="W36" i="5"/>
  <c r="V30" i="5"/>
  <c r="W24" i="5"/>
  <c r="U19" i="5"/>
  <c r="V14" i="5"/>
  <c r="U40" i="5"/>
  <c r="V34" i="5"/>
  <c r="U30" i="5"/>
  <c r="W26" i="5"/>
  <c r="V17" i="5"/>
  <c r="U36" i="5"/>
  <c r="V16" i="5"/>
  <c r="V20" i="5"/>
  <c r="V41" i="5"/>
  <c r="W35" i="5"/>
  <c r="V31" i="5"/>
  <c r="W25" i="5"/>
  <c r="W20" i="5"/>
  <c r="W15" i="5"/>
  <c r="W40" i="5"/>
  <c r="B40" i="6" s="1"/>
  <c r="U32" i="5"/>
  <c r="W28" i="5"/>
  <c r="V15" i="5"/>
  <c r="U10" i="5"/>
  <c r="W13" i="5"/>
  <c r="U39" i="5"/>
  <c r="U34" i="5"/>
  <c r="V29" i="5"/>
  <c r="U24" i="5"/>
  <c r="W19" i="5"/>
  <c r="V13" i="5"/>
  <c r="V38" i="5"/>
  <c r="U31" i="5"/>
  <c r="U26" i="5"/>
  <c r="U12" i="5"/>
  <c r="V7" i="5"/>
  <c r="V44" i="5"/>
  <c r="W38" i="5"/>
  <c r="U33" i="5"/>
  <c r="U27" i="5"/>
  <c r="W23" i="5"/>
  <c r="U17" i="5"/>
  <c r="W43" i="5"/>
  <c r="W37" i="5"/>
  <c r="W30" i="5"/>
  <c r="V25" i="5"/>
  <c r="U7" i="5"/>
  <c r="V78" i="5"/>
  <c r="V19" i="5"/>
  <c r="W14" i="5"/>
  <c r="V11" i="5"/>
  <c r="W6" i="5"/>
  <c r="W8" i="5"/>
  <c r="U9" i="5"/>
  <c r="W88" i="5"/>
  <c r="U85" i="5"/>
  <c r="W18" i="5"/>
  <c r="U13" i="5"/>
  <c r="W10" i="5"/>
  <c r="U11" i="5"/>
  <c r="V6" i="5"/>
  <c r="V8" i="5"/>
  <c r="W92" i="5"/>
  <c r="V91" i="5"/>
  <c r="V23" i="5"/>
  <c r="U16" i="5"/>
  <c r="W12" i="5"/>
  <c r="W9" i="5"/>
  <c r="V10" i="5"/>
  <c r="W4" i="5"/>
  <c r="B4" i="20" s="1"/>
  <c r="U6" i="5"/>
  <c r="W97" i="5"/>
  <c r="V98" i="5"/>
  <c r="V4" i="5"/>
  <c r="U4" i="5"/>
  <c r="U89" i="5"/>
  <c r="U93" i="5"/>
  <c r="U98" i="5"/>
  <c r="W82" i="5"/>
  <c r="W86" i="5"/>
  <c r="V93" i="5"/>
  <c r="U99" i="5"/>
  <c r="W11" i="5"/>
  <c r="V84" i="5"/>
  <c r="W90" i="5"/>
  <c r="W94" i="5"/>
  <c r="W100" i="5"/>
  <c r="U83" i="5"/>
  <c r="U87" i="5"/>
  <c r="W95" i="5"/>
  <c r="V101" i="5"/>
  <c r="W7" i="5"/>
  <c r="U8" i="5"/>
  <c r="V86" i="5"/>
  <c r="U91" i="5"/>
  <c r="V95" i="5"/>
  <c r="U101" i="5"/>
  <c r="W84" i="5"/>
  <c r="V89" i="5"/>
  <c r="U96" i="5"/>
  <c r="U102" i="5"/>
  <c r="E86" i="23"/>
  <c r="Y85" i="5"/>
  <c r="E75" i="23"/>
  <c r="AO74" i="5"/>
  <c r="Y54" i="5"/>
  <c r="E68" i="23"/>
  <c r="AO67" i="5"/>
  <c r="AO61" i="5"/>
  <c r="P104" i="5"/>
  <c r="P103" i="5"/>
  <c r="E92" i="23"/>
  <c r="Y91" i="5"/>
  <c r="AO91" i="5"/>
  <c r="AO87" i="5"/>
  <c r="AO99" i="5"/>
  <c r="AO80" i="5"/>
  <c r="E61" i="23"/>
  <c r="AO60" i="5"/>
  <c r="AO75" i="5"/>
  <c r="E90" i="23"/>
  <c r="Y89" i="5"/>
  <c r="AO89" i="5"/>
  <c r="E94" i="23"/>
  <c r="Y93" i="5"/>
  <c r="AO93" i="5"/>
  <c r="E52" i="23"/>
  <c r="AO51" i="5"/>
  <c r="Y51" i="5"/>
  <c r="E51" i="23"/>
  <c r="Y50" i="5"/>
  <c r="AO50" i="5"/>
  <c r="E59" i="23"/>
  <c r="E99" i="23" l="1"/>
  <c r="Y102" i="5"/>
  <c r="AO57" i="5"/>
  <c r="E81" i="23"/>
  <c r="Y61" i="5"/>
  <c r="E55" i="23"/>
  <c r="Y64" i="5"/>
  <c r="X64" i="5" s="1"/>
  <c r="Y53" i="5"/>
  <c r="Z53" i="5" s="1"/>
  <c r="AC53" i="5" s="1"/>
  <c r="AD53" i="5" s="1"/>
  <c r="AO56" i="5"/>
  <c r="E73" i="23"/>
  <c r="E17" i="23"/>
  <c r="E69" i="23"/>
  <c r="Y98" i="5"/>
  <c r="E71" i="23"/>
  <c r="E77" i="23"/>
  <c r="AO68" i="5"/>
  <c r="Y78" i="5"/>
  <c r="AO16" i="5"/>
  <c r="AO53" i="5"/>
  <c r="Y56" i="5"/>
  <c r="X56" i="5" s="1"/>
  <c r="Y101" i="5"/>
  <c r="Y44" i="5"/>
  <c r="X44" i="5" s="1"/>
  <c r="B84" i="20"/>
  <c r="B84" i="6"/>
  <c r="B95" i="20"/>
  <c r="B95" i="6"/>
  <c r="B94" i="20"/>
  <c r="B94" i="6"/>
  <c r="B14" i="20"/>
  <c r="B14" i="6"/>
  <c r="B38" i="20"/>
  <c r="B38" i="6"/>
  <c r="B19" i="20"/>
  <c r="B19" i="6"/>
  <c r="B28" i="20"/>
  <c r="B28" i="6"/>
  <c r="B20" i="20"/>
  <c r="B20" i="6"/>
  <c r="B66" i="20"/>
  <c r="B66" i="6"/>
  <c r="B71" i="20"/>
  <c r="B71" i="6"/>
  <c r="B39" i="20"/>
  <c r="B39" i="6"/>
  <c r="B49" i="20"/>
  <c r="B49" i="6"/>
  <c r="B32" i="20"/>
  <c r="B32" i="6"/>
  <c r="B59" i="20"/>
  <c r="B59" i="6"/>
  <c r="B79" i="20"/>
  <c r="B79" i="6"/>
  <c r="B65" i="20"/>
  <c r="B65" i="6"/>
  <c r="B52" i="20"/>
  <c r="B52" i="6"/>
  <c r="B34" i="20"/>
  <c r="B34" i="6"/>
  <c r="B62" i="20"/>
  <c r="B62" i="6"/>
  <c r="B83" i="20"/>
  <c r="B83" i="6"/>
  <c r="B96" i="20"/>
  <c r="B96" i="6"/>
  <c r="B69" i="20"/>
  <c r="B69" i="6"/>
  <c r="B90" i="20"/>
  <c r="B90" i="6"/>
  <c r="B18" i="20"/>
  <c r="B18" i="6"/>
  <c r="B8" i="20"/>
  <c r="B8" i="6"/>
  <c r="B30" i="20"/>
  <c r="B30" i="6"/>
  <c r="B23" i="20"/>
  <c r="B23" i="6"/>
  <c r="B13" i="20"/>
  <c r="B13" i="6"/>
  <c r="B25" i="20"/>
  <c r="B25" i="6"/>
  <c r="B26" i="20"/>
  <c r="B26" i="6"/>
  <c r="B36" i="20"/>
  <c r="B36" i="6"/>
  <c r="B41" i="20"/>
  <c r="B41" i="6"/>
  <c r="B33" i="20"/>
  <c r="B33" i="6"/>
  <c r="B53" i="20"/>
  <c r="B53" i="6"/>
  <c r="B21" i="20"/>
  <c r="B21" i="6"/>
  <c r="B16" i="20"/>
  <c r="B16" i="6"/>
  <c r="B68" i="20"/>
  <c r="B68" i="6"/>
  <c r="B55" i="20"/>
  <c r="B55" i="6"/>
  <c r="B64" i="20"/>
  <c r="B64" i="6"/>
  <c r="B70" i="20"/>
  <c r="B70" i="6"/>
  <c r="B56" i="20"/>
  <c r="B56" i="6"/>
  <c r="B76" i="20"/>
  <c r="B76" i="6"/>
  <c r="B48" i="20"/>
  <c r="B48" i="6"/>
  <c r="B77" i="20"/>
  <c r="B77" i="6"/>
  <c r="B72" i="20"/>
  <c r="B72" i="6"/>
  <c r="B44" i="20"/>
  <c r="B44" i="6"/>
  <c r="B102" i="20"/>
  <c r="B102" i="6"/>
  <c r="B101" i="20"/>
  <c r="B101" i="6"/>
  <c r="B78" i="20"/>
  <c r="B78" i="6"/>
  <c r="B98" i="20"/>
  <c r="B98" i="6"/>
  <c r="B7" i="20"/>
  <c r="B7" i="6"/>
  <c r="B86" i="20"/>
  <c r="B86" i="6"/>
  <c r="B97" i="20"/>
  <c r="B97" i="6"/>
  <c r="B9" i="20"/>
  <c r="B9" i="6"/>
  <c r="B6" i="20"/>
  <c r="B6" i="6"/>
  <c r="B37" i="20"/>
  <c r="B37" i="6"/>
  <c r="B45" i="20"/>
  <c r="B45" i="6"/>
  <c r="B17" i="20"/>
  <c r="B17" i="6"/>
  <c r="B63" i="20"/>
  <c r="B63" i="6"/>
  <c r="B29" i="20"/>
  <c r="B29" i="6"/>
  <c r="B60" i="20"/>
  <c r="B60" i="6"/>
  <c r="B80" i="20"/>
  <c r="B80" i="6"/>
  <c r="B61" i="20"/>
  <c r="B61" i="6"/>
  <c r="B67" i="20"/>
  <c r="B67" i="6"/>
  <c r="B54" i="20"/>
  <c r="B54" i="6"/>
  <c r="B74" i="20"/>
  <c r="B74" i="6"/>
  <c r="B51" i="20"/>
  <c r="B51" i="6"/>
  <c r="B85" i="20"/>
  <c r="B85" i="6"/>
  <c r="B50" i="20"/>
  <c r="B50" i="6"/>
  <c r="B93" i="20"/>
  <c r="B93" i="6"/>
  <c r="B91" i="20"/>
  <c r="B91" i="6"/>
  <c r="B89" i="20"/>
  <c r="B89" i="6"/>
  <c r="B100" i="20"/>
  <c r="B100" i="6"/>
  <c r="B11" i="20"/>
  <c r="B11" i="6"/>
  <c r="B82" i="20"/>
  <c r="B82" i="6"/>
  <c r="B12" i="20"/>
  <c r="B12" i="6"/>
  <c r="B92" i="20"/>
  <c r="B92" i="6"/>
  <c r="B10" i="20"/>
  <c r="B10" i="6"/>
  <c r="B88" i="20"/>
  <c r="B88" i="6"/>
  <c r="B43" i="20"/>
  <c r="B43" i="6"/>
  <c r="B15" i="20"/>
  <c r="B15" i="6"/>
  <c r="B35" i="20"/>
  <c r="B35" i="6"/>
  <c r="B24" i="20"/>
  <c r="B24" i="6"/>
  <c r="B47" i="20"/>
  <c r="B47" i="6"/>
  <c r="B31" i="20"/>
  <c r="B31" i="6"/>
  <c r="B42" i="20"/>
  <c r="B42" i="6"/>
  <c r="B58" i="20"/>
  <c r="B58" i="6"/>
  <c r="B27" i="20"/>
  <c r="B27" i="6"/>
  <c r="B75" i="20"/>
  <c r="B75" i="6"/>
  <c r="B99" i="20"/>
  <c r="B99" i="6"/>
  <c r="B73" i="20"/>
  <c r="B73" i="6"/>
  <c r="B46" i="20"/>
  <c r="B46" i="6"/>
  <c r="B87" i="20"/>
  <c r="B87" i="6"/>
  <c r="B81" i="20"/>
  <c r="B81" i="6"/>
  <c r="AO40" i="5"/>
  <c r="B40" i="20"/>
  <c r="E58" i="23"/>
  <c r="B57" i="20"/>
  <c r="E27" i="23"/>
  <c r="E7" i="23"/>
  <c r="E8" i="23"/>
  <c r="Y57" i="5"/>
  <c r="AA57" i="5" s="1"/>
  <c r="Y63" i="5"/>
  <c r="X63" i="5" s="1"/>
  <c r="E39" i="23"/>
  <c r="AO19" i="5"/>
  <c r="AO20" i="5"/>
  <c r="Y39" i="5"/>
  <c r="X39" i="5" s="1"/>
  <c r="Y49" i="5"/>
  <c r="Z49" i="5" s="1"/>
  <c r="AB49" i="5" s="1"/>
  <c r="AF49" i="5" s="1"/>
  <c r="Y8" i="5"/>
  <c r="Z8" i="5" s="1"/>
  <c r="AB8" i="5" s="1"/>
  <c r="AF8" i="5" s="1"/>
  <c r="E31" i="23"/>
  <c r="AO13" i="5"/>
  <c r="Y25" i="5"/>
  <c r="Z25" i="5" s="1"/>
  <c r="Y26" i="5"/>
  <c r="Z26" i="5" s="1"/>
  <c r="AB26" i="5" s="1"/>
  <c r="AF26" i="5" s="1"/>
  <c r="E34" i="23"/>
  <c r="E49" i="23"/>
  <c r="AO9" i="5"/>
  <c r="Y40" i="5"/>
  <c r="Z40" i="5" s="1"/>
  <c r="AC40" i="5" s="1"/>
  <c r="AD40" i="5" s="1"/>
  <c r="E46" i="23"/>
  <c r="E18" i="23"/>
  <c r="E30" i="23"/>
  <c r="E44" i="23"/>
  <c r="Y15" i="5"/>
  <c r="Z15" i="5" s="1"/>
  <c r="AB15" i="5" s="1"/>
  <c r="AF15" i="5" s="1"/>
  <c r="E36" i="23"/>
  <c r="E28" i="23"/>
  <c r="E47" i="23"/>
  <c r="AO36" i="5"/>
  <c r="Y36" i="5"/>
  <c r="X36" i="5" s="1"/>
  <c r="Y86" i="5"/>
  <c r="X86" i="5" s="1"/>
  <c r="Y17" i="5"/>
  <c r="X17" i="5" s="1"/>
  <c r="Y95" i="5"/>
  <c r="X95" i="5" s="1"/>
  <c r="E72" i="23"/>
  <c r="E60" i="23"/>
  <c r="E66" i="23"/>
  <c r="E91" i="23"/>
  <c r="AO55" i="5"/>
  <c r="E65" i="23"/>
  <c r="Y76" i="5"/>
  <c r="X76" i="5" s="1"/>
  <c r="Y72" i="5"/>
  <c r="AC72" i="5" s="1"/>
  <c r="AD72" i="5" s="1"/>
  <c r="E64" i="23"/>
  <c r="E10" i="23"/>
  <c r="E83" i="23"/>
  <c r="Y92" i="5"/>
  <c r="Z92" i="5" s="1"/>
  <c r="AC92" i="5" s="1"/>
  <c r="AD92" i="5" s="1"/>
  <c r="Y58" i="5"/>
  <c r="X58" i="5" s="1"/>
  <c r="E74" i="23"/>
  <c r="E82" i="23"/>
  <c r="AO30" i="5"/>
  <c r="Y55" i="5"/>
  <c r="Z55" i="5" s="1"/>
  <c r="AC55" i="5" s="1"/>
  <c r="AD55" i="5" s="1"/>
  <c r="AO86" i="5"/>
  <c r="E70" i="23"/>
  <c r="E33" i="23"/>
  <c r="Y23" i="5"/>
  <c r="Z23" i="5" s="1"/>
  <c r="AC23" i="5" s="1"/>
  <c r="AD23" i="5" s="1"/>
  <c r="AO70" i="5"/>
  <c r="AO101" i="5"/>
  <c r="E14" i="23"/>
  <c r="E56" i="23"/>
  <c r="AO44" i="5"/>
  <c r="Y21" i="5"/>
  <c r="Z21" i="5" s="1"/>
  <c r="AC21" i="5" s="1"/>
  <c r="AD21" i="5" s="1"/>
  <c r="Y48" i="5"/>
  <c r="AB48" i="5" s="1"/>
  <c r="AF48" i="5" s="1"/>
  <c r="E103" i="23"/>
  <c r="AO23" i="5"/>
  <c r="E26" i="23"/>
  <c r="E22" i="23"/>
  <c r="AO48" i="5"/>
  <c r="AO77" i="5"/>
  <c r="AO18" i="5"/>
  <c r="Y18" i="5"/>
  <c r="X18" i="5" s="1"/>
  <c r="AO29" i="5"/>
  <c r="AO7" i="5"/>
  <c r="Y29" i="5"/>
  <c r="Z29" i="5" s="1"/>
  <c r="AC29" i="5" s="1"/>
  <c r="AD29" i="5" s="1"/>
  <c r="Y45" i="5"/>
  <c r="Z45" i="5" s="1"/>
  <c r="AB45" i="5" s="1"/>
  <c r="AF45" i="5" s="1"/>
  <c r="Y7" i="5"/>
  <c r="Z7" i="5" s="1"/>
  <c r="AB7" i="5" s="1"/>
  <c r="AF7" i="5" s="1"/>
  <c r="AO45" i="5"/>
  <c r="Y37" i="5"/>
  <c r="X37" i="5" s="1"/>
  <c r="Y6" i="5"/>
  <c r="X6" i="5" s="1"/>
  <c r="E98" i="23"/>
  <c r="E41" i="23"/>
  <c r="Y9" i="5"/>
  <c r="X9" i="5" s="1"/>
  <c r="E38" i="23"/>
  <c r="AO17" i="5"/>
  <c r="AO63" i="5"/>
  <c r="AO37" i="5"/>
  <c r="E87" i="23"/>
  <c r="AO6" i="5"/>
  <c r="Y97" i="5"/>
  <c r="X97" i="5" s="1"/>
  <c r="AO100" i="5"/>
  <c r="Y11" i="5"/>
  <c r="Z11" i="5" s="1"/>
  <c r="AB11" i="5" s="1"/>
  <c r="AF11" i="5" s="1"/>
  <c r="AO90" i="5"/>
  <c r="AO41" i="5"/>
  <c r="AO21" i="5"/>
  <c r="Y77" i="5"/>
  <c r="Z77" i="5" s="1"/>
  <c r="AC77" i="5" s="1"/>
  <c r="AD77" i="5" s="1"/>
  <c r="AO78" i="5"/>
  <c r="Y10" i="5"/>
  <c r="X10" i="5" s="1"/>
  <c r="E13" i="23"/>
  <c r="AO97" i="5"/>
  <c r="AO14" i="5"/>
  <c r="E96" i="23"/>
  <c r="Y4" i="5"/>
  <c r="Z4" i="5" s="1"/>
  <c r="AB4" i="5" s="1"/>
  <c r="AC4" i="5" s="1"/>
  <c r="Y66" i="5"/>
  <c r="X66" i="5" s="1"/>
  <c r="E21" i="23"/>
  <c r="E40" i="23"/>
  <c r="E50" i="23"/>
  <c r="AO28" i="5"/>
  <c r="AO84" i="5"/>
  <c r="AO94" i="5"/>
  <c r="Y79" i="5"/>
  <c r="Z79" i="5" s="1"/>
  <c r="AC79" i="5" s="1"/>
  <c r="AD79" i="5" s="1"/>
  <c r="Y52" i="5"/>
  <c r="X52" i="5" s="1"/>
  <c r="AO83" i="5"/>
  <c r="AO32" i="5"/>
  <c r="Y34" i="5"/>
  <c r="X34" i="5" s="1"/>
  <c r="Y62" i="5"/>
  <c r="X62" i="5" s="1"/>
  <c r="Y96" i="5"/>
  <c r="AC96" i="5" s="1"/>
  <c r="AD96" i="5" s="1"/>
  <c r="AO69" i="5"/>
  <c r="Y94" i="5"/>
  <c r="X94" i="5" s="1"/>
  <c r="Y59" i="5"/>
  <c r="X59" i="5" s="1"/>
  <c r="AO79" i="5"/>
  <c r="AO65" i="5"/>
  <c r="E53" i="23"/>
  <c r="E84" i="23"/>
  <c r="E67" i="23"/>
  <c r="Y28" i="5"/>
  <c r="X28" i="5" s="1"/>
  <c r="Y32" i="5"/>
  <c r="Z32" i="5" s="1"/>
  <c r="AB32" i="5" s="1"/>
  <c r="AF32" i="5" s="1"/>
  <c r="E35" i="23"/>
  <c r="AO71" i="5"/>
  <c r="E63" i="23"/>
  <c r="E97" i="23"/>
  <c r="Y84" i="5"/>
  <c r="X84" i="5" s="1"/>
  <c r="E5" i="23"/>
  <c r="AO39" i="5"/>
  <c r="AO49" i="5"/>
  <c r="Y69" i="5"/>
  <c r="X69" i="5" s="1"/>
  <c r="AO59" i="5"/>
  <c r="E80" i="23"/>
  <c r="Y65" i="5"/>
  <c r="Z65" i="5" s="1"/>
  <c r="AC65" i="5" s="1"/>
  <c r="AD65" i="5" s="1"/>
  <c r="E15" i="23"/>
  <c r="E29" i="23"/>
  <c r="Y20" i="5"/>
  <c r="Z20" i="5" s="1"/>
  <c r="AC20" i="5" s="1"/>
  <c r="AD20" i="5" s="1"/>
  <c r="Y71" i="5"/>
  <c r="AC71" i="5" s="1"/>
  <c r="AD71" i="5" s="1"/>
  <c r="Y38" i="5"/>
  <c r="Z38" i="5" s="1"/>
  <c r="AC38" i="5" s="1"/>
  <c r="AD38" i="5" s="1"/>
  <c r="AO52" i="5"/>
  <c r="Y83" i="5"/>
  <c r="Z83" i="5" s="1"/>
  <c r="AC83" i="5" s="1"/>
  <c r="AD83" i="5" s="1"/>
  <c r="AO66" i="5"/>
  <c r="AO34" i="5"/>
  <c r="AO62" i="5"/>
  <c r="AO96" i="5"/>
  <c r="Q17" i="23"/>
  <c r="AI16" i="5"/>
  <c r="T17" i="23" s="1"/>
  <c r="Y42" i="5"/>
  <c r="X42" i="5" s="1"/>
  <c r="AO82" i="5"/>
  <c r="Y35" i="5"/>
  <c r="X35" i="5" s="1"/>
  <c r="AO73" i="5"/>
  <c r="E76" i="23"/>
  <c r="AO31" i="5"/>
  <c r="Y88" i="5"/>
  <c r="X88" i="5" s="1"/>
  <c r="Y12" i="5"/>
  <c r="Z12" i="5" s="1"/>
  <c r="AB12" i="5" s="1"/>
  <c r="AF12" i="5" s="1"/>
  <c r="AO58" i="5"/>
  <c r="Y46" i="5"/>
  <c r="Z46" i="5" s="1"/>
  <c r="AB46" i="5" s="1"/>
  <c r="AF46" i="5" s="1"/>
  <c r="E101" i="23"/>
  <c r="E12" i="23"/>
  <c r="E11" i="23"/>
  <c r="Y43" i="5"/>
  <c r="X43" i="5" s="1"/>
  <c r="AO24" i="5"/>
  <c r="Y47" i="5"/>
  <c r="X47" i="5" s="1"/>
  <c r="E100" i="23"/>
  <c r="E88" i="23"/>
  <c r="Y31" i="5"/>
  <c r="E89" i="23"/>
  <c r="AO12" i="5"/>
  <c r="AO46" i="5"/>
  <c r="Y100" i="5"/>
  <c r="X100" i="5" s="1"/>
  <c r="E25" i="23"/>
  <c r="AO47" i="5"/>
  <c r="Y99" i="5"/>
  <c r="AC99" i="5" s="1"/>
  <c r="AD99" i="5" s="1"/>
  <c r="Y87" i="5"/>
  <c r="AC87" i="5" s="1"/>
  <c r="AD87" i="5" s="1"/>
  <c r="AO11" i="5"/>
  <c r="AO10" i="5"/>
  <c r="AO43" i="5"/>
  <c r="Y24" i="5"/>
  <c r="X24" i="5" s="1"/>
  <c r="E48" i="23"/>
  <c r="Y75" i="5"/>
  <c r="Z75" i="5" s="1"/>
  <c r="AC75" i="5" s="1"/>
  <c r="AD75" i="5" s="1"/>
  <c r="AO42" i="5"/>
  <c r="E93" i="23"/>
  <c r="AO27" i="5"/>
  <c r="Y81" i="5"/>
  <c r="X81" i="5" s="1"/>
  <c r="V103" i="5"/>
  <c r="E20" i="23"/>
  <c r="W103" i="5"/>
  <c r="AO95" i="5"/>
  <c r="E95" i="23"/>
  <c r="AO38" i="5"/>
  <c r="Y82" i="5"/>
  <c r="X82" i="5" s="1"/>
  <c r="Y14" i="5"/>
  <c r="Z14" i="5" s="1"/>
  <c r="AB14" i="5" s="1"/>
  <c r="AF14" i="5" s="1"/>
  <c r="Y19" i="5"/>
  <c r="Z19" i="5" s="1"/>
  <c r="AB19" i="5" s="1"/>
  <c r="AF19" i="5" s="1"/>
  <c r="E32" i="23"/>
  <c r="E43" i="23"/>
  <c r="AO92" i="5"/>
  <c r="AO15" i="5"/>
  <c r="E16" i="23"/>
  <c r="AO35" i="5"/>
  <c r="Y27" i="5"/>
  <c r="Y73" i="5"/>
  <c r="AO81" i="5"/>
  <c r="E85" i="23"/>
  <c r="B4" i="6"/>
  <c r="AO4" i="5"/>
  <c r="AO88" i="5"/>
  <c r="U103" i="5"/>
  <c r="V104" i="5"/>
  <c r="W104" i="5"/>
  <c r="Y90" i="5"/>
  <c r="Z90" i="5" s="1"/>
  <c r="AC90" i="5" s="1"/>
  <c r="AD90" i="5" s="1"/>
  <c r="E19" i="23"/>
  <c r="Y30" i="5"/>
  <c r="Z30" i="5" s="1"/>
  <c r="AC30" i="5" s="1"/>
  <c r="AD30" i="5" s="1"/>
  <c r="E24" i="23"/>
  <c r="AO26" i="5"/>
  <c r="E37" i="23"/>
  <c r="E9" i="23"/>
  <c r="Y41" i="5"/>
  <c r="Z41" i="5" s="1"/>
  <c r="AB41" i="5" s="1"/>
  <c r="AF41" i="5" s="1"/>
  <c r="Y33" i="5"/>
  <c r="X33" i="5" s="1"/>
  <c r="U104" i="5"/>
  <c r="AO8" i="5"/>
  <c r="Y13" i="5"/>
  <c r="X13" i="5" s="1"/>
  <c r="E42" i="23"/>
  <c r="AO33" i="5"/>
  <c r="AO25" i="5"/>
  <c r="P105" i="5"/>
  <c r="X51" i="5"/>
  <c r="AA51" i="5"/>
  <c r="AE51" i="5" s="1"/>
  <c r="X89" i="5"/>
  <c r="Z89" i="5"/>
  <c r="AC89" i="5" s="1"/>
  <c r="AD89" i="5" s="1"/>
  <c r="Z61" i="5"/>
  <c r="AC61" i="5" s="1"/>
  <c r="AD61" i="5" s="1"/>
  <c r="X61" i="5"/>
  <c r="X78" i="5"/>
  <c r="Z78" i="5"/>
  <c r="AC78" i="5" s="1"/>
  <c r="AD78" i="5" s="1"/>
  <c r="AC16" i="5"/>
  <c r="AD16" i="5" s="1"/>
  <c r="X16" i="5"/>
  <c r="X60" i="5"/>
  <c r="Z60" i="5"/>
  <c r="AC60" i="5" s="1"/>
  <c r="AD60" i="5" s="1"/>
  <c r="X54" i="5"/>
  <c r="Z54" i="5"/>
  <c r="AC54" i="5" s="1"/>
  <c r="AD54" i="5" s="1"/>
  <c r="AC102" i="5"/>
  <c r="AD102" i="5" s="1"/>
  <c r="X102" i="5"/>
  <c r="X68" i="5"/>
  <c r="AC68" i="5"/>
  <c r="AD68" i="5" s="1"/>
  <c r="X98" i="5"/>
  <c r="AC98" i="5"/>
  <c r="AD98" i="5" s="1"/>
  <c r="AC64" i="5"/>
  <c r="AD64" i="5" s="1"/>
  <c r="Z70" i="5"/>
  <c r="AC70" i="5" s="1"/>
  <c r="AD70" i="5" s="1"/>
  <c r="X70" i="5"/>
  <c r="X80" i="5"/>
  <c r="Z80" i="5"/>
  <c r="AC80" i="5" s="1"/>
  <c r="AD80" i="5" s="1"/>
  <c r="Z44" i="5"/>
  <c r="AB44" i="5" s="1"/>
  <c r="AF44" i="5" s="1"/>
  <c r="Z85" i="5"/>
  <c r="AC85" i="5" s="1"/>
  <c r="AD85" i="5" s="1"/>
  <c r="X85" i="5"/>
  <c r="AC50" i="5"/>
  <c r="AD50" i="5" s="1"/>
  <c r="X50" i="5"/>
  <c r="X93" i="5"/>
  <c r="Z93" i="5"/>
  <c r="AC93" i="5" s="1"/>
  <c r="AD93" i="5" s="1"/>
  <c r="X101" i="5"/>
  <c r="AC101" i="5"/>
  <c r="AD101" i="5" s="1"/>
  <c r="X91" i="5"/>
  <c r="Z91" i="5"/>
  <c r="AC91" i="5" s="1"/>
  <c r="AD91" i="5" s="1"/>
  <c r="Z67" i="5"/>
  <c r="AC67" i="5" s="1"/>
  <c r="AD67" i="5" s="1"/>
  <c r="X67" i="5"/>
  <c r="X74" i="5"/>
  <c r="Z74" i="5"/>
  <c r="AC74" i="5" s="1"/>
  <c r="AD74" i="5" s="1"/>
  <c r="X53" i="5" l="1"/>
  <c r="Z56" i="5"/>
  <c r="AC56" i="5" s="1"/>
  <c r="AD56" i="5" s="1"/>
  <c r="O57" i="23" s="1"/>
  <c r="X40" i="5"/>
  <c r="X21" i="5"/>
  <c r="AC58" i="5"/>
  <c r="AD58" i="5" s="1"/>
  <c r="AG58" i="5" s="1"/>
  <c r="R59" i="23" s="1"/>
  <c r="X26" i="5"/>
  <c r="U105" i="5"/>
  <c r="X15" i="5"/>
  <c r="X72" i="5"/>
  <c r="X25" i="5"/>
  <c r="Z86" i="5"/>
  <c r="AC86" i="5" s="1"/>
  <c r="AD86" i="5" s="1"/>
  <c r="O87" i="23" s="1"/>
  <c r="X49" i="5"/>
  <c r="X92" i="5"/>
  <c r="AC63" i="5"/>
  <c r="AD63" i="5" s="1"/>
  <c r="O64" i="23" s="1"/>
  <c r="X57" i="5"/>
  <c r="X45" i="5"/>
  <c r="Z95" i="5"/>
  <c r="AC95" i="5" s="1"/>
  <c r="AD95" i="5" s="1"/>
  <c r="O96" i="23" s="1"/>
  <c r="X20" i="5"/>
  <c r="AC25" i="5"/>
  <c r="AD25" i="5" s="1"/>
  <c r="AG25" i="5" s="1"/>
  <c r="R26" i="23" s="1"/>
  <c r="Z97" i="5"/>
  <c r="AC97" i="5" s="1"/>
  <c r="AD97" i="5" s="1"/>
  <c r="AG97" i="5" s="1"/>
  <c r="R98" i="23" s="1"/>
  <c r="X8" i="5"/>
  <c r="Z39" i="5"/>
  <c r="AB39" i="5" s="1"/>
  <c r="AF39" i="5" s="1"/>
  <c r="Q40" i="23" s="1"/>
  <c r="X23" i="5"/>
  <c r="Z36" i="5"/>
  <c r="AB36" i="5" s="1"/>
  <c r="AF36" i="5" s="1"/>
  <c r="AI36" i="5" s="1"/>
  <c r="T37" i="23" s="1"/>
  <c r="X71" i="5"/>
  <c r="X11" i="5"/>
  <c r="V105" i="5"/>
  <c r="V2" i="5" s="1"/>
  <c r="W2" i="5" s="1"/>
  <c r="X55" i="5"/>
  <c r="Z17" i="5"/>
  <c r="AB17" i="5" s="1"/>
  <c r="AF17" i="5" s="1"/>
  <c r="Q18" i="23" s="1"/>
  <c r="Z76" i="5"/>
  <c r="AC76" i="5" s="1"/>
  <c r="AD76" i="5" s="1"/>
  <c r="AG76" i="5" s="1"/>
  <c r="R77" i="23" s="1"/>
  <c r="X29" i="5"/>
  <c r="X12" i="5"/>
  <c r="AC94" i="5"/>
  <c r="AD94" i="5" s="1"/>
  <c r="AG94" i="5" s="1"/>
  <c r="R95" i="23" s="1"/>
  <c r="Z10" i="5"/>
  <c r="AB10" i="5" s="1"/>
  <c r="AF10" i="5" s="1"/>
  <c r="AI10" i="5" s="1"/>
  <c r="T11" i="23" s="1"/>
  <c r="Z6" i="5"/>
  <c r="AC6" i="5" s="1"/>
  <c r="AD6" i="5" s="1"/>
  <c r="O7" i="23" s="1"/>
  <c r="Z81" i="5"/>
  <c r="AC81" i="5" s="1"/>
  <c r="AD81" i="5" s="1"/>
  <c r="O82" i="23" s="1"/>
  <c r="X75" i="5"/>
  <c r="X48" i="5"/>
  <c r="X4" i="5"/>
  <c r="Z88" i="5"/>
  <c r="AC88" i="5" s="1"/>
  <c r="AD88" i="5" s="1"/>
  <c r="AG88" i="5" s="1"/>
  <c r="R89" i="23" s="1"/>
  <c r="X77" i="5"/>
  <c r="X32" i="5"/>
  <c r="Z18" i="5"/>
  <c r="AB18" i="5" s="1"/>
  <c r="AF18" i="5" s="1"/>
  <c r="AI18" i="5" s="1"/>
  <c r="T19" i="23" s="1"/>
  <c r="Z59" i="5"/>
  <c r="AC59" i="5" s="1"/>
  <c r="AD59" i="5" s="1"/>
  <c r="O60" i="23" s="1"/>
  <c r="Z9" i="5"/>
  <c r="AA9" i="5" s="1"/>
  <c r="AB9" i="5" s="1"/>
  <c r="X96" i="5"/>
  <c r="X46" i="5"/>
  <c r="X7" i="5"/>
  <c r="Z37" i="5"/>
  <c r="AB37" i="5" s="1"/>
  <c r="AF37" i="5" s="1"/>
  <c r="Q38" i="23" s="1"/>
  <c r="AC69" i="5"/>
  <c r="AD69" i="5" s="1"/>
  <c r="O70" i="23" s="1"/>
  <c r="AC62" i="5"/>
  <c r="AD62" i="5" s="1"/>
  <c r="AG62" i="5" s="1"/>
  <c r="R63" i="23" s="1"/>
  <c r="X73" i="5"/>
  <c r="Z73" i="5"/>
  <c r="AC73" i="5" s="1"/>
  <c r="AD73" i="5" s="1"/>
  <c r="O74" i="23" s="1"/>
  <c r="Z31" i="5"/>
  <c r="AB31" i="5" s="1"/>
  <c r="X27" i="5"/>
  <c r="Z27" i="5"/>
  <c r="AB27" i="5" s="1"/>
  <c r="AF27" i="5" s="1"/>
  <c r="Z100" i="5"/>
  <c r="AC100" i="5" s="1"/>
  <c r="AD100" i="5" s="1"/>
  <c r="AG100" i="5" s="1"/>
  <c r="R101" i="23" s="1"/>
  <c r="X19" i="5"/>
  <c r="Z52" i="5"/>
  <c r="AC52" i="5" s="1"/>
  <c r="AD52" i="5" s="1"/>
  <c r="O53" i="23" s="1"/>
  <c r="Z34" i="5"/>
  <c r="AC34" i="5" s="1"/>
  <c r="AD34" i="5" s="1"/>
  <c r="O35" i="23" s="1"/>
  <c r="Z35" i="5"/>
  <c r="AC35" i="5" s="1"/>
  <c r="AD35" i="5" s="1"/>
  <c r="O36" i="23" s="1"/>
  <c r="Z42" i="5"/>
  <c r="AB42" i="5" s="1"/>
  <c r="AF42" i="5" s="1"/>
  <c r="AI42" i="5" s="1"/>
  <c r="T43" i="23" s="1"/>
  <c r="AC47" i="5"/>
  <c r="AD47" i="5" s="1"/>
  <c r="O48" i="23" s="1"/>
  <c r="Z82" i="5"/>
  <c r="AC82" i="5" s="1"/>
  <c r="AD82" i="5" s="1"/>
  <c r="O83" i="23" s="1"/>
  <c r="X83" i="5"/>
  <c r="X31" i="5"/>
  <c r="X99" i="5"/>
  <c r="Z66" i="5"/>
  <c r="AC66" i="5" s="1"/>
  <c r="AD66" i="5" s="1"/>
  <c r="O67" i="23" s="1"/>
  <c r="X38" i="5"/>
  <c r="Z28" i="5"/>
  <c r="AC28" i="5" s="1"/>
  <c r="AD28" i="5" s="1"/>
  <c r="O29" i="23" s="1"/>
  <c r="X79" i="5"/>
  <c r="Z84" i="5"/>
  <c r="AC84" i="5" s="1"/>
  <c r="AD84" i="5" s="1"/>
  <c r="O85" i="23" s="1"/>
  <c r="X41" i="5"/>
  <c r="Z24" i="5"/>
  <c r="X87" i="5"/>
  <c r="X65" i="5"/>
  <c r="Z43" i="5"/>
  <c r="B103" i="20"/>
  <c r="X14" i="5"/>
  <c r="X90" i="5"/>
  <c r="AB33" i="5"/>
  <c r="AF33" i="5" s="1"/>
  <c r="AI33" i="5" s="1"/>
  <c r="T34" i="23" s="1"/>
  <c r="X30" i="5"/>
  <c r="B103" i="6"/>
  <c r="W105" i="5"/>
  <c r="Y104" i="5"/>
  <c r="Y103" i="5"/>
  <c r="Z13" i="5"/>
  <c r="AB13" i="5" s="1"/>
  <c r="AF13" i="5" s="1"/>
  <c r="Q14" i="23" s="1"/>
  <c r="AC19" i="5"/>
  <c r="AD19" i="5" s="1"/>
  <c r="O20" i="23" s="1"/>
  <c r="AC15" i="5"/>
  <c r="AD15" i="5" s="1"/>
  <c r="O16" i="23" s="1"/>
  <c r="AC45" i="5"/>
  <c r="AD45" i="5" s="1"/>
  <c r="O46" i="23" s="1"/>
  <c r="AC49" i="5"/>
  <c r="AD49" i="5" s="1"/>
  <c r="O50" i="23" s="1"/>
  <c r="AC44" i="5"/>
  <c r="AD44" i="5" s="1"/>
  <c r="O45" i="23" s="1"/>
  <c r="O22" i="23"/>
  <c r="AG21" i="5"/>
  <c r="R22" i="23" s="1"/>
  <c r="O80" i="23"/>
  <c r="AG79" i="5"/>
  <c r="R80" i="23" s="1"/>
  <c r="O86" i="23"/>
  <c r="AG85" i="5"/>
  <c r="R86" i="23" s="1"/>
  <c r="O78" i="23"/>
  <c r="AG77" i="5"/>
  <c r="R78" i="23" s="1"/>
  <c r="O61" i="23"/>
  <c r="AG60" i="5"/>
  <c r="R61" i="23" s="1"/>
  <c r="O31" i="23"/>
  <c r="AG30" i="5"/>
  <c r="R31" i="23" s="1"/>
  <c r="O54" i="23"/>
  <c r="AG53" i="5"/>
  <c r="R54" i="23" s="1"/>
  <c r="O24" i="23"/>
  <c r="AG23" i="5"/>
  <c r="R24" i="23" s="1"/>
  <c r="O55" i="23"/>
  <c r="AG54" i="5"/>
  <c r="R55" i="23" s="1"/>
  <c r="O84" i="23"/>
  <c r="AG83" i="5"/>
  <c r="R84" i="23" s="1"/>
  <c r="O90" i="23"/>
  <c r="AG89" i="5"/>
  <c r="R90" i="23" s="1"/>
  <c r="O94" i="23"/>
  <c r="AG93" i="5"/>
  <c r="R94" i="23" s="1"/>
  <c r="O76" i="23"/>
  <c r="AG75" i="5"/>
  <c r="R76" i="23" s="1"/>
  <c r="O66" i="23"/>
  <c r="AG65" i="5"/>
  <c r="R66" i="23" s="1"/>
  <c r="O62" i="23"/>
  <c r="AG61" i="5"/>
  <c r="R62" i="23" s="1"/>
  <c r="Q49" i="23"/>
  <c r="AI48" i="5"/>
  <c r="T49" i="23" s="1"/>
  <c r="O72" i="23"/>
  <c r="AG71" i="5"/>
  <c r="R72" i="23" s="1"/>
  <c r="O102" i="23"/>
  <c r="AG101" i="5"/>
  <c r="R102" i="23" s="1"/>
  <c r="O39" i="23"/>
  <c r="AG38" i="5"/>
  <c r="R39" i="23" s="1"/>
  <c r="O56" i="23"/>
  <c r="AG55" i="5"/>
  <c r="R56" i="23" s="1"/>
  <c r="AC7" i="5"/>
  <c r="AD7" i="5" s="1"/>
  <c r="AD4" i="5"/>
  <c r="AC48" i="5"/>
  <c r="AD48" i="5" s="1"/>
  <c r="Q50" i="23"/>
  <c r="AI49" i="5"/>
  <c r="T50" i="23" s="1"/>
  <c r="AC26" i="5"/>
  <c r="AD26" i="5" s="1"/>
  <c r="O41" i="23"/>
  <c r="AG40" i="5"/>
  <c r="R41" i="23" s="1"/>
  <c r="Q20" i="23"/>
  <c r="AI19" i="5"/>
  <c r="T20" i="23" s="1"/>
  <c r="O100" i="23"/>
  <c r="AG99" i="5"/>
  <c r="R100" i="23" s="1"/>
  <c r="Q13" i="23"/>
  <c r="AI12" i="5"/>
  <c r="T13" i="23" s="1"/>
  <c r="Q8" i="23"/>
  <c r="AI7" i="5"/>
  <c r="T8" i="23" s="1"/>
  <c r="O97" i="23"/>
  <c r="AG96" i="5"/>
  <c r="R97" i="23" s="1"/>
  <c r="Q45" i="23"/>
  <c r="AI44" i="5"/>
  <c r="T45" i="23" s="1"/>
  <c r="AC8" i="5"/>
  <c r="AD8" i="5" s="1"/>
  <c r="O81" i="23"/>
  <c r="AG80" i="5"/>
  <c r="R81" i="23" s="1"/>
  <c r="O65" i="23"/>
  <c r="AG64" i="5"/>
  <c r="R65" i="23" s="1"/>
  <c r="O30" i="23"/>
  <c r="AG29" i="5"/>
  <c r="R30" i="23" s="1"/>
  <c r="AC32" i="5"/>
  <c r="AD32" i="5" s="1"/>
  <c r="O21" i="23"/>
  <c r="AG20" i="5"/>
  <c r="R21" i="23" s="1"/>
  <c r="Q16" i="23"/>
  <c r="AI15" i="5"/>
  <c r="T16" i="23" s="1"/>
  <c r="O88" i="23"/>
  <c r="AG87" i="5"/>
  <c r="R88" i="23" s="1"/>
  <c r="Q12" i="23"/>
  <c r="AI11" i="5"/>
  <c r="T12" i="23" s="1"/>
  <c r="O79" i="23"/>
  <c r="AG78" i="5"/>
  <c r="R79" i="23" s="1"/>
  <c r="Q42" i="23"/>
  <c r="AI41" i="5"/>
  <c r="T42" i="23" s="1"/>
  <c r="Q15" i="23"/>
  <c r="AI14" i="5"/>
  <c r="T15" i="23" s="1"/>
  <c r="O91" i="23"/>
  <c r="AG90" i="5"/>
  <c r="R91" i="23" s="1"/>
  <c r="Q47" i="23"/>
  <c r="AI46" i="5"/>
  <c r="T47" i="23" s="1"/>
  <c r="O68" i="23"/>
  <c r="AG67" i="5"/>
  <c r="R68" i="23" s="1"/>
  <c r="O92" i="23"/>
  <c r="AG91" i="5"/>
  <c r="R92" i="23" s="1"/>
  <c r="O51" i="23"/>
  <c r="AG50" i="5"/>
  <c r="R51" i="23" s="1"/>
  <c r="Q46" i="23"/>
  <c r="AI45" i="5"/>
  <c r="T46" i="23" s="1"/>
  <c r="AF4" i="5"/>
  <c r="O99" i="23"/>
  <c r="AG98" i="5"/>
  <c r="R99" i="23" s="1"/>
  <c r="O69" i="23"/>
  <c r="AG68" i="5"/>
  <c r="R69" i="23" s="1"/>
  <c r="O73" i="23"/>
  <c r="AG72" i="5"/>
  <c r="R73" i="23" s="1"/>
  <c r="Q27" i="23"/>
  <c r="AI26" i="5"/>
  <c r="T27" i="23" s="1"/>
  <c r="AC11" i="5"/>
  <c r="AD11" i="5" s="1"/>
  <c r="O17" i="23"/>
  <c r="AG16" i="5"/>
  <c r="R17" i="23" s="1"/>
  <c r="AC14" i="5"/>
  <c r="AD14" i="5" s="1"/>
  <c r="AC51" i="5"/>
  <c r="AD51" i="5" s="1"/>
  <c r="AC46" i="5"/>
  <c r="AD46" i="5" s="1"/>
  <c r="AC12" i="5"/>
  <c r="AD12" i="5" s="1"/>
  <c r="O75" i="23"/>
  <c r="AG74" i="5"/>
  <c r="R75" i="23" s="1"/>
  <c r="Q9" i="23"/>
  <c r="AI8" i="5"/>
  <c r="T9" i="23" s="1"/>
  <c r="O71" i="23"/>
  <c r="AG70" i="5"/>
  <c r="R71" i="23" s="1"/>
  <c r="O103" i="23"/>
  <c r="AG102" i="5"/>
  <c r="R103" i="23" s="1"/>
  <c r="Q33" i="23"/>
  <c r="AI32" i="5"/>
  <c r="T33" i="23" s="1"/>
  <c r="O93" i="23"/>
  <c r="AG92" i="5"/>
  <c r="R93" i="23" s="1"/>
  <c r="AC41" i="5"/>
  <c r="AD41" i="5" s="1"/>
  <c r="P52" i="23"/>
  <c r="AH51" i="5"/>
  <c r="S52" i="23" s="1"/>
  <c r="AE57" i="5"/>
  <c r="AB57" i="5"/>
  <c r="AG56" i="5" l="1"/>
  <c r="R57" i="23" s="1"/>
  <c r="O59" i="23"/>
  <c r="O98" i="23"/>
  <c r="AI17" i="5"/>
  <c r="T18" i="23" s="1"/>
  <c r="AG63" i="5"/>
  <c r="R64" i="23" s="1"/>
  <c r="AI39" i="5"/>
  <c r="T40" i="23" s="1"/>
  <c r="AC39" i="5"/>
  <c r="AD39" i="5" s="1"/>
  <c r="O40" i="23" s="1"/>
  <c r="AC36" i="5"/>
  <c r="AD36" i="5" s="1"/>
  <c r="O37" i="23" s="1"/>
  <c r="AG86" i="5"/>
  <c r="R87" i="23" s="1"/>
  <c r="O26" i="23"/>
  <c r="AG95" i="5"/>
  <c r="R96" i="23" s="1"/>
  <c r="O95" i="23"/>
  <c r="AC17" i="5"/>
  <c r="AD17" i="5" s="1"/>
  <c r="O18" i="23" s="1"/>
  <c r="Q37" i="23"/>
  <c r="Q11" i="23"/>
  <c r="O77" i="23"/>
  <c r="AC10" i="5"/>
  <c r="AD10" i="5" s="1"/>
  <c r="AG10" i="5" s="1"/>
  <c r="R11" i="23" s="1"/>
  <c r="AG6" i="5"/>
  <c r="R7" i="23" s="1"/>
  <c r="Q19" i="23"/>
  <c r="AG84" i="5"/>
  <c r="R85" i="23" s="1"/>
  <c r="AG34" i="5"/>
  <c r="R35" i="23" s="1"/>
  <c r="O89" i="23"/>
  <c r="AG81" i="5"/>
  <c r="R82" i="23" s="1"/>
  <c r="AG59" i="5"/>
  <c r="R60" i="23" s="1"/>
  <c r="AG82" i="5"/>
  <c r="R83" i="23" s="1"/>
  <c r="AG66" i="5"/>
  <c r="R67" i="23" s="1"/>
  <c r="AG35" i="5"/>
  <c r="R36" i="23" s="1"/>
  <c r="AG52" i="5"/>
  <c r="R53" i="23" s="1"/>
  <c r="AC18" i="5"/>
  <c r="AD18" i="5" s="1"/>
  <c r="AG18" i="5" s="1"/>
  <c r="R19" i="23" s="1"/>
  <c r="AG47" i="5"/>
  <c r="R48" i="23" s="1"/>
  <c r="O63" i="23"/>
  <c r="AG69" i="5"/>
  <c r="R70" i="23" s="1"/>
  <c r="AG28" i="5"/>
  <c r="R29" i="23" s="1"/>
  <c r="O101" i="23"/>
  <c r="Q34" i="23"/>
  <c r="AI37" i="5"/>
  <c r="T38" i="23" s="1"/>
  <c r="AC37" i="5"/>
  <c r="AD37" i="5" s="1"/>
  <c r="AG37" i="5" s="1"/>
  <c r="R38" i="23" s="1"/>
  <c r="AC27" i="5"/>
  <c r="AD27" i="5" s="1"/>
  <c r="AG49" i="5"/>
  <c r="R50" i="23" s="1"/>
  <c r="AF31" i="5"/>
  <c r="AC31" i="5"/>
  <c r="AD31" i="5" s="1"/>
  <c r="AG31" i="5" s="1"/>
  <c r="R32" i="23" s="1"/>
  <c r="AB43" i="5"/>
  <c r="AF43" i="5" s="1"/>
  <c r="Q28" i="23"/>
  <c r="AI27" i="5"/>
  <c r="T28" i="23" s="1"/>
  <c r="Q43" i="23"/>
  <c r="AB24" i="5"/>
  <c r="AF24" i="5" s="1"/>
  <c r="AC42" i="5"/>
  <c r="AD42" i="5" s="1"/>
  <c r="O43" i="23" s="1"/>
  <c r="AG73" i="5"/>
  <c r="R74" i="23" s="1"/>
  <c r="AC33" i="5"/>
  <c r="AD33" i="5" s="1"/>
  <c r="O34" i="23" s="1"/>
  <c r="X103" i="5"/>
  <c r="AG15" i="5"/>
  <c r="R16" i="23" s="1"/>
  <c r="X104" i="5"/>
  <c r="AG45" i="5"/>
  <c r="R46" i="23" s="1"/>
  <c r="AG19" i="5"/>
  <c r="R20" i="23" s="1"/>
  <c r="Y105" i="5"/>
  <c r="AI13" i="5"/>
  <c r="T14" i="23" s="1"/>
  <c r="AG44" i="5"/>
  <c r="R45" i="23" s="1"/>
  <c r="Z103" i="5"/>
  <c r="Z104" i="5"/>
  <c r="AC13" i="5"/>
  <c r="AD13" i="5" s="1"/>
  <c r="O14" i="23" s="1"/>
  <c r="AF9" i="5"/>
  <c r="Q10" i="23" s="1"/>
  <c r="AC9" i="5"/>
  <c r="AD9" i="5" s="1"/>
  <c r="AG9" i="5" s="1"/>
  <c r="R10" i="23" s="1"/>
  <c r="O13" i="23"/>
  <c r="AG12" i="5"/>
  <c r="R13" i="23" s="1"/>
  <c r="O15" i="23"/>
  <c r="AG14" i="5"/>
  <c r="R15" i="23" s="1"/>
  <c r="AE9" i="5"/>
  <c r="AA104" i="5"/>
  <c r="AA103" i="5"/>
  <c r="O33" i="23"/>
  <c r="AG32" i="5"/>
  <c r="R33" i="23" s="1"/>
  <c r="O5" i="23"/>
  <c r="AG4" i="5"/>
  <c r="O42" i="23"/>
  <c r="AG41" i="5"/>
  <c r="R42" i="23" s="1"/>
  <c r="O47" i="23"/>
  <c r="AG46" i="5"/>
  <c r="R47" i="23" s="1"/>
  <c r="Q5" i="23"/>
  <c r="AI4" i="5"/>
  <c r="O27" i="23"/>
  <c r="AG26" i="5"/>
  <c r="R27" i="23" s="1"/>
  <c r="O49" i="23"/>
  <c r="AG48" i="5"/>
  <c r="R49" i="23" s="1"/>
  <c r="O8" i="23"/>
  <c r="AG7" i="5"/>
  <c r="R8" i="23" s="1"/>
  <c r="AF57" i="5"/>
  <c r="AC57" i="5"/>
  <c r="AD57" i="5" s="1"/>
  <c r="P58" i="23"/>
  <c r="AH57" i="5"/>
  <c r="S58" i="23" s="1"/>
  <c r="O52" i="23"/>
  <c r="AG51" i="5"/>
  <c r="R52" i="23" s="1"/>
  <c r="O12" i="23"/>
  <c r="AG11" i="5"/>
  <c r="R12" i="23" s="1"/>
  <c r="O9" i="23"/>
  <c r="AG8" i="5"/>
  <c r="R9" i="23" s="1"/>
  <c r="AG39" i="5" l="1"/>
  <c r="R40" i="23" s="1"/>
  <c r="AG17" i="5"/>
  <c r="R18" i="23" s="1"/>
  <c r="AG36" i="5"/>
  <c r="R37" i="23" s="1"/>
  <c r="O11" i="23"/>
  <c r="O38" i="23"/>
  <c r="AG33" i="5"/>
  <c r="R34" i="23" s="1"/>
  <c r="O19" i="23"/>
  <c r="AB103" i="5"/>
  <c r="AB104" i="5"/>
  <c r="O28" i="23"/>
  <c r="AG27" i="5"/>
  <c r="R28" i="23" s="1"/>
  <c r="O32" i="23"/>
  <c r="AC43" i="5"/>
  <c r="AD43" i="5" s="1"/>
  <c r="AG43" i="5" s="1"/>
  <c r="R44" i="23" s="1"/>
  <c r="AG42" i="5"/>
  <c r="R43" i="23" s="1"/>
  <c r="Q44" i="23"/>
  <c r="AI43" i="5"/>
  <c r="T44" i="23" s="1"/>
  <c r="Q32" i="23"/>
  <c r="AI31" i="5"/>
  <c r="T32" i="23" s="1"/>
  <c r="AC24" i="5"/>
  <c r="AD24" i="5" s="1"/>
  <c r="Q25" i="23"/>
  <c r="AI24" i="5"/>
  <c r="T25" i="23" s="1"/>
  <c r="X105" i="5"/>
  <c r="O10" i="23"/>
  <c r="AG13" i="5"/>
  <c r="R14" i="23" s="1"/>
  <c r="AI9" i="5"/>
  <c r="T10" i="23" s="1"/>
  <c r="Z105" i="5"/>
  <c r="AF104" i="5"/>
  <c r="T5" i="23"/>
  <c r="AA105" i="5"/>
  <c r="Q58" i="23"/>
  <c r="AI57" i="5"/>
  <c r="T58" i="23" s="1"/>
  <c r="O58" i="23"/>
  <c r="AG57" i="5"/>
  <c r="R58" i="23" s="1"/>
  <c r="AF103" i="5"/>
  <c r="R5" i="23"/>
  <c r="P10" i="23"/>
  <c r="AH9" i="5"/>
  <c r="AE104" i="5"/>
  <c r="AE103" i="5"/>
  <c r="AB105" i="5" l="1"/>
  <c r="AD104" i="5"/>
  <c r="O44" i="23"/>
  <c r="AG24" i="5"/>
  <c r="R25" i="23" s="1"/>
  <c r="AC103" i="5"/>
  <c r="AC104" i="5"/>
  <c r="O25" i="23"/>
  <c r="AD103" i="5"/>
  <c r="AF105" i="5"/>
  <c r="AE105" i="5"/>
  <c r="S10" i="23"/>
  <c r="AH103" i="5"/>
  <c r="AH104" i="5"/>
  <c r="AI103" i="5"/>
  <c r="AI104" i="5"/>
  <c r="AG104" i="5" l="1"/>
  <c r="AG103" i="5"/>
  <c r="AD105" i="5"/>
  <c r="AC105" i="5"/>
  <c r="AH105" i="5"/>
  <c r="AI105" i="5"/>
  <c r="AG105" i="5" l="1"/>
</calcChain>
</file>

<file path=xl/sharedStrings.xml><?xml version="1.0" encoding="utf-8"?>
<sst xmlns="http://schemas.openxmlformats.org/spreadsheetml/2006/main" count="1336" uniqueCount="279">
  <si>
    <t>AGENTE</t>
  </si>
  <si>
    <t>AMPLA</t>
  </si>
  <si>
    <t>LIGHT</t>
  </si>
  <si>
    <t>ENERGISA MG</t>
  </si>
  <si>
    <t>COELBA</t>
  </si>
  <si>
    <t>CPFL PAULISTA</t>
  </si>
  <si>
    <t>ELETROPAULO</t>
  </si>
  <si>
    <t>ELEKTRO</t>
  </si>
  <si>
    <t>ESCELSA</t>
  </si>
  <si>
    <t>BANDEIRANTE</t>
  </si>
  <si>
    <t>EEB</t>
  </si>
  <si>
    <t>CNEE</t>
  </si>
  <si>
    <t>CPFL STA CRUZ</t>
  </si>
  <si>
    <t>AES SUL</t>
  </si>
  <si>
    <t>CEAL</t>
  </si>
  <si>
    <t>ENERGISA BO</t>
  </si>
  <si>
    <t>CELG</t>
  </si>
  <si>
    <t>CELPE</t>
  </si>
  <si>
    <t>CEMAR</t>
  </si>
  <si>
    <t>CEPISA</t>
  </si>
  <si>
    <t>COELCE</t>
  </si>
  <si>
    <t>COSERN</t>
  </si>
  <si>
    <t>ENERGISA SE</t>
  </si>
  <si>
    <t>RGE</t>
  </si>
  <si>
    <t>ENERGISA PB</t>
  </si>
  <si>
    <t>ENERSUL</t>
  </si>
  <si>
    <t>CELTINS</t>
  </si>
  <si>
    <t>CEMAT</t>
  </si>
  <si>
    <t>CELPA</t>
  </si>
  <si>
    <t>CPFL SUL PTA</t>
  </si>
  <si>
    <t>CPFL JAGUARI</t>
  </si>
  <si>
    <t>COPEL DISTRIB</t>
  </si>
  <si>
    <t>CPFL PIRATINGA</t>
  </si>
  <si>
    <t>DMED</t>
  </si>
  <si>
    <t>CPFL LESTE PTA</t>
  </si>
  <si>
    <t>IENERGIA</t>
  </si>
  <si>
    <t>CEMIG DISTRIB</t>
  </si>
  <si>
    <t>CEB DISTRIBUIC</t>
  </si>
  <si>
    <t>CPFL MOCOCA</t>
  </si>
  <si>
    <t>CEEE DISTRIB</t>
  </si>
  <si>
    <t>CELESC DIST</t>
  </si>
  <si>
    <t>CAIUA DISTRIB</t>
  </si>
  <si>
    <t>PARANAPANEMA</t>
  </si>
  <si>
    <t>ELETROACRE</t>
  </si>
  <si>
    <t>AMAZONAS ENERG</t>
  </si>
  <si>
    <t>CERON</t>
  </si>
  <si>
    <t>Balanço Energético - NET (MWh)</t>
  </si>
  <si>
    <t>Total de Ajustes de Exposição Financeiras - TAJ_EF (R$)</t>
  </si>
  <si>
    <t xml:space="preserve">PLD Médio </t>
  </si>
  <si>
    <t>Total</t>
  </si>
  <si>
    <t>CT CCEAR_D (R$/MWh)</t>
  </si>
  <si>
    <t>RRV CCEAR_D (R$)</t>
  </si>
  <si>
    <t>CCEAR_D Total (R$)</t>
  </si>
  <si>
    <t>CCEAR_D Total (MWh)</t>
  </si>
  <si>
    <t>CCEAR_D Total (R$/MWh)</t>
  </si>
  <si>
    <t>Resultado no Mercado de Curto Prazo - com MAC e ajustes (R$)</t>
  </si>
  <si>
    <t>Cálculo CCEAR_D (R$)</t>
  </si>
  <si>
    <t>Total de Ajustes Referente ao Alivio Retroativo - TAJ_AR (R$)</t>
  </si>
  <si>
    <t xml:space="preserve">Total </t>
  </si>
  <si>
    <t xml:space="preserve">Total Mensal do Resultado no Mercado de Curto Prazo - TM_MCP (R$) </t>
  </si>
  <si>
    <t>Total de Crédito</t>
  </si>
  <si>
    <t>Total de Débito</t>
  </si>
  <si>
    <t>Efeito do Contrato de Cotas de Garantia Física CCGF - ECCGF (R$)</t>
  </si>
  <si>
    <t>Total  de créditos</t>
  </si>
  <si>
    <t>Total de débitos</t>
  </si>
  <si>
    <t xml:space="preserve"> Exposição Involuntária (R$) (1)</t>
  </si>
  <si>
    <t>CCEAR_D (R$)                                                    (2)</t>
  </si>
  <si>
    <t>MAC e ajustes (R$)</t>
  </si>
  <si>
    <t>MAC Total (R$)</t>
  </si>
  <si>
    <t>MAC Total (MWh)</t>
  </si>
  <si>
    <t>Balanço Energético - NET - com MAC e ajustes (MWh)</t>
  </si>
  <si>
    <t>Efeito do Contrato de Itaipu (R$)</t>
  </si>
  <si>
    <t>ESS_ SE (R$)</t>
  </si>
  <si>
    <t>Pagamento do Encargo por Razão de Segurança Energética e por Ultrapassagem da
Curva de Aversão ao Risco da parcela rateada proporcionalmente pela energia transacionada pelos
agentes nos últimos 12 meses - P_ENC_CAR (R$)</t>
  </si>
  <si>
    <t>Receita Bandeiras Tarifárias (R$)</t>
  </si>
  <si>
    <t>CEA</t>
  </si>
  <si>
    <t>Liminar CNPE 03/13 - Ref. (R$)</t>
  </si>
  <si>
    <t>Código Agente</t>
  </si>
  <si>
    <t>Efeito do Contrato de Itaipu (R$) (4)</t>
  </si>
  <si>
    <t>ESS_ SE (R$) (5)</t>
  </si>
  <si>
    <t>Restituição Coner (R$) (7)</t>
  </si>
  <si>
    <t>Saldo mês atual (R$)</t>
  </si>
  <si>
    <t>COCEL</t>
  </si>
  <si>
    <t>COOPERALIANÇA</t>
  </si>
  <si>
    <t>DEMEI</t>
  </si>
  <si>
    <t>EFLJC</t>
  </si>
  <si>
    <t>EFLUL</t>
  </si>
  <si>
    <t>ELETROCAR</t>
  </si>
  <si>
    <t>ELFSM</t>
  </si>
  <si>
    <t>ENF</t>
  </si>
  <si>
    <t>FORCEL</t>
  </si>
  <si>
    <t>HIDROPAN</t>
  </si>
  <si>
    <t>MUXENERGIA</t>
  </si>
  <si>
    <t>SULGIPE</t>
  </si>
  <si>
    <t>UHENPAL</t>
  </si>
  <si>
    <t>idSREAg</t>
  </si>
  <si>
    <t>Distribuidora</t>
  </si>
  <si>
    <t>Exposicao CT</t>
  </si>
  <si>
    <t>Saldo Mês Anterior (R$)</t>
  </si>
  <si>
    <t>Repasse Real CCBRT (R$)</t>
  </si>
  <si>
    <t>Custo Médio de
cobertura</t>
  </si>
  <si>
    <t>Não CCEE /BOAVISTAENERGIA</t>
  </si>
  <si>
    <t>.</t>
  </si>
  <si>
    <t>Não CCEE /CEA</t>
  </si>
  <si>
    <t>Não CCEE /COCEL</t>
  </si>
  <si>
    <t>Não CCEE /COOPERALIANÇA</t>
  </si>
  <si>
    <t>Não CCEE /DEMEI</t>
  </si>
  <si>
    <t>Não CCEE /JOAOCESA</t>
  </si>
  <si>
    <t>Não CCEE /EFLUL</t>
  </si>
  <si>
    <t>Não CCEE /ELETROCAR</t>
  </si>
  <si>
    <t>Não CCEE /SANTAMARIA</t>
  </si>
  <si>
    <t>Não CCEE /ENF</t>
  </si>
  <si>
    <t>Não CCEE /FORCEL</t>
  </si>
  <si>
    <t>Não CCEE /HIDROPAN</t>
  </si>
  <si>
    <t>Não CCEE /IENERGIA</t>
  </si>
  <si>
    <t>Não CCEE /MUXFELDT</t>
  </si>
  <si>
    <t>Não CCEE /UHENPAL</t>
  </si>
  <si>
    <t>CÓDIGO</t>
  </si>
  <si>
    <t>Custo Médio de Cobertura - Pmix (R$/MWh)</t>
  </si>
  <si>
    <t>ECD - CCEAR D</t>
  </si>
  <si>
    <t>Cobertura CCEAR-D
Geral</t>
  </si>
  <si>
    <t>Cobertura CCEAR-D
somente com as
Térmicas</t>
  </si>
  <si>
    <t>CFLO</t>
  </si>
  <si>
    <t>Resultado Mês de Apuração (R$) (1+2+3+4+5+6+7)</t>
  </si>
  <si>
    <t>Resultado após repasse mês atual(R$)</t>
  </si>
  <si>
    <t>Resultado após repasse Mês N-1 (R$)</t>
  </si>
  <si>
    <t>Resultado Exposição mês atual (R$)</t>
  </si>
  <si>
    <t>Repasse CCBRT Bruto (R$)</t>
  </si>
  <si>
    <t>Resultado CVA Energia mês atual (R$)</t>
  </si>
  <si>
    <t>Resultado CVA ESS/EER mês atual (R$)</t>
  </si>
  <si>
    <t>Custo CVA mês atual após repasse (R$)</t>
  </si>
  <si>
    <t>Custo CVA ESS/EER após repasse (R$)</t>
  </si>
  <si>
    <t>Custo Exposição mês atual após repasse(R$)</t>
  </si>
  <si>
    <t>Resultado CVA energia Mês N-1 após repasses (R$)</t>
  </si>
  <si>
    <t>Resultado ESS/EER Mês N-1 após repasse (R$)</t>
  </si>
  <si>
    <t>Resultado Exposição Mês N-1 após repasse (R$)</t>
  </si>
  <si>
    <t>Resultado CVA energia Mês Total (R$)</t>
  </si>
  <si>
    <t>Resultado ESS/EER Total (R$)</t>
  </si>
  <si>
    <t>Resultado Exposição Total (R$)</t>
  </si>
  <si>
    <t>Resultado Total (R$)</t>
  </si>
  <si>
    <t>Valor de Repasse da Conta CCBRT (R$)</t>
  </si>
  <si>
    <t>Agentes Credores</t>
  </si>
  <si>
    <t>Agentes Devedores</t>
  </si>
  <si>
    <t>Receita</t>
  </si>
  <si>
    <t>Custo</t>
  </si>
  <si>
    <t>Custo  Após Repasse_mês anterior</t>
  </si>
  <si>
    <t>Receita Alocada</t>
  </si>
  <si>
    <t>Custo  Após Repasse</t>
  </si>
  <si>
    <t>Competência</t>
  </si>
  <si>
    <t>Receita Faturada</t>
  </si>
  <si>
    <t>Repasse CCBRT</t>
  </si>
  <si>
    <t>Resultado no MCP</t>
  </si>
  <si>
    <t xml:space="preserve">CCEAR-D </t>
  </si>
  <si>
    <t>Risco Hidrológico - CCGF</t>
  </si>
  <si>
    <t>Risco Hidrológico - Itaipu</t>
  </si>
  <si>
    <t>ESS</t>
  </si>
  <si>
    <t>Ressarcimento CONER</t>
  </si>
  <si>
    <t xml:space="preserve">CVA energia </t>
  </si>
  <si>
    <t>ESS/EER</t>
  </si>
  <si>
    <t>Exposição Involuntária</t>
  </si>
  <si>
    <t xml:space="preserve"> CVA Energia</t>
  </si>
  <si>
    <t>CVA ESS/EER</t>
  </si>
  <si>
    <t>CVA Energia</t>
  </si>
  <si>
    <t>Competência de apuração</t>
  </si>
  <si>
    <t>Coberto até competência</t>
  </si>
  <si>
    <t>Data Reajuste</t>
  </si>
  <si>
    <t>ENERGISA MS</t>
  </si>
  <si>
    <t>Não CCEE /CFLO</t>
  </si>
  <si>
    <t>DME</t>
  </si>
  <si>
    <t>SGT/ Cálculo de Bandeira</t>
  </si>
  <si>
    <t>ENERGISA MT</t>
  </si>
  <si>
    <t>ENERGISA TO</t>
  </si>
  <si>
    <t>Efeito do CCGF + MAC GSF (R$)</t>
  </si>
  <si>
    <t>Interligação ao SIN em mai/2015</t>
  </si>
  <si>
    <t>CEDRAP</t>
  </si>
  <si>
    <t>CEDRI</t>
  </si>
  <si>
    <t>CERIM</t>
  </si>
  <si>
    <t>CERIPA</t>
  </si>
  <si>
    <t>CERIS</t>
  </si>
  <si>
    <t>CERMC</t>
  </si>
  <si>
    <t>CERNHE</t>
  </si>
  <si>
    <t>CERPRO</t>
  </si>
  <si>
    <t>CERRP</t>
  </si>
  <si>
    <t>CETRIL</t>
  </si>
  <si>
    <t>CEJAMA</t>
  </si>
  <si>
    <t>CEPRAG</t>
  </si>
  <si>
    <t>CERAÇÁ</t>
  </si>
  <si>
    <t>CERAL ANITÁP</t>
  </si>
  <si>
    <t>CERBRANORTE</t>
  </si>
  <si>
    <t>CEREJ</t>
  </si>
  <si>
    <t>CERGAL</t>
  </si>
  <si>
    <t>CERGAPA</t>
  </si>
  <si>
    <t>CERGRAL</t>
  </si>
  <si>
    <t>CERMOFUL</t>
  </si>
  <si>
    <t>CERPALO</t>
  </si>
  <si>
    <t>CERSUL</t>
  </si>
  <si>
    <t>CERTREL</t>
  </si>
  <si>
    <t>COOPERA</t>
  </si>
  <si>
    <t>COOPERCOCAL</t>
  </si>
  <si>
    <t>COOPERMILA</t>
  </si>
  <si>
    <t>COORSEL</t>
  </si>
  <si>
    <t>CERILUZ</t>
  </si>
  <si>
    <t>CERMISSÕES</t>
  </si>
  <si>
    <t>CERTAJA ENERG</t>
  </si>
  <si>
    <t>CERTEL</t>
  </si>
  <si>
    <t>COOPERLUZ</t>
  </si>
  <si>
    <t>COPREL</t>
  </si>
  <si>
    <t>CRELUZ-D</t>
  </si>
  <si>
    <t>CRERAL</t>
  </si>
  <si>
    <t>CERAL DIS</t>
  </si>
  <si>
    <t>CERES</t>
  </si>
  <si>
    <t>CERCOS</t>
  </si>
  <si>
    <t>Custo Descoberto</t>
  </si>
  <si>
    <t>Receita Excedente</t>
  </si>
  <si>
    <t>Situação</t>
  </si>
  <si>
    <t>Fator</t>
  </si>
  <si>
    <t>Excedente (R$)</t>
  </si>
  <si>
    <t>Saldo Conta</t>
  </si>
  <si>
    <t>RTA dez/2015</t>
  </si>
  <si>
    <t>MAC (R$)</t>
  </si>
  <si>
    <t>ESS_ ME (R$) (6)</t>
  </si>
  <si>
    <t>USINA</t>
  </si>
  <si>
    <t>COMPETÊNCIA</t>
  </si>
  <si>
    <t>VALOR DO PRÊMIO (R$)</t>
  </si>
  <si>
    <t>DIANOPOLIS</t>
  </si>
  <si>
    <t>TOTAL</t>
  </si>
  <si>
    <t>Efeito do CCGF - GSF (R$)</t>
  </si>
  <si>
    <t>CNPJ</t>
  </si>
  <si>
    <t>Efeito do CCEAR_D no MCP (R$) - RFUC</t>
  </si>
  <si>
    <t>Efeito do Repasse do Risco Hidrológico do ACR (R$)</t>
  </si>
  <si>
    <t>Risco Hidrológico Cotas + Risco Hidrológicos Repactuação (R$) (3)</t>
  </si>
  <si>
    <t>DSP - DESPACHO 4402/2014 - TAC - UTE MARANHAO III - Ref. MAR/16 (R$)</t>
  </si>
  <si>
    <t xml:space="preserve">Resolução Normativa nº 658 Art. 6 - MAR/16 (R$) - CCEARs </t>
  </si>
  <si>
    <t>COPEL CFLO</t>
  </si>
  <si>
    <t>RTA mai/2016</t>
  </si>
  <si>
    <t>RTA jun/2016</t>
  </si>
  <si>
    <t>RTA jul/2016</t>
  </si>
  <si>
    <t>RTP jul/2016</t>
  </si>
  <si>
    <t xml:space="preserve"> Transferência do excedente de energia conforme cumprimento do TAC - MARANHÃO III</t>
  </si>
  <si>
    <t>Refaturamento Bandeira</t>
  </si>
  <si>
    <t>RTA ago/2016</t>
  </si>
  <si>
    <t>Efeito total dos custos devido ao descolamento entre PLD e CMO - E_DESC (R$)</t>
  </si>
  <si>
    <t>RTA set/2016</t>
  </si>
  <si>
    <t>RTP ago/2016</t>
  </si>
  <si>
    <t>RTP set/2016</t>
  </si>
  <si>
    <t>RTA out/16</t>
  </si>
  <si>
    <t>RTP out/2016</t>
  </si>
  <si>
    <t>Valor de Repasse à Conta CCBRT (R$)</t>
  </si>
  <si>
    <t>RTP nov/16</t>
  </si>
  <si>
    <t>RTA nov/2016</t>
  </si>
  <si>
    <t>RTA nov16</t>
  </si>
  <si>
    <t>RTA nov/16</t>
  </si>
  <si>
    <t>Exposição MCP (R$)</t>
  </si>
  <si>
    <t>Não CCEE /CHESP</t>
  </si>
  <si>
    <t>CACHOEIRA CALDEIRÃO</t>
  </si>
  <si>
    <t>LUIZ EDUARDO MAGALHAES</t>
  </si>
  <si>
    <t>STO ANTONIO DO JARI</t>
  </si>
  <si>
    <t>RGE SUL</t>
  </si>
  <si>
    <t>CHESP DIST</t>
  </si>
  <si>
    <t>RTA dez/2016</t>
  </si>
  <si>
    <t>RTP dez/2016</t>
  </si>
  <si>
    <t>TELES PIRES</t>
  </si>
  <si>
    <t>BOA VISTA ENERG</t>
  </si>
  <si>
    <t>Resultado EER (R$)</t>
  </si>
  <si>
    <t>Cobertura EER (R$)</t>
  </si>
  <si>
    <t>Pagamento EER (R$)</t>
  </si>
  <si>
    <t>Restituição - CONER (RES_EXCD_ER) (R$)</t>
  </si>
  <si>
    <t>Cobertura anual EER (R$)</t>
  </si>
  <si>
    <t>RTP fev/2017</t>
  </si>
  <si>
    <t>RTP mar/17</t>
  </si>
  <si>
    <t>RTA mar/17</t>
  </si>
  <si>
    <t>OK</t>
  </si>
  <si>
    <t>Cobertura Tarifária para as CCEAR-Ds e exposição entre 01/03/17 e 20880</t>
  </si>
  <si>
    <t>Cobertura anual Previsão de Risco Hidrológico</t>
  </si>
  <si>
    <t>Cobertura mensal Previsão de Risco Hidrológico</t>
  </si>
  <si>
    <t>Resultado</t>
  </si>
  <si>
    <t>SALDO MÊS ANTERIOR</t>
  </si>
  <si>
    <t>RTA abr/2017</t>
  </si>
  <si>
    <t>RTP abr/2017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</si>
</sst>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-* #,##0.00_-;\-* #,##0.00_-;_-* &quot;-&quot;??_-;_-@_-"/>
    <numFmt numFmtId="164" formatCode="_(* #,##0.00_);_(* \(#,##0.00\);_(* &quot;-&quot;??_);_(@_)"/>
    <numFmt numFmtId="165" formatCode="#,##0.00_ ;[Red]\-#,##0.00\ "/>
    <numFmt numFmtId="166" formatCode="#,##0_ ;[Red]\-#,##0\ "/>
    <numFmt numFmtId="167" formatCode="&quot;R$&quot;\ #,##0.00"/>
    <numFmt numFmtId="168" formatCode="[$-416]mmm\-yy;@"/>
    <numFmt numFmtId="169" formatCode="00&quot;.&quot;000&quot;.&quot;###&quot;/&quot;####\-##"/>
  </numFmts>
  <fonts count="34">
    <font>
      <sz val="10"/>
      <name val="Arial 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 "/>
    </font>
    <font>
      <sz val="10"/>
      <color indexed="8"/>
      <name val="Arial"/>
      <family val="2"/>
    </font>
    <font>
      <b/>
      <sz val="9"/>
      <color theme="0"/>
      <name val="Verdana"/>
      <family val="2"/>
    </font>
    <font>
      <sz val="9"/>
      <name val="Verdana"/>
      <family val="2"/>
    </font>
    <font>
      <b/>
      <sz val="9"/>
      <name val="Verdana"/>
      <family val="2"/>
    </font>
    <font>
      <sz val="10"/>
      <name val="Times New Roman"/>
      <family val="1"/>
    </font>
    <font>
      <sz val="9"/>
      <name val="Times New Roman"/>
      <family val="1"/>
    </font>
    <font>
      <b/>
      <sz val="9"/>
      <name val="Times New Roman"/>
      <family val="1"/>
    </font>
    <font>
      <sz val="10"/>
      <name val="Arial "/>
      <family val="2"/>
    </font>
    <font>
      <b/>
      <sz val="9"/>
      <color theme="3" tint="-0.499984740745262"/>
      <name val="Verdana"/>
      <family val="2"/>
    </font>
    <font>
      <b/>
      <sz val="18"/>
      <color rgb="FF31035E"/>
      <name val="Trebuchet MS"/>
      <family val="2"/>
    </font>
    <font>
      <b/>
      <i/>
      <sz val="14"/>
      <color rgb="FF31035E"/>
      <name val="Trebuchet MS"/>
      <family val="2"/>
    </font>
    <font>
      <b/>
      <sz val="10"/>
      <color rgb="FF31035E"/>
      <name val="Trebuchet MS"/>
      <family val="2"/>
    </font>
    <font>
      <sz val="8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8"/>
      <name val="Calibri"/>
      <family val="2"/>
      <scheme val="minor"/>
    </font>
    <font>
      <b/>
      <sz val="9"/>
      <color theme="0"/>
      <name val="Arial Narrow"/>
      <family val="2"/>
    </font>
    <font>
      <sz val="9"/>
      <name val="Arial Narrow"/>
      <family val="2"/>
    </font>
    <font>
      <b/>
      <sz val="9"/>
      <name val="Arial Narrow"/>
      <family val="2"/>
    </font>
    <font>
      <sz val="9"/>
      <color rgb="FFFF0000"/>
      <name val="Verdana"/>
      <family val="2"/>
    </font>
    <font>
      <sz val="10"/>
      <color rgb="FFFF0000"/>
      <name val="Arial "/>
    </font>
    <font>
      <b/>
      <sz val="9"/>
      <color theme="1"/>
      <name val="Verdana"/>
      <family val="2"/>
    </font>
    <font>
      <b/>
      <sz val="9"/>
      <color theme="0"/>
      <name val="Arial"/>
      <family val="2"/>
    </font>
    <font>
      <sz val="9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DFECE1"/>
        <bgColor indexed="64"/>
      </patternFill>
    </fill>
    <fill>
      <patternFill patternType="solid">
        <fgColor rgb="FFBCD3A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 tint="-0.249977111117893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DFECE1"/>
      </top>
      <bottom/>
      <diagonal/>
    </border>
    <border>
      <left style="medium">
        <color rgb="FFDFECE1"/>
      </left>
      <right/>
      <top style="medium">
        <color rgb="FFDFECE1"/>
      </top>
      <bottom/>
      <diagonal/>
    </border>
    <border>
      <left style="medium">
        <color rgb="FFDFECE1"/>
      </left>
      <right/>
      <top style="medium">
        <color rgb="FFDFECE1"/>
      </top>
      <bottom style="medium">
        <color rgb="FFDFECE1"/>
      </bottom>
      <diagonal/>
    </border>
    <border>
      <left style="medium">
        <color rgb="FFDFECE1"/>
      </left>
      <right/>
      <top/>
      <bottom style="medium">
        <color rgb="FFDFECE1"/>
      </bottom>
      <diagonal/>
    </border>
    <border>
      <left style="medium">
        <color rgb="FFDFECE1"/>
      </left>
      <right/>
      <top style="thin">
        <color rgb="FF000000"/>
      </top>
      <bottom style="medium">
        <color rgb="FFDFECE1"/>
      </bottom>
      <diagonal/>
    </border>
    <border>
      <left style="medium">
        <color rgb="FFDFECE1"/>
      </left>
      <right style="thin">
        <color rgb="FF000000"/>
      </right>
      <top style="thin">
        <color rgb="FF000000"/>
      </top>
      <bottom style="medium">
        <color rgb="FFDFECE1"/>
      </bottom>
      <diagonal/>
    </border>
    <border>
      <left style="medium">
        <color rgb="FFDFECE1"/>
      </left>
      <right style="thin">
        <color rgb="FF000000"/>
      </right>
      <top/>
      <bottom style="medium">
        <color rgb="FFDFECE1"/>
      </bottom>
      <diagonal/>
    </border>
    <border>
      <left style="medium">
        <color rgb="FFDFECE1"/>
      </left>
      <right style="thin">
        <color rgb="FF000000"/>
      </right>
      <top style="medium">
        <color rgb="FFDFECE1"/>
      </top>
      <bottom style="medium">
        <color rgb="FFDFECE1"/>
      </bottom>
      <diagonal/>
    </border>
    <border>
      <left style="medium">
        <color rgb="FFDFECE1"/>
      </left>
      <right style="thin">
        <color rgb="FF000000"/>
      </right>
      <top style="medium">
        <color rgb="FFDFECE1"/>
      </top>
      <bottom/>
      <diagonal/>
    </border>
    <border>
      <left style="medium">
        <color rgb="FFDFECE1"/>
      </left>
      <right/>
      <top style="medium">
        <color rgb="FFDFECE1"/>
      </top>
      <bottom style="thin">
        <color rgb="FF000000"/>
      </bottom>
      <diagonal/>
    </border>
    <border>
      <left style="medium">
        <color rgb="FFDFECE1"/>
      </left>
      <right style="thin">
        <color rgb="FF000000"/>
      </right>
      <top style="medium">
        <color rgb="FFDFECE1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DFECE1"/>
      </bottom>
      <diagonal/>
    </border>
    <border>
      <left/>
      <right/>
      <top/>
      <bottom style="medium">
        <color rgb="FFDFECE1"/>
      </bottom>
      <diagonal/>
    </border>
    <border>
      <left/>
      <right/>
      <top style="medium">
        <color rgb="FFDFECE1"/>
      </top>
      <bottom style="medium">
        <color rgb="FFDFECE1"/>
      </bottom>
      <diagonal/>
    </border>
    <border>
      <left/>
      <right/>
      <top style="medium">
        <color rgb="FFDFECE1"/>
      </top>
      <bottom style="thin">
        <color rgb="FF000000"/>
      </bottom>
      <diagonal/>
    </border>
    <border>
      <left style="thin">
        <color rgb="FF000000"/>
      </left>
      <right style="medium">
        <color rgb="FFDFECE1"/>
      </right>
      <top style="thin">
        <color rgb="FF000000"/>
      </top>
      <bottom style="medium">
        <color rgb="FFDFECE1"/>
      </bottom>
      <diagonal/>
    </border>
    <border>
      <left style="thin">
        <color rgb="FF000000"/>
      </left>
      <right style="medium">
        <color rgb="FFDFECE1"/>
      </right>
      <top/>
      <bottom style="medium">
        <color rgb="FFDFECE1"/>
      </bottom>
      <diagonal/>
    </border>
    <border>
      <left style="thin">
        <color rgb="FF000000"/>
      </left>
      <right style="medium">
        <color rgb="FFDFECE1"/>
      </right>
      <top style="medium">
        <color rgb="FFDFECE1"/>
      </top>
      <bottom style="medium">
        <color rgb="FFDFECE1"/>
      </bottom>
      <diagonal/>
    </border>
    <border>
      <left style="thin">
        <color rgb="FF000000"/>
      </left>
      <right style="medium">
        <color rgb="FFDFECE1"/>
      </right>
      <top style="medium">
        <color rgb="FFDFECE1"/>
      </top>
      <bottom/>
      <diagonal/>
    </border>
    <border>
      <left style="thin">
        <color rgb="FF000000"/>
      </left>
      <right style="medium">
        <color rgb="FFDFECE1"/>
      </right>
      <top style="medium">
        <color rgb="FFDFECE1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/>
      <bottom style="thin">
        <color indexed="64"/>
      </bottom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9" fillId="0" borderId="0"/>
    <xf numFmtId="0" fontId="7" fillId="0" borderId="0"/>
    <xf numFmtId="0" fontId="6" fillId="0" borderId="0"/>
    <xf numFmtId="0" fontId="5" fillId="0" borderId="0"/>
    <xf numFmtId="0" fontId="5" fillId="0" borderId="0"/>
    <xf numFmtId="0" fontId="4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" fillId="0" borderId="0"/>
    <xf numFmtId="0" fontId="2" fillId="0" borderId="0"/>
    <xf numFmtId="0" fontId="1" fillId="0" borderId="0"/>
    <xf numFmtId="0" fontId="1" fillId="0" borderId="0"/>
    <xf numFmtId="0" fontId="33" fillId="0" borderId="0"/>
  </cellStyleXfs>
  <cellXfs count="200">
    <xf numFmtId="0" fontId="0" fillId="0" borderId="0" xfId="0"/>
    <xf numFmtId="0" fontId="10" fillId="2" borderId="1" xfId="2" applyFont="1" applyFill="1" applyBorder="1" applyAlignment="1">
      <alignment horizontal="center" vertical="center" wrapText="1"/>
    </xf>
    <xf numFmtId="0" fontId="11" fillId="0" borderId="1" xfId="3" applyFont="1" applyFill="1" applyBorder="1" applyAlignment="1">
      <alignment vertical="center" wrapText="1"/>
    </xf>
    <xf numFmtId="165" fontId="11" fillId="0" borderId="1" xfId="3" applyNumberFormat="1" applyFont="1" applyFill="1" applyBorder="1" applyAlignment="1">
      <alignment horizontal="right" vertical="center" wrapText="1"/>
    </xf>
    <xf numFmtId="165" fontId="12" fillId="0" borderId="1" xfId="1" applyNumberFormat="1" applyFont="1" applyFill="1" applyBorder="1" applyAlignment="1">
      <alignment horizontal="right" vertical="center" wrapText="1"/>
    </xf>
    <xf numFmtId="0" fontId="11" fillId="0" borderId="0" xfId="0" applyFont="1" applyAlignment="1">
      <alignment horizontal="left" vertical="top" wrapText="1"/>
    </xf>
    <xf numFmtId="0" fontId="11" fillId="0" borderId="0" xfId="0" applyFont="1" applyAlignment="1">
      <alignment horizontal="left" vertical="center"/>
    </xf>
    <xf numFmtId="0" fontId="11" fillId="0" borderId="0" xfId="0" applyFont="1"/>
    <xf numFmtId="165" fontId="11" fillId="0" borderId="0" xfId="0" applyNumberFormat="1" applyFont="1"/>
    <xf numFmtId="165" fontId="11" fillId="0" borderId="0" xfId="0" applyNumberFormat="1" applyFont="1" applyFill="1"/>
    <xf numFmtId="0" fontId="11" fillId="0" borderId="0" xfId="0" applyFont="1" applyFill="1"/>
    <xf numFmtId="0" fontId="12" fillId="0" borderId="0" xfId="0" applyFont="1"/>
    <xf numFmtId="0" fontId="12" fillId="0" borderId="0" xfId="3" applyFont="1" applyFill="1" applyBorder="1" applyAlignment="1">
      <alignment vertical="center" wrapText="1"/>
    </xf>
    <xf numFmtId="164" fontId="0" fillId="0" borderId="0" xfId="1" applyFont="1"/>
    <xf numFmtId="165" fontId="11" fillId="0" borderId="1" xfId="0" applyNumberFormat="1" applyFont="1" applyFill="1" applyBorder="1"/>
    <xf numFmtId="165" fontId="12" fillId="0" borderId="1" xfId="3" applyNumberFormat="1" applyFont="1" applyFill="1" applyBorder="1" applyAlignment="1">
      <alignment horizontal="right" vertical="center" wrapText="1"/>
    </xf>
    <xf numFmtId="165" fontId="12" fillId="0" borderId="1" xfId="0" applyNumberFormat="1" applyFont="1" applyFill="1" applyBorder="1"/>
    <xf numFmtId="0" fontId="15" fillId="0" borderId="0" xfId="3" applyFont="1" applyFill="1" applyBorder="1" applyAlignment="1">
      <alignment vertical="center" wrapText="1"/>
    </xf>
    <xf numFmtId="0" fontId="13" fillId="0" borderId="0" xfId="0" applyFont="1"/>
    <xf numFmtId="0" fontId="14" fillId="0" borderId="0" xfId="3" applyFont="1" applyFill="1" applyBorder="1" applyAlignment="1">
      <alignment vertical="center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center"/>
    </xf>
    <xf numFmtId="0" fontId="14" fillId="0" borderId="0" xfId="0" applyFont="1"/>
    <xf numFmtId="0" fontId="10" fillId="2" borderId="1" xfId="2" applyFont="1" applyFill="1" applyBorder="1" applyAlignment="1">
      <alignment horizontal="center" vertical="center" wrapText="1"/>
    </xf>
    <xf numFmtId="165" fontId="12" fillId="0" borderId="1" xfId="1" applyNumberFormat="1" applyFont="1" applyFill="1" applyBorder="1" applyAlignment="1">
      <alignment horizontal="right" vertical="center" wrapText="1"/>
    </xf>
    <xf numFmtId="0" fontId="10" fillId="2" borderId="2" xfId="2" applyFont="1" applyFill="1" applyBorder="1" applyAlignment="1">
      <alignment horizontal="center" vertical="center" wrapText="1"/>
    </xf>
    <xf numFmtId="165" fontId="0" fillId="0" borderId="0" xfId="0" applyNumberFormat="1"/>
    <xf numFmtId="43" fontId="0" fillId="0" borderId="0" xfId="0" applyNumberFormat="1"/>
    <xf numFmtId="164" fontId="11" fillId="0" borderId="0" xfId="1" applyFont="1" applyFill="1" applyBorder="1" applyAlignment="1">
      <alignment vertical="center" wrapText="1"/>
    </xf>
    <xf numFmtId="0" fontId="11" fillId="0" borderId="0" xfId="0" applyFont="1" applyAlignment="1">
      <alignment horizontal="center" vertical="center" wrapText="1"/>
    </xf>
    <xf numFmtId="0" fontId="16" fillId="0" borderId="0" xfId="0" applyFont="1"/>
    <xf numFmtId="0" fontId="17" fillId="0" borderId="3" xfId="2" applyFont="1" applyFill="1" applyBorder="1" applyAlignment="1">
      <alignment vertical="center" wrapText="1"/>
    </xf>
    <xf numFmtId="0" fontId="16" fillId="0" borderId="0" xfId="0" applyFont="1" applyFill="1"/>
    <xf numFmtId="0" fontId="11" fillId="0" borderId="0" xfId="7" applyFont="1" applyFill="1" applyBorder="1" applyAlignment="1">
      <alignment vertical="center" wrapText="1"/>
    </xf>
    <xf numFmtId="165" fontId="12" fillId="0" borderId="1" xfId="8" applyNumberFormat="1" applyFont="1" applyFill="1" applyBorder="1" applyAlignment="1">
      <alignment horizontal="right" vertical="center" wrapText="1"/>
    </xf>
    <xf numFmtId="0" fontId="12" fillId="0" borderId="0" xfId="0" applyFont="1" applyAlignment="1">
      <alignment horizontal="left" vertical="center"/>
    </xf>
    <xf numFmtId="164" fontId="0" fillId="0" borderId="0" xfId="0" applyNumberFormat="1"/>
    <xf numFmtId="165" fontId="11" fillId="3" borderId="1" xfId="0" applyNumberFormat="1" applyFont="1" applyFill="1" applyBorder="1"/>
    <xf numFmtId="165" fontId="11" fillId="3" borderId="1" xfId="3" applyNumberFormat="1" applyFont="1" applyFill="1" applyBorder="1" applyAlignment="1">
      <alignment horizontal="right" vertical="center" wrapText="1"/>
    </xf>
    <xf numFmtId="0" fontId="12" fillId="4" borderId="1" xfId="2" applyFont="1" applyFill="1" applyBorder="1" applyAlignment="1">
      <alignment horizontal="center" vertical="center" wrapText="1"/>
    </xf>
    <xf numFmtId="165" fontId="12" fillId="3" borderId="1" xfId="3" applyNumberFormat="1" applyFont="1" applyFill="1" applyBorder="1" applyAlignment="1">
      <alignment horizontal="right" vertical="center" wrapText="1"/>
    </xf>
    <xf numFmtId="165" fontId="11" fillId="0" borderId="1" xfId="3" applyNumberFormat="1" applyFont="1" applyFill="1" applyBorder="1" applyAlignment="1">
      <alignment vertical="center" wrapText="1"/>
    </xf>
    <xf numFmtId="165" fontId="11" fillId="3" borderId="1" xfId="3" applyNumberFormat="1" applyFont="1" applyFill="1" applyBorder="1" applyAlignment="1">
      <alignment vertical="center" wrapText="1"/>
    </xf>
    <xf numFmtId="164" fontId="11" fillId="3" borderId="1" xfId="1" applyFont="1" applyFill="1" applyBorder="1" applyAlignment="1">
      <alignment vertical="center" wrapText="1"/>
    </xf>
    <xf numFmtId="0" fontId="10" fillId="2" borderId="4" xfId="2" applyFont="1" applyFill="1" applyBorder="1" applyAlignment="1">
      <alignment horizontal="center" vertical="center" wrapText="1"/>
    </xf>
    <xf numFmtId="0" fontId="0" fillId="0" borderId="1" xfId="0" applyNumberFormat="1" applyBorder="1" applyAlignment="1">
      <alignment horizontal="center" vertical="center"/>
    </xf>
    <xf numFmtId="0" fontId="11" fillId="0" borderId="1" xfId="3" applyFont="1" applyFill="1" applyBorder="1" applyAlignment="1">
      <alignment horizontal="center" vertical="center" wrapText="1"/>
    </xf>
    <xf numFmtId="165" fontId="11" fillId="3" borderId="1" xfId="0" applyNumberFormat="1" applyFont="1" applyFill="1" applyBorder="1" applyAlignment="1">
      <alignment horizontal="center"/>
    </xf>
    <xf numFmtId="49" fontId="0" fillId="0" borderId="1" xfId="0" applyNumberFormat="1" applyFill="1" applyBorder="1" applyAlignment="1">
      <alignment horizontal="left" vertical="center"/>
    </xf>
    <xf numFmtId="0" fontId="12" fillId="0" borderId="1" xfId="0" applyFont="1" applyBorder="1"/>
    <xf numFmtId="164" fontId="11" fillId="0" borderId="1" xfId="1" applyFont="1" applyFill="1" applyBorder="1" applyAlignment="1">
      <alignment vertical="center" wrapText="1"/>
    </xf>
    <xf numFmtId="0" fontId="0" fillId="0" borderId="0" xfId="0" applyBorder="1" applyAlignment="1"/>
    <xf numFmtId="166" fontId="11" fillId="0" borderId="1" xfId="0" applyNumberFormat="1" applyFont="1" applyFill="1" applyBorder="1" applyAlignment="1">
      <alignment horizontal="center"/>
    </xf>
    <xf numFmtId="166" fontId="11" fillId="0" borderId="1" xfId="3" applyNumberFormat="1" applyFont="1" applyFill="1" applyBorder="1" applyAlignment="1">
      <alignment horizontal="center" vertical="center" wrapText="1"/>
    </xf>
    <xf numFmtId="166" fontId="0" fillId="0" borderId="5" xfId="0" applyNumberFormat="1" applyBorder="1" applyAlignment="1">
      <alignment horizontal="center"/>
    </xf>
    <xf numFmtId="165" fontId="11" fillId="4" borderId="1" xfId="3" applyNumberFormat="1" applyFont="1" applyFill="1" applyBorder="1" applyAlignment="1">
      <alignment horizontal="right" vertical="center" wrapText="1"/>
    </xf>
    <xf numFmtId="0" fontId="10" fillId="6" borderId="1" xfId="2" applyFont="1" applyFill="1" applyBorder="1" applyAlignment="1">
      <alignment horizontal="center" vertical="center" wrapText="1"/>
    </xf>
    <xf numFmtId="0" fontId="20" fillId="9" borderId="8" xfId="0" applyNumberFormat="1" applyFont="1" applyFill="1" applyBorder="1" applyAlignment="1">
      <alignment horizontal="right"/>
    </xf>
    <xf numFmtId="0" fontId="20" fillId="9" borderId="9" xfId="0" applyNumberFormat="1" applyFont="1" applyFill="1" applyBorder="1" applyAlignment="1">
      <alignment horizontal="right"/>
    </xf>
    <xf numFmtId="49" fontId="19" fillId="8" borderId="10" xfId="0" applyNumberFormat="1" applyFont="1" applyFill="1" applyBorder="1" applyAlignment="1">
      <alignment horizontal="right" vertical="center"/>
    </xf>
    <xf numFmtId="49" fontId="19" fillId="8" borderId="11" xfId="0" applyNumberFormat="1" applyFont="1" applyFill="1" applyBorder="1" applyAlignment="1">
      <alignment horizontal="right" vertical="center" wrapText="1"/>
    </xf>
    <xf numFmtId="4" fontId="20" fillId="9" borderId="12" xfId="0" applyNumberFormat="1" applyFont="1" applyFill="1" applyBorder="1" applyAlignment="1">
      <alignment horizontal="right"/>
    </xf>
    <xf numFmtId="4" fontId="20" fillId="9" borderId="13" xfId="0" applyNumberFormat="1" applyFont="1" applyFill="1" applyBorder="1" applyAlignment="1">
      <alignment horizontal="right"/>
    </xf>
    <xf numFmtId="0" fontId="20" fillId="9" borderId="15" xfId="0" applyNumberFormat="1" applyFont="1" applyFill="1" applyBorder="1" applyAlignment="1">
      <alignment horizontal="right"/>
    </xf>
    <xf numFmtId="49" fontId="19" fillId="8" borderId="17" xfId="0" applyNumberFormat="1" applyFont="1" applyFill="1" applyBorder="1" applyAlignment="1">
      <alignment horizontal="left" vertical="center"/>
    </xf>
    <xf numFmtId="0" fontId="20" fillId="9" borderId="18" xfId="0" applyNumberFormat="1" applyFont="1" applyFill="1" applyBorder="1" applyAlignment="1">
      <alignment horizontal="left"/>
    </xf>
    <xf numFmtId="0" fontId="20" fillId="9" borderId="19" xfId="0" applyNumberFormat="1" applyFont="1" applyFill="1" applyBorder="1" applyAlignment="1">
      <alignment horizontal="left"/>
    </xf>
    <xf numFmtId="0" fontId="20" fillId="9" borderId="20" xfId="0" applyNumberFormat="1" applyFont="1" applyFill="1" applyBorder="1" applyAlignment="1">
      <alignment horizontal="left"/>
    </xf>
    <xf numFmtId="49" fontId="19" fillId="8" borderId="21" xfId="0" applyNumberFormat="1" applyFont="1" applyFill="1" applyBorder="1" applyAlignment="1">
      <alignment horizontal="right" vertical="center"/>
    </xf>
    <xf numFmtId="0" fontId="20" fillId="9" borderId="22" xfId="0" applyNumberFormat="1" applyFont="1" applyFill="1" applyBorder="1" applyAlignment="1">
      <alignment horizontal="right"/>
    </xf>
    <xf numFmtId="0" fontId="20" fillId="9" borderId="23" xfId="0" applyNumberFormat="1" applyFont="1" applyFill="1" applyBorder="1" applyAlignment="1">
      <alignment horizontal="right"/>
    </xf>
    <xf numFmtId="1" fontId="20" fillId="9" borderId="23" xfId="0" applyNumberFormat="1" applyFont="1" applyFill="1" applyBorder="1" applyAlignment="1">
      <alignment horizontal="right"/>
    </xf>
    <xf numFmtId="1" fontId="20" fillId="9" borderId="24" xfId="0" applyNumberFormat="1" applyFont="1" applyFill="1" applyBorder="1" applyAlignment="1">
      <alignment horizontal="right"/>
    </xf>
    <xf numFmtId="1" fontId="20" fillId="9" borderId="25" xfId="0" applyNumberFormat="1" applyFont="1" applyFill="1" applyBorder="1" applyAlignment="1">
      <alignment horizontal="right"/>
    </xf>
    <xf numFmtId="165" fontId="11" fillId="4" borderId="1" xfId="0" applyNumberFormat="1" applyFont="1" applyFill="1" applyBorder="1"/>
    <xf numFmtId="166" fontId="11" fillId="4" borderId="1" xfId="0" applyNumberFormat="1" applyFont="1" applyFill="1" applyBorder="1" applyAlignment="1">
      <alignment horizontal="center"/>
    </xf>
    <xf numFmtId="49" fontId="19" fillId="8" borderId="10" xfId="0" applyNumberFormat="1" applyFont="1" applyFill="1" applyBorder="1" applyAlignment="1">
      <alignment horizontal="right" vertical="center" wrapText="1"/>
    </xf>
    <xf numFmtId="164" fontId="11" fillId="0" borderId="0" xfId="1" applyFont="1"/>
    <xf numFmtId="43" fontId="11" fillId="0" borderId="0" xfId="0" applyNumberFormat="1" applyFont="1" applyFill="1"/>
    <xf numFmtId="43" fontId="11" fillId="0" borderId="0" xfId="0" applyNumberFormat="1" applyFont="1"/>
    <xf numFmtId="164" fontId="11" fillId="4" borderId="1" xfId="1" applyFont="1" applyFill="1" applyBorder="1" applyAlignment="1">
      <alignment vertical="center" wrapText="1"/>
    </xf>
    <xf numFmtId="165" fontId="11" fillId="0" borderId="1" xfId="0" applyNumberFormat="1" applyFont="1" applyFill="1" applyBorder="1" applyAlignment="1">
      <alignment horizontal="center"/>
    </xf>
    <xf numFmtId="0" fontId="12" fillId="10" borderId="1" xfId="2" applyFont="1" applyFill="1" applyBorder="1" applyAlignment="1">
      <alignment horizontal="center" vertical="center" wrapText="1"/>
    </xf>
    <xf numFmtId="0" fontId="10" fillId="11" borderId="1" xfId="2" applyFont="1" applyFill="1" applyBorder="1" applyAlignment="1">
      <alignment horizontal="center" vertical="center" wrapText="1"/>
    </xf>
    <xf numFmtId="0" fontId="10" fillId="12" borderId="1" xfId="2" applyFont="1" applyFill="1" applyBorder="1" applyAlignment="1">
      <alignment horizontal="center" vertical="center" wrapText="1"/>
    </xf>
    <xf numFmtId="164" fontId="21" fillId="0" borderId="0" xfId="1" applyFont="1"/>
    <xf numFmtId="0" fontId="21" fillId="0" borderId="0" xfId="0" applyFont="1"/>
    <xf numFmtId="0" fontId="22" fillId="2" borderId="1" xfId="2" applyFont="1" applyFill="1" applyBorder="1" applyAlignment="1">
      <alignment horizontal="center" vertical="center" wrapText="1"/>
    </xf>
    <xf numFmtId="0" fontId="22" fillId="13" borderId="1" xfId="2" applyFont="1" applyFill="1" applyBorder="1" applyAlignment="1">
      <alignment horizontal="center" vertical="center" wrapText="1"/>
    </xf>
    <xf numFmtId="0" fontId="23" fillId="4" borderId="1" xfId="2" applyFont="1" applyFill="1" applyBorder="1" applyAlignment="1">
      <alignment horizontal="center" vertical="center" wrapText="1"/>
    </xf>
    <xf numFmtId="0" fontId="23" fillId="10" borderId="1" xfId="2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wrapText="1"/>
    </xf>
    <xf numFmtId="0" fontId="21" fillId="0" borderId="1" xfId="10" applyFont="1" applyFill="1" applyBorder="1" applyAlignment="1">
      <alignment vertical="center" wrapText="1"/>
    </xf>
    <xf numFmtId="17" fontId="21" fillId="0" borderId="1" xfId="10" applyNumberFormat="1" applyFont="1" applyFill="1" applyBorder="1" applyAlignment="1">
      <alignment vertical="center" wrapText="1"/>
    </xf>
    <xf numFmtId="167" fontId="21" fillId="0" borderId="1" xfId="10" applyNumberFormat="1" applyFont="1" applyFill="1" applyBorder="1" applyAlignment="1">
      <alignment vertical="center" wrapText="1"/>
    </xf>
    <xf numFmtId="165" fontId="21" fillId="0" borderId="0" xfId="0" applyNumberFormat="1" applyFont="1"/>
    <xf numFmtId="43" fontId="21" fillId="0" borderId="0" xfId="0" applyNumberFormat="1" applyFont="1"/>
    <xf numFmtId="49" fontId="21" fillId="0" borderId="1" xfId="10" applyNumberFormat="1" applyFont="1" applyFill="1" applyBorder="1" applyAlignment="1">
      <alignment vertical="center" wrapText="1"/>
    </xf>
    <xf numFmtId="168" fontId="11" fillId="3" borderId="1" xfId="1" applyNumberFormat="1" applyFont="1" applyFill="1" applyBorder="1" applyAlignment="1">
      <alignment vertical="center" wrapText="1"/>
    </xf>
    <xf numFmtId="0" fontId="11" fillId="4" borderId="1" xfId="10" applyFont="1" applyFill="1" applyBorder="1" applyAlignment="1">
      <alignment horizontal="center" vertical="center" wrapText="1"/>
    </xf>
    <xf numFmtId="0" fontId="10" fillId="2" borderId="29" xfId="2" applyFont="1" applyFill="1" applyBorder="1" applyAlignment="1">
      <alignment horizontal="center" vertical="center" wrapText="1"/>
    </xf>
    <xf numFmtId="0" fontId="11" fillId="12" borderId="1" xfId="3" applyFont="1" applyFill="1" applyBorder="1" applyAlignment="1">
      <alignment vertical="center" wrapText="1"/>
    </xf>
    <xf numFmtId="0" fontId="11" fillId="4" borderId="0" xfId="0" applyFont="1" applyFill="1" applyAlignment="1"/>
    <xf numFmtId="49" fontId="0" fillId="15" borderId="1" xfId="0" applyNumberFormat="1" applyFill="1" applyBorder="1" applyAlignment="1">
      <alignment horizontal="left" vertical="center"/>
    </xf>
    <xf numFmtId="0" fontId="0" fillId="15" borderId="1" xfId="0" applyNumberFormat="1" applyFill="1" applyBorder="1" applyAlignment="1">
      <alignment horizontal="center" vertical="center"/>
    </xf>
    <xf numFmtId="0" fontId="24" fillId="14" borderId="1" xfId="0" applyFont="1" applyFill="1" applyBorder="1" applyAlignment="1">
      <alignment horizontal="center" vertical="center" wrapText="1"/>
    </xf>
    <xf numFmtId="0" fontId="25" fillId="0" borderId="1" xfId="3" applyFont="1" applyFill="1" applyBorder="1" applyAlignment="1">
      <alignment vertical="center" wrapText="1"/>
    </xf>
    <xf numFmtId="165" fontId="25" fillId="0" borderId="1" xfId="0" applyNumberFormat="1" applyFont="1" applyBorder="1"/>
    <xf numFmtId="0" fontId="25" fillId="0" borderId="0" xfId="3" applyFont="1" applyFill="1" applyBorder="1" applyAlignment="1">
      <alignment vertical="center" wrapText="1"/>
    </xf>
    <xf numFmtId="49" fontId="25" fillId="0" borderId="1" xfId="0" applyNumberFormat="1" applyFont="1" applyFill="1" applyBorder="1" applyAlignment="1">
      <alignment horizontal="left" vertical="center"/>
    </xf>
    <xf numFmtId="0" fontId="26" fillId="0" borderId="1" xfId="3" applyFont="1" applyFill="1" applyBorder="1" applyAlignment="1">
      <alignment vertical="center" wrapText="1"/>
    </xf>
    <xf numFmtId="165" fontId="26" fillId="0" borderId="1" xfId="0" applyNumberFormat="1" applyFont="1" applyBorder="1"/>
    <xf numFmtId="0" fontId="25" fillId="0" borderId="1" xfId="3" applyFont="1" applyFill="1" applyBorder="1" applyAlignment="1">
      <alignment horizontal="left" vertical="center" wrapText="1"/>
    </xf>
    <xf numFmtId="164" fontId="27" fillId="3" borderId="1" xfId="1" applyFont="1" applyFill="1" applyBorder="1" applyAlignment="1">
      <alignment vertical="center" wrapText="1"/>
    </xf>
    <xf numFmtId="164" fontId="10" fillId="2" borderId="1" xfId="1" applyFont="1" applyFill="1" applyBorder="1" applyAlignment="1">
      <alignment horizontal="center" vertical="center" wrapText="1"/>
    </xf>
    <xf numFmtId="164" fontId="12" fillId="5" borderId="1" xfId="1" applyFont="1" applyFill="1" applyBorder="1" applyAlignment="1">
      <alignment horizontal="right" vertical="center" wrapText="1"/>
    </xf>
    <xf numFmtId="0" fontId="10" fillId="2" borderId="1" xfId="2" applyFont="1" applyFill="1" applyBorder="1" applyAlignment="1">
      <alignment horizontal="center" vertical="center"/>
    </xf>
    <xf numFmtId="0" fontId="10" fillId="16" borderId="1" xfId="2" applyFont="1" applyFill="1" applyBorder="1" applyAlignment="1">
      <alignment horizontal="center" vertical="center" wrapText="1"/>
    </xf>
    <xf numFmtId="164" fontId="28" fillId="0" borderId="0" xfId="1" applyFont="1"/>
    <xf numFmtId="0" fontId="12" fillId="15" borderId="1" xfId="2" applyFont="1" applyFill="1" applyBorder="1" applyAlignment="1">
      <alignment horizontal="center" vertical="center" wrapText="1"/>
    </xf>
    <xf numFmtId="0" fontId="12" fillId="17" borderId="1" xfId="2" applyFont="1" applyFill="1" applyBorder="1" applyAlignment="1">
      <alignment horizontal="center" vertical="center" wrapText="1"/>
    </xf>
    <xf numFmtId="10" fontId="10" fillId="16" borderId="1" xfId="9" applyNumberFormat="1" applyFont="1" applyFill="1" applyBorder="1" applyAlignment="1">
      <alignment horizontal="center" vertical="center" wrapText="1"/>
    </xf>
    <xf numFmtId="165" fontId="11" fillId="15" borderId="1" xfId="0" applyNumberFormat="1" applyFont="1" applyFill="1" applyBorder="1" applyAlignment="1">
      <alignment horizontal="center"/>
    </xf>
    <xf numFmtId="165" fontId="11" fillId="5" borderId="1" xfId="0" applyNumberFormat="1" applyFont="1" applyFill="1" applyBorder="1" applyAlignment="1">
      <alignment horizontal="center"/>
    </xf>
    <xf numFmtId="165" fontId="11" fillId="4" borderId="1" xfId="3" applyNumberFormat="1" applyFont="1" applyFill="1" applyBorder="1" applyAlignment="1">
      <alignment vertical="center" wrapText="1"/>
    </xf>
    <xf numFmtId="165" fontId="11" fillId="0" borderId="1" xfId="7" applyNumberFormat="1" applyFont="1" applyFill="1" applyBorder="1" applyAlignment="1">
      <alignment vertical="center" wrapText="1"/>
    </xf>
    <xf numFmtId="165" fontId="11" fillId="3" borderId="1" xfId="7" applyNumberFormat="1" applyFont="1" applyFill="1" applyBorder="1" applyAlignment="1">
      <alignment horizontal="right" vertical="center" wrapText="1"/>
    </xf>
    <xf numFmtId="165" fontId="11" fillId="4" borderId="1" xfId="7" applyNumberFormat="1" applyFont="1" applyFill="1" applyBorder="1" applyAlignment="1">
      <alignment horizontal="right" vertical="center" wrapText="1"/>
    </xf>
    <xf numFmtId="165" fontId="11" fillId="0" borderId="1" xfId="11" applyNumberFormat="1" applyFont="1" applyFill="1" applyBorder="1" applyAlignment="1">
      <alignment vertical="center"/>
    </xf>
    <xf numFmtId="165" fontId="11" fillId="4" borderId="1" xfId="11" applyNumberFormat="1" applyFont="1" applyFill="1" applyBorder="1" applyAlignment="1">
      <alignment vertical="center"/>
    </xf>
    <xf numFmtId="165" fontId="29" fillId="0" borderId="1" xfId="0" applyNumberFormat="1" applyFont="1" applyFill="1" applyBorder="1"/>
    <xf numFmtId="165" fontId="12" fillId="0" borderId="1" xfId="1" applyNumberFormat="1" applyFont="1" applyFill="1" applyBorder="1" applyAlignment="1">
      <alignment horizontal="right" vertical="center"/>
    </xf>
    <xf numFmtId="0" fontId="30" fillId="14" borderId="1" xfId="0" applyFont="1" applyFill="1" applyBorder="1" applyAlignment="1">
      <alignment horizontal="center" vertical="center" wrapText="1"/>
    </xf>
    <xf numFmtId="169" fontId="31" fillId="0" borderId="1" xfId="0" applyNumberFormat="1" applyFont="1" applyBorder="1"/>
    <xf numFmtId="165" fontId="0" fillId="0" borderId="1" xfId="0" applyNumberFormat="1" applyBorder="1"/>
    <xf numFmtId="0" fontId="0" fillId="0" borderId="1" xfId="0" applyBorder="1"/>
    <xf numFmtId="165" fontId="25" fillId="0" borderId="1" xfId="0" applyNumberFormat="1" applyFont="1" applyBorder="1" applyAlignment="1">
      <alignment horizontal="center"/>
    </xf>
    <xf numFmtId="165" fontId="26" fillId="0" borderId="1" xfId="0" applyNumberFormat="1" applyFont="1" applyBorder="1" applyAlignment="1">
      <alignment horizontal="center"/>
    </xf>
    <xf numFmtId="0" fontId="11" fillId="3" borderId="1" xfId="11" applyFont="1" applyFill="1" applyBorder="1" applyAlignment="1">
      <alignment vertical="center" wrapText="1"/>
    </xf>
    <xf numFmtId="17" fontId="11" fillId="3" borderId="1" xfId="3" applyNumberFormat="1" applyFont="1" applyFill="1" applyBorder="1" applyAlignment="1">
      <alignment horizontal="center" vertical="center" wrapText="1"/>
    </xf>
    <xf numFmtId="0" fontId="10" fillId="2" borderId="1" xfId="2" applyFont="1" applyFill="1" applyBorder="1" applyAlignment="1">
      <alignment horizontal="center" vertical="center" wrapText="1"/>
    </xf>
    <xf numFmtId="0" fontId="10" fillId="2" borderId="1" xfId="2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69" fontId="31" fillId="0" borderId="1" xfId="0" applyNumberFormat="1" applyFont="1" applyBorder="1" applyAlignment="1">
      <alignment wrapText="1"/>
    </xf>
    <xf numFmtId="0" fontId="11" fillId="0" borderId="0" xfId="0" applyFont="1" applyAlignment="1">
      <alignment horizontal="left" vertical="center" wrapText="1"/>
    </xf>
    <xf numFmtId="0" fontId="11" fillId="0" borderId="0" xfId="0" applyFont="1" applyAlignment="1">
      <alignment wrapText="1"/>
    </xf>
    <xf numFmtId="0" fontId="0" fillId="0" borderId="1" xfId="0" applyNumberFormat="1" applyFill="1" applyBorder="1" applyAlignment="1">
      <alignment horizontal="center" vertical="center"/>
    </xf>
    <xf numFmtId="43" fontId="11" fillId="3" borderId="1" xfId="11" applyNumberFormat="1" applyFont="1" applyFill="1" applyBorder="1" applyAlignment="1">
      <alignment vertical="center" wrapText="1"/>
    </xf>
    <xf numFmtId="0" fontId="0" fillId="0" borderId="0" xfId="0" applyFill="1"/>
    <xf numFmtId="17" fontId="0" fillId="0" borderId="0" xfId="0" applyNumberFormat="1" applyFill="1"/>
    <xf numFmtId="17" fontId="0" fillId="0" borderId="0" xfId="0" applyNumberFormat="1" applyFont="1" applyFill="1"/>
    <xf numFmtId="0" fontId="0" fillId="0" borderId="0" xfId="0" applyFont="1" applyFill="1" applyBorder="1" applyAlignment="1"/>
    <xf numFmtId="164" fontId="11" fillId="0" borderId="0" xfId="1" applyFont="1" applyAlignment="1">
      <alignment horizontal="right" vertical="top" wrapText="1"/>
    </xf>
    <xf numFmtId="43" fontId="11" fillId="0" borderId="0" xfId="0" applyNumberFormat="1" applyFont="1" applyAlignment="1">
      <alignment horizontal="left" vertical="center"/>
    </xf>
    <xf numFmtId="165" fontId="11" fillId="0" borderId="0" xfId="0" applyNumberFormat="1" applyFont="1" applyAlignment="1">
      <alignment horizontal="right" vertical="top" wrapText="1"/>
    </xf>
    <xf numFmtId="2" fontId="0" fillId="0" borderId="0" xfId="0" applyNumberFormat="1"/>
    <xf numFmtId="4" fontId="0" fillId="0" borderId="0" xfId="0" applyNumberFormat="1"/>
    <xf numFmtId="0" fontId="11" fillId="0" borderId="0" xfId="0" applyFont="1" applyAlignment="1">
      <alignment horizontal="center" vertical="top" wrapText="1"/>
    </xf>
    <xf numFmtId="0" fontId="11" fillId="4" borderId="1" xfId="3" applyFont="1" applyFill="1" applyBorder="1" applyAlignment="1">
      <alignment vertical="center" wrapText="1"/>
    </xf>
    <xf numFmtId="165" fontId="11" fillId="4" borderId="1" xfId="0" applyNumberFormat="1" applyFont="1" applyFill="1" applyBorder="1" applyAlignment="1">
      <alignment horizontal="center"/>
    </xf>
    <xf numFmtId="0" fontId="0" fillId="4" borderId="1" xfId="0" applyNumberFormat="1" applyFill="1" applyBorder="1" applyAlignment="1">
      <alignment horizontal="center" vertical="center"/>
    </xf>
    <xf numFmtId="0" fontId="11" fillId="4" borderId="1" xfId="3" applyFont="1" applyFill="1" applyBorder="1" applyAlignment="1">
      <alignment horizontal="center" vertical="center" wrapText="1"/>
    </xf>
    <xf numFmtId="49" fontId="0" fillId="4" borderId="1" xfId="0" applyNumberFormat="1" applyFill="1" applyBorder="1" applyAlignment="1">
      <alignment horizontal="left" vertical="center"/>
    </xf>
    <xf numFmtId="169" fontId="31" fillId="4" borderId="1" xfId="0" applyNumberFormat="1" applyFont="1" applyFill="1" applyBorder="1"/>
    <xf numFmtId="43" fontId="11" fillId="4" borderId="1" xfId="11" applyNumberFormat="1" applyFont="1" applyFill="1" applyBorder="1" applyAlignment="1">
      <alignment vertical="center" wrapText="1"/>
    </xf>
    <xf numFmtId="0" fontId="11" fillId="4" borderId="1" xfId="13" applyFont="1" applyFill="1" applyBorder="1" applyAlignment="1">
      <alignment vertical="center" wrapText="1"/>
    </xf>
    <xf numFmtId="165" fontId="11" fillId="0" borderId="1" xfId="13" applyNumberFormat="1" applyFont="1" applyFill="1" applyBorder="1" applyAlignment="1">
      <alignment vertical="center" wrapText="1"/>
    </xf>
    <xf numFmtId="165" fontId="11" fillId="3" borderId="1" xfId="13" applyNumberFormat="1" applyFont="1" applyFill="1" applyBorder="1" applyAlignment="1">
      <alignment vertical="center" wrapText="1"/>
    </xf>
    <xf numFmtId="0" fontId="11" fillId="0" borderId="1" xfId="13" applyFont="1" applyFill="1" applyBorder="1" applyAlignment="1">
      <alignment vertical="center" wrapText="1"/>
    </xf>
    <xf numFmtId="165" fontId="11" fillId="4" borderId="1" xfId="13" applyNumberFormat="1" applyFont="1" applyFill="1" applyBorder="1" applyAlignment="1">
      <alignment vertical="center" wrapText="1"/>
    </xf>
    <xf numFmtId="164" fontId="0" fillId="0" borderId="0" xfId="1" applyFont="1" applyFill="1"/>
    <xf numFmtId="43" fontId="0" fillId="0" borderId="0" xfId="0" applyNumberFormat="1" applyFill="1"/>
    <xf numFmtId="49" fontId="25" fillId="4" borderId="1" xfId="0" applyNumberFormat="1" applyFont="1" applyFill="1" applyBorder="1" applyAlignment="1">
      <alignment horizontal="left" vertical="center"/>
    </xf>
    <xf numFmtId="0" fontId="20" fillId="9" borderId="6" xfId="0" applyNumberFormat="1" applyFont="1" applyFill="1" applyBorder="1" applyAlignment="1">
      <alignment horizontal="left"/>
    </xf>
    <xf numFmtId="0" fontId="20" fillId="9" borderId="7" xfId="0" applyNumberFormat="1" applyFont="1" applyFill="1" applyBorder="1" applyAlignment="1">
      <alignment horizontal="right"/>
    </xf>
    <xf numFmtId="4" fontId="20" fillId="9" borderId="14" xfId="0" applyNumberFormat="1" applyFont="1" applyFill="1" applyBorder="1" applyAlignment="1">
      <alignment horizontal="right"/>
    </xf>
    <xf numFmtId="4" fontId="20" fillId="4" borderId="13" xfId="0" applyNumberFormat="1" applyFont="1" applyFill="1" applyBorder="1" applyAlignment="1">
      <alignment horizontal="right"/>
    </xf>
    <xf numFmtId="0" fontId="0" fillId="4" borderId="0" xfId="0" applyFill="1"/>
    <xf numFmtId="0" fontId="10" fillId="2" borderId="30" xfId="2" applyFont="1" applyFill="1" applyBorder="1" applyAlignment="1">
      <alignment horizontal="center" vertical="center" wrapText="1"/>
    </xf>
    <xf numFmtId="165" fontId="11" fillId="3" borderId="26" xfId="3" applyNumberFormat="1" applyFont="1" applyFill="1" applyBorder="1" applyAlignment="1">
      <alignment vertical="center" wrapText="1"/>
    </xf>
    <xf numFmtId="165" fontId="12" fillId="0" borderId="26" xfId="8" applyNumberFormat="1" applyFont="1" applyFill="1" applyBorder="1" applyAlignment="1">
      <alignment horizontal="right" vertical="center" wrapText="1"/>
    </xf>
    <xf numFmtId="0" fontId="0" fillId="0" borderId="0" xfId="0" applyFill="1" applyBorder="1"/>
    <xf numFmtId="165" fontId="11" fillId="4" borderId="26" xfId="3" applyNumberFormat="1" applyFont="1" applyFill="1" applyBorder="1" applyAlignment="1">
      <alignment vertical="center" wrapText="1"/>
    </xf>
    <xf numFmtId="164" fontId="31" fillId="0" borderId="26" xfId="1" applyFont="1" applyBorder="1"/>
    <xf numFmtId="164" fontId="31" fillId="4" borderId="26" xfId="1" applyFont="1" applyFill="1" applyBorder="1"/>
    <xf numFmtId="0" fontId="10" fillId="2" borderId="31" xfId="2" applyFont="1" applyFill="1" applyBorder="1" applyAlignment="1">
      <alignment horizontal="center" vertical="center" wrapText="1"/>
    </xf>
    <xf numFmtId="4" fontId="20" fillId="9" borderId="16" xfId="0" applyNumberFormat="1" applyFont="1" applyFill="1" applyBorder="1" applyAlignment="1">
      <alignment horizontal="right"/>
    </xf>
    <xf numFmtId="4" fontId="0" fillId="0" borderId="0" xfId="0" applyNumberFormat="1" applyFill="1"/>
    <xf numFmtId="17" fontId="0" fillId="4" borderId="0" xfId="0" applyNumberFormat="1" applyFill="1"/>
    <xf numFmtId="0" fontId="29" fillId="0" borderId="1" xfId="11" applyFont="1" applyFill="1" applyBorder="1" applyAlignment="1">
      <alignment horizontal="center" vertical="center" wrapText="1"/>
    </xf>
    <xf numFmtId="0" fontId="12" fillId="0" borderId="26" xfId="0" applyFont="1" applyBorder="1" applyAlignment="1">
      <alignment horizontal="right" wrapText="1"/>
    </xf>
    <xf numFmtId="0" fontId="12" fillId="0" borderId="28" xfId="0" applyFont="1" applyBorder="1" applyAlignment="1">
      <alignment horizontal="right" wrapText="1"/>
    </xf>
    <xf numFmtId="49" fontId="18" fillId="7" borderId="0" xfId="0" applyNumberFormat="1" applyFont="1" applyFill="1" applyBorder="1" applyAlignment="1">
      <alignment horizontal="center" vertical="center" wrapText="1"/>
    </xf>
    <xf numFmtId="0" fontId="18" fillId="7" borderId="0" xfId="0" applyFont="1" applyFill="1" applyBorder="1" applyAlignment="1">
      <alignment horizontal="center" vertical="center" wrapText="1"/>
    </xf>
    <xf numFmtId="0" fontId="22" fillId="13" borderId="1" xfId="2" applyFont="1" applyFill="1" applyBorder="1" applyAlignment="1">
      <alignment horizontal="center" vertical="center" wrapText="1"/>
    </xf>
    <xf numFmtId="0" fontId="22" fillId="2" borderId="26" xfId="2" applyFont="1" applyFill="1" applyBorder="1" applyAlignment="1">
      <alignment horizontal="center" vertical="center" wrapText="1"/>
    </xf>
    <xf numFmtId="0" fontId="22" fillId="2" borderId="27" xfId="2" applyFont="1" applyFill="1" applyBorder="1" applyAlignment="1">
      <alignment horizontal="center" vertical="center" wrapText="1"/>
    </xf>
    <xf numFmtId="0" fontId="22" fillId="2" borderId="28" xfId="2" applyFont="1" applyFill="1" applyBorder="1" applyAlignment="1">
      <alignment horizontal="center" vertical="center" wrapText="1"/>
    </xf>
    <xf numFmtId="0" fontId="23" fillId="4" borderId="1" xfId="2" applyFont="1" applyFill="1" applyBorder="1" applyAlignment="1">
      <alignment horizontal="center" vertical="center" wrapText="1"/>
    </xf>
    <xf numFmtId="0" fontId="23" fillId="10" borderId="1" xfId="2" applyFont="1" applyFill="1" applyBorder="1" applyAlignment="1">
      <alignment horizontal="center" vertical="center" wrapText="1"/>
    </xf>
  </cellXfs>
  <cellStyles count="15">
    <cellStyle name="Normal" xfId="0" builtinId="0"/>
    <cellStyle name="Normal 2" xfId="2"/>
    <cellStyle name="Normal 2 2" xfId="14"/>
    <cellStyle name="Normal 3" xfId="3"/>
    <cellStyle name="Normal 3 2" xfId="5"/>
    <cellStyle name="Normal 3 3" xfId="7"/>
    <cellStyle name="Normal 3 4" xfId="10"/>
    <cellStyle name="Normal 3 5" xfId="11"/>
    <cellStyle name="Normal 3 6" xfId="13"/>
    <cellStyle name="Normal 4" xfId="4"/>
    <cellStyle name="Normal 4 2" xfId="6"/>
    <cellStyle name="Normal 5" xfId="12"/>
    <cellStyle name="Porcentagem" xfId="9" builtinId="5"/>
    <cellStyle name="Vírgula" xfId="1" builtinId="3"/>
    <cellStyle name="Vírgula 2" xf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1</xdr:row>
          <xdr:rowOff>104775</xdr:rowOff>
        </xdr:from>
        <xdr:to>
          <xdr:col>4</xdr:col>
          <xdr:colOff>257175</xdr:colOff>
          <xdr:row>2</xdr:row>
          <xdr:rowOff>133350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Esconder Zeros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438150</xdr:colOff>
          <xdr:row>2</xdr:row>
          <xdr:rowOff>9525</xdr:rowOff>
        </xdr:from>
        <xdr:to>
          <xdr:col>4</xdr:col>
          <xdr:colOff>180975</xdr:colOff>
          <xdr:row>3</xdr:row>
          <xdr:rowOff>66675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Esconder Zeros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pageSetUpPr fitToPage="1"/>
  </sheetPr>
  <dimension ref="A2:E64"/>
  <sheetViews>
    <sheetView showGridLines="0" zoomScaleNormal="100" workbookViewId="0">
      <pane xSplit="1" ySplit="3" topLeftCell="B43" activePane="bottomRight" state="frozen"/>
      <selection pane="topRight" activeCell="B1" sqref="B1"/>
      <selection pane="bottomLeft" activeCell="A2" sqref="A2"/>
      <selection pane="bottomRight" sqref="A1:XFD1048576"/>
    </sheetView>
  </sheetViews>
  <sheetFormatPr defaultRowHeight="11.25"/>
  <cols>
    <col min="1" max="1" width="17.7109375" style="7" bestFit="1" customWidth="1"/>
    <col min="2" max="2" width="21.42578125" style="7" customWidth="1"/>
    <col min="3" max="3" width="18.85546875" style="7" customWidth="1"/>
    <col min="4" max="4" width="20" style="7" customWidth="1"/>
    <col min="5" max="5" width="21.5703125" style="7" customWidth="1"/>
    <col min="6" max="16384" width="9.140625" style="7"/>
  </cols>
  <sheetData>
    <row r="2" spans="1:5">
      <c r="C2" s="102" t="s">
        <v>119</v>
      </c>
      <c r="D2" s="102" t="s">
        <v>119</v>
      </c>
    </row>
    <row r="3" spans="1:5" ht="67.5">
      <c r="A3" s="23" t="s">
        <v>0</v>
      </c>
      <c r="B3" s="23" t="s">
        <v>67</v>
      </c>
      <c r="C3" s="39" t="s">
        <v>231</v>
      </c>
      <c r="D3" s="39" t="s">
        <v>238</v>
      </c>
      <c r="E3" s="23" t="s">
        <v>232</v>
      </c>
    </row>
    <row r="4" spans="1:5" ht="15" customHeight="1">
      <c r="A4" s="158" t="s">
        <v>257</v>
      </c>
      <c r="B4" s="14">
        <f>SUM(C4:E4)</f>
        <v>0</v>
      </c>
      <c r="C4" s="74"/>
      <c r="D4" s="74"/>
      <c r="E4" s="37"/>
    </row>
    <row r="5" spans="1:5" ht="15" customHeight="1">
      <c r="A5" s="2" t="s">
        <v>44</v>
      </c>
      <c r="B5" s="14">
        <f t="shared" ref="B5:B50" si="0">SUM(C5:E5)</f>
        <v>0</v>
      </c>
      <c r="C5" s="74"/>
      <c r="D5" s="74"/>
      <c r="E5" s="74"/>
    </row>
    <row r="6" spans="1:5" ht="15" customHeight="1">
      <c r="A6" s="2" t="s">
        <v>1</v>
      </c>
      <c r="B6" s="14">
        <f t="shared" si="0"/>
        <v>0</v>
      </c>
      <c r="C6" s="74"/>
      <c r="D6" s="74"/>
      <c r="E6" s="37"/>
    </row>
    <row r="7" spans="1:5" ht="15" customHeight="1">
      <c r="A7" s="2" t="s">
        <v>9</v>
      </c>
      <c r="B7" s="14">
        <f t="shared" si="0"/>
        <v>0</v>
      </c>
      <c r="C7" s="74"/>
      <c r="D7" s="74"/>
      <c r="E7" s="37"/>
    </row>
    <row r="8" spans="1:5" ht="15" customHeight="1">
      <c r="A8" s="2" t="s">
        <v>41</v>
      </c>
      <c r="B8" s="14">
        <f t="shared" si="0"/>
        <v>0</v>
      </c>
      <c r="C8" s="74"/>
      <c r="D8" s="74"/>
      <c r="E8" s="37"/>
    </row>
    <row r="9" spans="1:5" ht="15" customHeight="1">
      <c r="A9" s="2" t="s">
        <v>75</v>
      </c>
      <c r="B9" s="14">
        <f t="shared" si="0"/>
        <v>0</v>
      </c>
      <c r="C9" s="74"/>
      <c r="D9" s="74"/>
      <c r="E9" s="37"/>
    </row>
    <row r="10" spans="1:5" ht="15" customHeight="1">
      <c r="A10" s="2" t="s">
        <v>14</v>
      </c>
      <c r="B10" s="14">
        <f t="shared" si="0"/>
        <v>0</v>
      </c>
      <c r="C10" s="74"/>
      <c r="D10" s="74"/>
      <c r="E10" s="37"/>
    </row>
    <row r="11" spans="1:5" ht="15" customHeight="1">
      <c r="A11" s="2" t="s">
        <v>37</v>
      </c>
      <c r="B11" s="14">
        <f t="shared" si="0"/>
        <v>0</v>
      </c>
      <c r="C11" s="74"/>
      <c r="D11" s="74"/>
      <c r="E11" s="37"/>
    </row>
    <row r="12" spans="1:5" ht="15" customHeight="1">
      <c r="A12" s="2" t="s">
        <v>39</v>
      </c>
      <c r="B12" s="14">
        <f t="shared" si="0"/>
        <v>0</v>
      </c>
      <c r="C12" s="74"/>
      <c r="D12" s="74"/>
      <c r="E12" s="37"/>
    </row>
    <row r="13" spans="1:5" ht="15" customHeight="1">
      <c r="A13" s="2" t="s">
        <v>40</v>
      </c>
      <c r="B13" s="14">
        <f t="shared" si="0"/>
        <v>0</v>
      </c>
      <c r="C13" s="74"/>
      <c r="D13" s="74"/>
      <c r="E13" s="37"/>
    </row>
    <row r="14" spans="1:5" ht="15" customHeight="1">
      <c r="A14" s="2" t="s">
        <v>16</v>
      </c>
      <c r="B14" s="14">
        <f t="shared" si="0"/>
        <v>0</v>
      </c>
      <c r="C14" s="74"/>
      <c r="D14" s="74"/>
      <c r="E14" s="37"/>
    </row>
    <row r="15" spans="1:5" ht="15" customHeight="1">
      <c r="A15" s="2" t="s">
        <v>28</v>
      </c>
      <c r="B15" s="14">
        <f t="shared" si="0"/>
        <v>0</v>
      </c>
      <c r="C15" s="74"/>
      <c r="D15" s="74"/>
      <c r="E15" s="37"/>
    </row>
    <row r="16" spans="1:5" ht="15" customHeight="1">
      <c r="A16" s="2" t="s">
        <v>17</v>
      </c>
      <c r="B16" s="14">
        <f t="shared" si="0"/>
        <v>0</v>
      </c>
      <c r="C16" s="74"/>
      <c r="D16" s="74"/>
      <c r="E16" s="37"/>
    </row>
    <row r="17" spans="1:5" ht="15" customHeight="1">
      <c r="A17" s="101" t="s">
        <v>171</v>
      </c>
      <c r="B17" s="14">
        <f t="shared" si="0"/>
        <v>0</v>
      </c>
      <c r="C17" s="74"/>
      <c r="D17" s="74"/>
      <c r="E17" s="37"/>
    </row>
    <row r="18" spans="1:5" ht="15" customHeight="1">
      <c r="A18" s="2" t="s">
        <v>18</v>
      </c>
      <c r="B18" s="14">
        <f t="shared" si="0"/>
        <v>0</v>
      </c>
      <c r="C18" s="74"/>
      <c r="D18" s="74"/>
      <c r="E18" s="37"/>
    </row>
    <row r="19" spans="1:5" ht="15" customHeight="1">
      <c r="A19" s="101" t="s">
        <v>170</v>
      </c>
      <c r="B19" s="14">
        <f t="shared" si="0"/>
        <v>0</v>
      </c>
      <c r="C19" s="74"/>
      <c r="D19" s="74"/>
      <c r="E19" s="37"/>
    </row>
    <row r="20" spans="1:5" ht="15" customHeight="1">
      <c r="A20" s="2" t="s">
        <v>36</v>
      </c>
      <c r="B20" s="14">
        <f t="shared" si="0"/>
        <v>0</v>
      </c>
      <c r="C20" s="74"/>
      <c r="D20" s="74"/>
      <c r="E20" s="37"/>
    </row>
    <row r="21" spans="1:5" ht="15" customHeight="1">
      <c r="A21" s="2" t="s">
        <v>19</v>
      </c>
      <c r="B21" s="14">
        <f t="shared" si="0"/>
        <v>0</v>
      </c>
      <c r="C21" s="74"/>
      <c r="D21" s="74"/>
      <c r="E21" s="37"/>
    </row>
    <row r="22" spans="1:5" ht="15" customHeight="1">
      <c r="A22" s="2" t="s">
        <v>45</v>
      </c>
      <c r="B22" s="14">
        <f t="shared" si="0"/>
        <v>0</v>
      </c>
      <c r="C22" s="74"/>
      <c r="D22" s="74"/>
      <c r="E22" s="37"/>
    </row>
    <row r="23" spans="1:5" ht="15" customHeight="1">
      <c r="A23" s="2" t="s">
        <v>11</v>
      </c>
      <c r="B23" s="14">
        <f t="shared" si="0"/>
        <v>0</v>
      </c>
      <c r="C23" s="74"/>
      <c r="D23" s="74"/>
      <c r="E23" s="37"/>
    </row>
    <row r="24" spans="1:5" ht="15" customHeight="1">
      <c r="A24" s="2" t="s">
        <v>4</v>
      </c>
      <c r="B24" s="14">
        <f t="shared" si="0"/>
        <v>0</v>
      </c>
      <c r="C24" s="74"/>
      <c r="D24" s="74"/>
      <c r="E24" s="37"/>
    </row>
    <row r="25" spans="1:5" ht="15" customHeight="1">
      <c r="A25" s="2" t="s">
        <v>20</v>
      </c>
      <c r="B25" s="14">
        <f t="shared" si="0"/>
        <v>0</v>
      </c>
      <c r="C25" s="74"/>
      <c r="D25" s="74"/>
      <c r="E25" s="37"/>
    </row>
    <row r="26" spans="1:5" s="10" customFormat="1" ht="15" customHeight="1">
      <c r="A26" s="2" t="s">
        <v>31</v>
      </c>
      <c r="B26" s="14">
        <f t="shared" si="0"/>
        <v>0</v>
      </c>
      <c r="C26" s="74"/>
      <c r="D26" s="74"/>
      <c r="E26" s="37"/>
    </row>
    <row r="27" spans="1:5" ht="15" customHeight="1">
      <c r="A27" s="2" t="s">
        <v>21</v>
      </c>
      <c r="B27" s="14">
        <f t="shared" si="0"/>
        <v>0</v>
      </c>
      <c r="C27" s="74"/>
      <c r="D27" s="74"/>
      <c r="E27" s="37"/>
    </row>
    <row r="28" spans="1:5" ht="15" customHeight="1">
      <c r="A28" s="2" t="s">
        <v>30</v>
      </c>
      <c r="B28" s="14">
        <f t="shared" si="0"/>
        <v>0</v>
      </c>
      <c r="C28" s="74"/>
      <c r="D28" s="74"/>
      <c r="E28" s="37"/>
    </row>
    <row r="29" spans="1:5" ht="15" customHeight="1">
      <c r="A29" s="2" t="s">
        <v>34</v>
      </c>
      <c r="B29" s="14">
        <f t="shared" si="0"/>
        <v>0</v>
      </c>
      <c r="C29" s="74"/>
      <c r="D29" s="74"/>
      <c r="E29" s="37"/>
    </row>
    <row r="30" spans="1:5" ht="15" customHeight="1">
      <c r="A30" s="2" t="s">
        <v>38</v>
      </c>
      <c r="B30" s="14">
        <f t="shared" si="0"/>
        <v>0</v>
      </c>
      <c r="C30" s="74"/>
      <c r="D30" s="74"/>
      <c r="E30" s="37"/>
    </row>
    <row r="31" spans="1:5" ht="15" customHeight="1">
      <c r="A31" s="2" t="s">
        <v>5</v>
      </c>
      <c r="B31" s="14">
        <f t="shared" si="0"/>
        <v>0</v>
      </c>
      <c r="C31" s="74"/>
      <c r="D31" s="74"/>
      <c r="E31" s="37"/>
    </row>
    <row r="32" spans="1:5" ht="15" customHeight="1">
      <c r="A32" s="2" t="s">
        <v>32</v>
      </c>
      <c r="B32" s="14">
        <f t="shared" si="0"/>
        <v>0</v>
      </c>
      <c r="C32" s="74"/>
      <c r="D32" s="74"/>
      <c r="E32" s="37"/>
    </row>
    <row r="33" spans="1:5" ht="15" customHeight="1">
      <c r="A33" s="2" t="s">
        <v>12</v>
      </c>
      <c r="B33" s="14">
        <f t="shared" si="0"/>
        <v>0</v>
      </c>
      <c r="C33" s="74"/>
      <c r="D33" s="74"/>
      <c r="E33" s="37"/>
    </row>
    <row r="34" spans="1:5" ht="15" customHeight="1">
      <c r="A34" s="2" t="s">
        <v>29</v>
      </c>
      <c r="B34" s="14">
        <f t="shared" si="0"/>
        <v>0</v>
      </c>
      <c r="C34" s="74"/>
      <c r="D34" s="74"/>
      <c r="E34" s="37"/>
    </row>
    <row r="35" spans="1:5" ht="15" customHeight="1">
      <c r="A35" s="2" t="s">
        <v>33</v>
      </c>
      <c r="B35" s="14">
        <f t="shared" si="0"/>
        <v>0</v>
      </c>
      <c r="C35" s="74"/>
      <c r="D35" s="74"/>
      <c r="E35" s="37"/>
    </row>
    <row r="36" spans="1:5" ht="15" customHeight="1">
      <c r="A36" s="2" t="s">
        <v>10</v>
      </c>
      <c r="B36" s="14">
        <f t="shared" si="0"/>
        <v>0</v>
      </c>
      <c r="C36" s="74"/>
      <c r="D36" s="74"/>
      <c r="E36" s="37"/>
    </row>
    <row r="37" spans="1:5" ht="15" customHeight="1">
      <c r="A37" s="2" t="s">
        <v>7</v>
      </c>
      <c r="B37" s="14">
        <f t="shared" si="0"/>
        <v>0</v>
      </c>
      <c r="C37" s="74"/>
      <c r="D37" s="74"/>
      <c r="E37" s="37"/>
    </row>
    <row r="38" spans="1:5" ht="15" customHeight="1">
      <c r="A38" s="2" t="s">
        <v>43</v>
      </c>
      <c r="B38" s="14">
        <f t="shared" si="0"/>
        <v>0</v>
      </c>
      <c r="C38" s="74"/>
      <c r="D38" s="74"/>
      <c r="E38" s="37"/>
    </row>
    <row r="39" spans="1:5" ht="15" customHeight="1">
      <c r="A39" s="2" t="s">
        <v>6</v>
      </c>
      <c r="B39" s="14">
        <f t="shared" si="0"/>
        <v>0</v>
      </c>
      <c r="C39" s="74"/>
      <c r="D39" s="74"/>
      <c r="E39" s="37"/>
    </row>
    <row r="40" spans="1:5" ht="15" customHeight="1">
      <c r="A40" s="2" t="s">
        <v>15</v>
      </c>
      <c r="B40" s="14">
        <f t="shared" si="0"/>
        <v>0</v>
      </c>
      <c r="C40" s="74"/>
      <c r="D40" s="74"/>
      <c r="E40" s="37"/>
    </row>
    <row r="41" spans="1:5" ht="15" customHeight="1">
      <c r="A41" s="2" t="s">
        <v>3</v>
      </c>
      <c r="B41" s="14">
        <f t="shared" si="0"/>
        <v>0</v>
      </c>
      <c r="C41" s="74"/>
      <c r="D41" s="74"/>
      <c r="E41" s="37"/>
    </row>
    <row r="42" spans="1:5" ht="15" customHeight="1">
      <c r="A42" s="2" t="s">
        <v>24</v>
      </c>
      <c r="B42" s="14">
        <f t="shared" si="0"/>
        <v>0</v>
      </c>
      <c r="C42" s="74"/>
      <c r="D42" s="74"/>
      <c r="E42" s="37"/>
    </row>
    <row r="43" spans="1:5" ht="15" customHeight="1">
      <c r="A43" s="2" t="s">
        <v>22</v>
      </c>
      <c r="B43" s="14">
        <f t="shared" si="0"/>
        <v>0</v>
      </c>
      <c r="C43" s="74"/>
      <c r="D43" s="74"/>
      <c r="E43" s="37"/>
    </row>
    <row r="44" spans="1:5" ht="15" customHeight="1">
      <c r="A44" s="101" t="s">
        <v>166</v>
      </c>
      <c r="B44" s="14">
        <f t="shared" si="0"/>
        <v>0</v>
      </c>
      <c r="C44" s="74"/>
      <c r="D44" s="74"/>
      <c r="E44" s="37"/>
    </row>
    <row r="45" spans="1:5" ht="15" customHeight="1">
      <c r="A45" s="2" t="s">
        <v>88</v>
      </c>
      <c r="B45" s="14">
        <f t="shared" si="0"/>
        <v>0</v>
      </c>
      <c r="C45" s="74"/>
      <c r="D45" s="74"/>
      <c r="E45" s="37"/>
    </row>
    <row r="46" spans="1:5" ht="15" customHeight="1">
      <c r="A46" s="2" t="s">
        <v>8</v>
      </c>
      <c r="B46" s="14">
        <f t="shared" si="0"/>
        <v>0</v>
      </c>
      <c r="C46" s="74"/>
      <c r="D46" s="74"/>
      <c r="E46" s="37"/>
    </row>
    <row r="47" spans="1:5" ht="15" customHeight="1">
      <c r="A47" s="2" t="s">
        <v>35</v>
      </c>
      <c r="B47" s="14">
        <f t="shared" si="0"/>
        <v>0</v>
      </c>
      <c r="C47" s="74"/>
      <c r="D47" s="74"/>
      <c r="E47" s="37"/>
    </row>
    <row r="48" spans="1:5" ht="15" customHeight="1">
      <c r="A48" s="2" t="s">
        <v>2</v>
      </c>
      <c r="B48" s="14">
        <f t="shared" si="0"/>
        <v>0</v>
      </c>
      <c r="C48" s="74"/>
      <c r="D48" s="74"/>
      <c r="E48" s="37"/>
    </row>
    <row r="49" spans="1:5" ht="15" customHeight="1">
      <c r="A49" s="2" t="s">
        <v>42</v>
      </c>
      <c r="B49" s="14">
        <f t="shared" si="0"/>
        <v>0</v>
      </c>
      <c r="C49" s="74"/>
      <c r="D49" s="74"/>
      <c r="E49" s="37"/>
    </row>
    <row r="50" spans="1:5" ht="15" customHeight="1">
      <c r="A50" s="2" t="s">
        <v>23</v>
      </c>
      <c r="B50" s="14">
        <f t="shared" si="0"/>
        <v>0</v>
      </c>
      <c r="C50" s="74"/>
      <c r="D50" s="74"/>
      <c r="E50" s="37"/>
    </row>
    <row r="51" spans="1:5" ht="15" customHeight="1"/>
    <row r="52" spans="1:5" ht="18" customHeight="1">
      <c r="A52" s="23" t="s">
        <v>60</v>
      </c>
      <c r="B52" s="24">
        <f>SUMIF(B4:B50,"&gt;0")</f>
        <v>0</v>
      </c>
      <c r="C52" s="24">
        <f t="shared" ref="C52" si="1">SUMIF(C4:C50,"&gt;0")</f>
        <v>0</v>
      </c>
      <c r="D52" s="24">
        <f t="shared" ref="D52:E52" si="2">SUMIF(D4:D50,"&gt;0")</f>
        <v>0</v>
      </c>
      <c r="E52" s="24">
        <f t="shared" si="2"/>
        <v>0</v>
      </c>
    </row>
    <row r="53" spans="1:5" ht="18" customHeight="1">
      <c r="A53" s="23" t="s">
        <v>61</v>
      </c>
      <c r="B53" s="24">
        <f>SUMIF(B4:B50,"&lt;0")</f>
        <v>0</v>
      </c>
      <c r="C53" s="24">
        <f t="shared" ref="C53" si="3">SUMIF(C4:C50,"&lt;0")</f>
        <v>0</v>
      </c>
      <c r="D53" s="24">
        <f t="shared" ref="D53:E53" si="4">SUMIF(D4:D50,"&lt;0")</f>
        <v>0</v>
      </c>
      <c r="E53" s="24">
        <f t="shared" si="4"/>
        <v>0</v>
      </c>
    </row>
    <row r="54" spans="1:5">
      <c r="A54" s="23" t="s">
        <v>58</v>
      </c>
      <c r="B54" s="24">
        <f t="shared" ref="B54" si="5">B52+B53</f>
        <v>0</v>
      </c>
      <c r="C54" s="24">
        <f t="shared" ref="C54" si="6">C52+C53</f>
        <v>0</v>
      </c>
      <c r="D54" s="24">
        <f t="shared" ref="D54:E54" si="7">D52+D53</f>
        <v>0</v>
      </c>
      <c r="E54" s="24">
        <f t="shared" si="7"/>
        <v>0</v>
      </c>
    </row>
    <row r="55" spans="1:5">
      <c r="A55" s="5"/>
      <c r="B55" s="8"/>
    </row>
    <row r="56" spans="1:5">
      <c r="A56" s="5"/>
      <c r="B56" s="5"/>
      <c r="C56" s="5"/>
    </row>
    <row r="57" spans="1:5">
      <c r="B57" s="5"/>
    </row>
    <row r="58" spans="1:5">
      <c r="A58" s="6"/>
      <c r="B58" s="5"/>
    </row>
    <row r="59" spans="1:5">
      <c r="B59" s="5"/>
    </row>
    <row r="60" spans="1:5">
      <c r="B60" s="5"/>
    </row>
    <row r="61" spans="1:5">
      <c r="B61" s="5"/>
    </row>
    <row r="62" spans="1:5">
      <c r="B62" s="5"/>
    </row>
    <row r="63" spans="1:5">
      <c r="B63" s="5"/>
    </row>
    <row r="64" spans="1:5">
      <c r="B64" s="5"/>
    </row>
  </sheetData>
  <pageMargins left="0.43307086614173201" right="0.43307086614173201" top="0.43307086614173201" bottom="0.43307086614173201" header="0.511811023622047" footer="0.511811023622047"/>
  <pageSetup paperSize="9" scale="59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pageSetUpPr fitToPage="1"/>
  </sheetPr>
  <dimension ref="B2:I58"/>
  <sheetViews>
    <sheetView showGridLines="0" zoomScaleNormal="100" workbookViewId="0">
      <pane ySplit="3" topLeftCell="A4" activePane="bottomLeft" state="frozen"/>
      <selection pane="bottomLeft" sqref="A1:XFD1048576"/>
    </sheetView>
  </sheetViews>
  <sheetFormatPr defaultRowHeight="12.75"/>
  <cols>
    <col min="1" max="1" width="7.42578125" style="30" customWidth="1"/>
    <col min="2" max="2" width="17.85546875" style="30" bestFit="1" customWidth="1"/>
    <col min="3" max="3" width="17.85546875" style="30" customWidth="1"/>
    <col min="4" max="4" width="19" style="30" customWidth="1"/>
    <col min="5" max="5" width="20.7109375" style="30" customWidth="1"/>
    <col min="6" max="6" width="21.5703125" style="30" customWidth="1"/>
    <col min="7" max="7" width="19.7109375" style="30" customWidth="1"/>
    <col min="8" max="8" width="21.85546875" style="30" customWidth="1"/>
    <col min="9" max="9" width="20.85546875" style="30" customWidth="1"/>
    <col min="10" max="16384" width="9.140625" style="30"/>
  </cols>
  <sheetData>
    <row r="2" spans="2:9">
      <c r="D2" s="31"/>
      <c r="E2" s="31"/>
      <c r="F2" s="31"/>
      <c r="G2" s="31"/>
      <c r="H2" s="31"/>
      <c r="I2" s="31"/>
    </row>
    <row r="3" spans="2:9">
      <c r="B3" s="23" t="s">
        <v>0</v>
      </c>
      <c r="C3" s="25" t="s">
        <v>49</v>
      </c>
      <c r="D3" s="44"/>
    </row>
    <row r="4" spans="2:9" ht="15" customHeight="1">
      <c r="B4" s="158" t="s">
        <v>257</v>
      </c>
      <c r="C4" s="125">
        <f t="shared" ref="C4:C43" si="0">SUM(D4:D4)</f>
        <v>0</v>
      </c>
      <c r="D4" s="126"/>
    </row>
    <row r="5" spans="2:9" ht="15" customHeight="1">
      <c r="B5" s="2" t="s">
        <v>44</v>
      </c>
      <c r="C5" s="125">
        <f t="shared" si="0"/>
        <v>0</v>
      </c>
      <c r="D5" s="127"/>
    </row>
    <row r="6" spans="2:9" ht="15" customHeight="1">
      <c r="B6" s="2" t="s">
        <v>1</v>
      </c>
      <c r="C6" s="125">
        <f t="shared" si="0"/>
        <v>0</v>
      </c>
      <c r="D6" s="126"/>
    </row>
    <row r="7" spans="2:9" ht="15" customHeight="1">
      <c r="B7" s="2" t="s">
        <v>9</v>
      </c>
      <c r="C7" s="125">
        <f t="shared" si="0"/>
        <v>0</v>
      </c>
      <c r="D7" s="126"/>
    </row>
    <row r="8" spans="2:9" ht="15" customHeight="1">
      <c r="B8" s="2" t="s">
        <v>41</v>
      </c>
      <c r="C8" s="125">
        <f t="shared" si="0"/>
        <v>0</v>
      </c>
      <c r="D8" s="126"/>
    </row>
    <row r="9" spans="2:9" ht="15" customHeight="1">
      <c r="B9" s="2" t="s">
        <v>75</v>
      </c>
      <c r="C9" s="125">
        <f t="shared" si="0"/>
        <v>0</v>
      </c>
      <c r="D9" s="126"/>
    </row>
    <row r="10" spans="2:9" ht="15" customHeight="1">
      <c r="B10" s="2" t="s">
        <v>14</v>
      </c>
      <c r="C10" s="125">
        <f t="shared" si="0"/>
        <v>0</v>
      </c>
      <c r="D10" s="126"/>
    </row>
    <row r="11" spans="2:9" ht="15" customHeight="1">
      <c r="B11" s="2" t="s">
        <v>37</v>
      </c>
      <c r="C11" s="125">
        <f t="shared" si="0"/>
        <v>0</v>
      </c>
      <c r="D11" s="126"/>
    </row>
    <row r="12" spans="2:9" ht="15" customHeight="1">
      <c r="B12" s="2" t="s">
        <v>39</v>
      </c>
      <c r="C12" s="125">
        <f t="shared" si="0"/>
        <v>0</v>
      </c>
      <c r="D12" s="126"/>
    </row>
    <row r="13" spans="2:9" ht="15" customHeight="1">
      <c r="B13" s="2" t="s">
        <v>40</v>
      </c>
      <c r="C13" s="125">
        <f t="shared" si="0"/>
        <v>0</v>
      </c>
      <c r="D13" s="126"/>
    </row>
    <row r="14" spans="2:9" ht="15" customHeight="1">
      <c r="B14" s="2" t="s">
        <v>16</v>
      </c>
      <c r="C14" s="125">
        <f t="shared" si="0"/>
        <v>0</v>
      </c>
      <c r="D14" s="126"/>
    </row>
    <row r="15" spans="2:9" ht="15" customHeight="1">
      <c r="B15" s="2" t="s">
        <v>28</v>
      </c>
      <c r="C15" s="125">
        <f t="shared" si="0"/>
        <v>0</v>
      </c>
      <c r="D15" s="126"/>
    </row>
    <row r="16" spans="2:9" ht="15" customHeight="1">
      <c r="B16" s="2" t="s">
        <v>17</v>
      </c>
      <c r="C16" s="125">
        <f t="shared" si="0"/>
        <v>0</v>
      </c>
      <c r="D16" s="126"/>
    </row>
    <row r="17" spans="2:4" ht="15" customHeight="1">
      <c r="B17" s="101" t="s">
        <v>171</v>
      </c>
      <c r="C17" s="125">
        <f t="shared" si="0"/>
        <v>0</v>
      </c>
      <c r="D17" s="126"/>
    </row>
    <row r="18" spans="2:4" ht="15" customHeight="1">
      <c r="B18" s="2" t="s">
        <v>18</v>
      </c>
      <c r="C18" s="125">
        <f t="shared" si="0"/>
        <v>0</v>
      </c>
      <c r="D18" s="126"/>
    </row>
    <row r="19" spans="2:4" ht="15" customHeight="1">
      <c r="B19" s="101" t="s">
        <v>170</v>
      </c>
      <c r="C19" s="125">
        <f t="shared" si="0"/>
        <v>0</v>
      </c>
      <c r="D19" s="126"/>
    </row>
    <row r="20" spans="2:4" ht="15" customHeight="1">
      <c r="B20" s="2" t="s">
        <v>36</v>
      </c>
      <c r="C20" s="125">
        <f t="shared" si="0"/>
        <v>0</v>
      </c>
      <c r="D20" s="126"/>
    </row>
    <row r="21" spans="2:4" ht="15" customHeight="1">
      <c r="B21" s="2" t="s">
        <v>19</v>
      </c>
      <c r="C21" s="125">
        <f t="shared" si="0"/>
        <v>0</v>
      </c>
      <c r="D21" s="126"/>
    </row>
    <row r="22" spans="2:4" ht="15" customHeight="1">
      <c r="B22" s="2" t="s">
        <v>45</v>
      </c>
      <c r="C22" s="125">
        <f t="shared" si="0"/>
        <v>0</v>
      </c>
      <c r="D22" s="126"/>
    </row>
    <row r="23" spans="2:4" ht="15" customHeight="1">
      <c r="B23" s="2" t="s">
        <v>11</v>
      </c>
      <c r="C23" s="125">
        <f t="shared" si="0"/>
        <v>0</v>
      </c>
      <c r="D23" s="126"/>
    </row>
    <row r="24" spans="2:4" ht="15" customHeight="1">
      <c r="B24" s="2" t="s">
        <v>4</v>
      </c>
      <c r="C24" s="125">
        <f t="shared" si="0"/>
        <v>0</v>
      </c>
      <c r="D24" s="126"/>
    </row>
    <row r="25" spans="2:4" ht="15" customHeight="1">
      <c r="B25" s="2" t="s">
        <v>20</v>
      </c>
      <c r="C25" s="125">
        <f t="shared" si="0"/>
        <v>0</v>
      </c>
      <c r="D25" s="126"/>
    </row>
    <row r="26" spans="2:4" s="32" customFormat="1" ht="15" customHeight="1">
      <c r="B26" s="2" t="s">
        <v>31</v>
      </c>
      <c r="C26" s="125">
        <f t="shared" si="0"/>
        <v>0</v>
      </c>
      <c r="D26" s="126"/>
    </row>
    <row r="27" spans="2:4" ht="15" customHeight="1">
      <c r="B27" s="2" t="s">
        <v>21</v>
      </c>
      <c r="C27" s="125">
        <f t="shared" si="0"/>
        <v>0</v>
      </c>
      <c r="D27" s="126"/>
    </row>
    <row r="28" spans="2:4" ht="15" customHeight="1">
      <c r="B28" s="2" t="s">
        <v>30</v>
      </c>
      <c r="C28" s="125">
        <f t="shared" si="0"/>
        <v>0</v>
      </c>
      <c r="D28" s="126"/>
    </row>
    <row r="29" spans="2:4" ht="15" customHeight="1">
      <c r="B29" s="2" t="s">
        <v>34</v>
      </c>
      <c r="C29" s="125">
        <f t="shared" si="0"/>
        <v>0</v>
      </c>
      <c r="D29" s="126"/>
    </row>
    <row r="30" spans="2:4" ht="15" customHeight="1">
      <c r="B30" s="2" t="s">
        <v>38</v>
      </c>
      <c r="C30" s="125">
        <f t="shared" si="0"/>
        <v>0</v>
      </c>
      <c r="D30" s="126"/>
    </row>
    <row r="31" spans="2:4" ht="15" customHeight="1">
      <c r="B31" s="2" t="s">
        <v>5</v>
      </c>
      <c r="C31" s="125">
        <f t="shared" si="0"/>
        <v>0</v>
      </c>
      <c r="D31" s="126"/>
    </row>
    <row r="32" spans="2:4" ht="15" customHeight="1">
      <c r="B32" s="2" t="s">
        <v>32</v>
      </c>
      <c r="C32" s="125">
        <f t="shared" si="0"/>
        <v>0</v>
      </c>
      <c r="D32" s="126"/>
    </row>
    <row r="33" spans="2:4" ht="15" customHeight="1">
      <c r="B33" s="2" t="s">
        <v>12</v>
      </c>
      <c r="C33" s="125">
        <f t="shared" si="0"/>
        <v>0</v>
      </c>
      <c r="D33" s="126"/>
    </row>
    <row r="34" spans="2:4" ht="15" customHeight="1">
      <c r="B34" s="2" t="s">
        <v>29</v>
      </c>
      <c r="C34" s="125">
        <f t="shared" si="0"/>
        <v>0</v>
      </c>
      <c r="D34" s="126"/>
    </row>
    <row r="35" spans="2:4" ht="15" customHeight="1">
      <c r="B35" s="2" t="s">
        <v>33</v>
      </c>
      <c r="C35" s="125">
        <f t="shared" si="0"/>
        <v>0</v>
      </c>
      <c r="D35" s="126"/>
    </row>
    <row r="36" spans="2:4" ht="15" customHeight="1">
      <c r="B36" s="2" t="s">
        <v>10</v>
      </c>
      <c r="C36" s="125">
        <f t="shared" si="0"/>
        <v>0</v>
      </c>
      <c r="D36" s="126"/>
    </row>
    <row r="37" spans="2:4" ht="15" customHeight="1">
      <c r="B37" s="2" t="s">
        <v>7</v>
      </c>
      <c r="C37" s="125">
        <f t="shared" si="0"/>
        <v>0</v>
      </c>
      <c r="D37" s="126"/>
    </row>
    <row r="38" spans="2:4" ht="15" customHeight="1">
      <c r="B38" s="2" t="s">
        <v>43</v>
      </c>
      <c r="C38" s="125">
        <f t="shared" si="0"/>
        <v>0</v>
      </c>
      <c r="D38" s="126"/>
    </row>
    <row r="39" spans="2:4" ht="15" customHeight="1">
      <c r="B39" s="2" t="s">
        <v>6</v>
      </c>
      <c r="C39" s="125">
        <f t="shared" si="0"/>
        <v>0</v>
      </c>
      <c r="D39" s="126"/>
    </row>
    <row r="40" spans="2:4" ht="15" customHeight="1">
      <c r="B40" s="2" t="s">
        <v>15</v>
      </c>
      <c r="C40" s="125">
        <f t="shared" si="0"/>
        <v>0</v>
      </c>
      <c r="D40" s="126"/>
    </row>
    <row r="41" spans="2:4" ht="15" customHeight="1">
      <c r="B41" s="2" t="s">
        <v>3</v>
      </c>
      <c r="C41" s="125">
        <f t="shared" si="0"/>
        <v>0</v>
      </c>
      <c r="D41" s="126"/>
    </row>
    <row r="42" spans="2:4" ht="15" customHeight="1">
      <c r="B42" s="2" t="s">
        <v>24</v>
      </c>
      <c r="C42" s="125">
        <f t="shared" si="0"/>
        <v>0</v>
      </c>
      <c r="D42" s="126"/>
    </row>
    <row r="43" spans="2:4" ht="15" customHeight="1">
      <c r="B43" s="2" t="s">
        <v>22</v>
      </c>
      <c r="C43" s="125">
        <f t="shared" si="0"/>
        <v>0</v>
      </c>
      <c r="D43" s="126"/>
    </row>
    <row r="44" spans="2:4" ht="15" customHeight="1">
      <c r="B44" s="101" t="s">
        <v>166</v>
      </c>
      <c r="C44" s="125">
        <f t="shared" ref="C44:C46" si="1">SUM(D44:D44)</f>
        <v>0</v>
      </c>
      <c r="D44" s="126"/>
    </row>
    <row r="45" spans="2:4" ht="15" customHeight="1">
      <c r="B45" s="2" t="s">
        <v>88</v>
      </c>
      <c r="C45" s="125">
        <f t="shared" si="1"/>
        <v>0</v>
      </c>
      <c r="D45" s="126"/>
    </row>
    <row r="46" spans="2:4" ht="15" customHeight="1">
      <c r="B46" s="2" t="s">
        <v>8</v>
      </c>
      <c r="C46" s="125">
        <f t="shared" si="1"/>
        <v>0</v>
      </c>
      <c r="D46" s="126"/>
    </row>
    <row r="47" spans="2:4" ht="15" customHeight="1">
      <c r="B47" s="2" t="s">
        <v>35</v>
      </c>
      <c r="C47" s="125">
        <f>SUM(D47:D47)</f>
        <v>0</v>
      </c>
      <c r="D47" s="126"/>
    </row>
    <row r="48" spans="2:4" ht="15" customHeight="1">
      <c r="B48" s="2" t="s">
        <v>2</v>
      </c>
      <c r="C48" s="125">
        <f>SUM(D48:D48)</f>
        <v>0</v>
      </c>
      <c r="D48" s="126"/>
    </row>
    <row r="49" spans="2:4" ht="15" customHeight="1">
      <c r="B49" s="2" t="s">
        <v>42</v>
      </c>
      <c r="C49" s="125">
        <f>SUM(D49:D49)</f>
        <v>0</v>
      </c>
      <c r="D49" s="126"/>
    </row>
    <row r="50" spans="2:4" ht="15" customHeight="1">
      <c r="B50" s="2" t="s">
        <v>23</v>
      </c>
      <c r="C50" s="125">
        <f>SUM(D50:D50)</f>
        <v>0</v>
      </c>
      <c r="D50" s="126"/>
    </row>
    <row r="51" spans="2:4" ht="15" customHeight="1">
      <c r="B51" s="33"/>
      <c r="C51" s="33"/>
    </row>
    <row r="52" spans="2:4" ht="18" customHeight="1">
      <c r="B52" s="23" t="s">
        <v>63</v>
      </c>
      <c r="C52" s="34">
        <f t="shared" ref="C52" si="2">SUMIF(C4:C50,"&gt;0")</f>
        <v>0</v>
      </c>
      <c r="D52" s="34">
        <f t="shared" ref="D52" si="3">SUMIF(D4:D50,"&gt;0")</f>
        <v>0</v>
      </c>
    </row>
    <row r="53" spans="2:4">
      <c r="B53" s="23" t="s">
        <v>64</v>
      </c>
      <c r="C53" s="34">
        <f t="shared" ref="C53" si="4">SUMIF(C4:C50,"&lt;0")</f>
        <v>0</v>
      </c>
      <c r="D53" s="34">
        <f t="shared" ref="D53" si="5">SUMIF(D4:D50,"&lt;0")</f>
        <v>0</v>
      </c>
    </row>
    <row r="54" spans="2:4">
      <c r="B54" s="23" t="s">
        <v>58</v>
      </c>
      <c r="C54" s="34">
        <f t="shared" ref="C54" si="6">C52+C53</f>
        <v>0</v>
      </c>
      <c r="D54" s="34">
        <f t="shared" ref="D54" si="7">D52+D53</f>
        <v>0</v>
      </c>
    </row>
    <row r="55" spans="2:4">
      <c r="B55" s="5"/>
      <c r="C55" s="5"/>
    </row>
    <row r="56" spans="2:4" ht="38.25" customHeight="1">
      <c r="B56" s="5"/>
      <c r="C56" s="5"/>
    </row>
    <row r="58" spans="2:4">
      <c r="B58" s="35"/>
      <c r="C58" s="35"/>
    </row>
  </sheetData>
  <pageMargins left="0.43307086614173201" right="0.43307086614173201" top="0.43307086614173201" bottom="0.43307086614173201" header="0.511811023622047" footer="0.511811023622047"/>
  <pageSetup paperSize="9" scale="5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pageSetUpPr fitToPage="1"/>
  </sheetPr>
  <dimension ref="A1:Q62"/>
  <sheetViews>
    <sheetView showGridLines="0" zoomScaleNormal="100" workbookViewId="0">
      <pane xSplit="1" ySplit="1" topLeftCell="B50" activePane="bottomRight" state="frozen"/>
      <selection pane="topRight" activeCell="B1" sqref="B1"/>
      <selection pane="bottomLeft" activeCell="A2" sqref="A2"/>
      <selection pane="bottomRight" activeCell="A56" sqref="A56"/>
    </sheetView>
  </sheetViews>
  <sheetFormatPr defaultRowHeight="11.25"/>
  <cols>
    <col min="1" max="1" width="17.7109375" style="7" bestFit="1" customWidth="1"/>
    <col min="2" max="2" width="17.7109375" style="7" customWidth="1"/>
    <col min="3" max="3" width="24.140625" style="7" customWidth="1"/>
    <col min="4" max="5" width="21.42578125" style="7" customWidth="1"/>
    <col min="6" max="6" width="18.85546875" style="7" bestFit="1" customWidth="1"/>
    <col min="7" max="7" width="23.7109375" style="7" customWidth="1"/>
    <col min="8" max="8" width="20.7109375" style="7" bestFit="1" customWidth="1"/>
    <col min="9" max="10" width="20.7109375" style="7" customWidth="1"/>
    <col min="11" max="11" width="12.5703125" style="7" customWidth="1"/>
    <col min="12" max="12" width="15.7109375" style="7" bestFit="1" customWidth="1"/>
    <col min="13" max="13" width="20.85546875" style="7" customWidth="1"/>
    <col min="14" max="17" width="19" style="7" customWidth="1"/>
    <col min="18" max="18" width="20" style="7" customWidth="1"/>
    <col min="19" max="19" width="21.7109375" style="7" customWidth="1"/>
    <col min="20" max="20" width="20.28515625" style="7" customWidth="1"/>
    <col min="21" max="21" width="19.7109375" style="7" customWidth="1"/>
    <col min="22" max="22" width="21" style="7" customWidth="1"/>
    <col min="23" max="23" width="21.7109375" style="7" customWidth="1"/>
    <col min="24" max="24" width="20" style="7" customWidth="1"/>
    <col min="25" max="25" width="21" style="7" customWidth="1"/>
    <col min="26" max="26" width="20.7109375" style="7" customWidth="1"/>
    <col min="27" max="27" width="21.5703125" style="7" customWidth="1"/>
    <col min="28" max="28" width="19.7109375" style="7" customWidth="1"/>
    <col min="29" max="29" width="21.85546875" style="7" customWidth="1"/>
    <col min="30" max="30" width="20.85546875" style="7" customWidth="1"/>
    <col min="31" max="16384" width="9.140625" style="7"/>
  </cols>
  <sheetData>
    <row r="1" spans="1:17" ht="45">
      <c r="A1" s="1" t="s">
        <v>0</v>
      </c>
      <c r="B1" s="23" t="s">
        <v>117</v>
      </c>
      <c r="C1" s="23" t="s">
        <v>59</v>
      </c>
      <c r="D1" s="1" t="s">
        <v>47</v>
      </c>
      <c r="E1" s="23" t="s">
        <v>57</v>
      </c>
      <c r="F1" s="23" t="s">
        <v>68</v>
      </c>
      <c r="G1" s="1" t="s">
        <v>55</v>
      </c>
      <c r="H1" s="1" t="s">
        <v>46</v>
      </c>
      <c r="I1" s="23" t="s">
        <v>69</v>
      </c>
      <c r="J1" s="23" t="s">
        <v>70</v>
      </c>
      <c r="K1" s="1" t="s">
        <v>48</v>
      </c>
      <c r="L1" s="23" t="s">
        <v>118</v>
      </c>
      <c r="M1" s="141" t="s">
        <v>252</v>
      </c>
    </row>
    <row r="2" spans="1:17" ht="15" customHeight="1">
      <c r="A2" s="158" t="s">
        <v>257</v>
      </c>
      <c r="B2" s="52">
        <v>101</v>
      </c>
      <c r="C2" s="37">
        <v>7791365.5</v>
      </c>
      <c r="D2" s="37">
        <v>-4826223.71</v>
      </c>
      <c r="E2" s="37">
        <v>708558.51</v>
      </c>
      <c r="F2" s="14">
        <f>'MAC (R$)'!B4</f>
        <v>0</v>
      </c>
      <c r="G2" s="14">
        <f t="shared" ref="G2:G23" si="0">SUM(C2:F2)</f>
        <v>3673700.3</v>
      </c>
      <c r="H2" s="37">
        <v>37856.012166000008</v>
      </c>
      <c r="I2" s="14">
        <f>'MAC (MWh)'!C4</f>
        <v>0</v>
      </c>
      <c r="J2" s="14">
        <f>H2+I2</f>
        <v>37856.012166000008</v>
      </c>
      <c r="K2" s="3">
        <f>IF(J2=0, 0,G2/J2)</f>
        <v>97.044038444691125</v>
      </c>
      <c r="L2" s="38">
        <f>IF(VLOOKUP(B2,'CT Exposição e CT CCEAR-D'!$B$4:$G$64,6,FALSE)=".",0,VLOOKUP(B2,'CT Exposição e CT CCEAR-D'!$B$4:$G$64,6,FALSE))</f>
        <v>182.31208241253302</v>
      </c>
      <c r="M2" s="3">
        <f>J2*(K2-L2)</f>
        <v>-3227908.109817646</v>
      </c>
    </row>
    <row r="3" spans="1:17" ht="15" customHeight="1">
      <c r="A3" s="2" t="s">
        <v>44</v>
      </c>
      <c r="B3" s="52">
        <v>102</v>
      </c>
      <c r="C3" s="37">
        <v>69103901.420000002</v>
      </c>
      <c r="D3" s="37">
        <v>-65373850.450000003</v>
      </c>
      <c r="E3" s="37">
        <v>552019.06999999995</v>
      </c>
      <c r="F3" s="14">
        <f>'MAC (R$)'!B5</f>
        <v>0</v>
      </c>
      <c r="G3" s="14">
        <f t="shared" si="0"/>
        <v>4282070.0399999991</v>
      </c>
      <c r="H3" s="37">
        <v>216209.73353800003</v>
      </c>
      <c r="I3" s="14">
        <f>'MAC (MWh)'!C5</f>
        <v>0</v>
      </c>
      <c r="J3" s="14">
        <f t="shared" ref="J3:J23" si="1">H3+I3</f>
        <v>216209.73353800003</v>
      </c>
      <c r="K3" s="3">
        <f t="shared" ref="K3:K22" si="2">IF(J3=0, 0,G3/J3)</f>
        <v>19.805167741198858</v>
      </c>
      <c r="L3" s="38">
        <f>IF(VLOOKUP(B3,'CT Exposição e CT CCEAR-D'!$B$4:$G$64,6,FALSE)=".",0,VLOOKUP(B3,'CT Exposição e CT CCEAR-D'!$B$4:$G$64,6,FALSE))</f>
        <v>195.17461458721388</v>
      </c>
      <c r="M3" s="3">
        <f t="shared" ref="M3:M48" si="3">J3*(K3-L3)</f>
        <v>-37916581.373283371</v>
      </c>
    </row>
    <row r="4" spans="1:17" ht="15" customHeight="1">
      <c r="A4" s="2" t="s">
        <v>1</v>
      </c>
      <c r="B4" s="52">
        <v>103</v>
      </c>
      <c r="C4" s="37">
        <v>-6502148.1900000004</v>
      </c>
      <c r="D4" s="37">
        <v>-2864696.44</v>
      </c>
      <c r="E4" s="37">
        <v>6984955.71</v>
      </c>
      <c r="F4" s="14">
        <f>'MAC (R$)'!B6</f>
        <v>0</v>
      </c>
      <c r="G4" s="14">
        <f t="shared" si="0"/>
        <v>-2381888.9200000009</v>
      </c>
      <c r="H4" s="37">
        <v>-2826.9096080000681</v>
      </c>
      <c r="I4" s="14">
        <f>'MAC (MWh)'!C6</f>
        <v>0</v>
      </c>
      <c r="J4" s="14">
        <f t="shared" si="1"/>
        <v>-2826.9096080000681</v>
      </c>
      <c r="K4" s="3">
        <f t="shared" si="2"/>
        <v>842.57696576477997</v>
      </c>
      <c r="L4" s="38">
        <f>IF(VLOOKUP(B4,'CT Exposição e CT CCEAR-D'!$B$4:$G$64,6,FALSE)=".",0,VLOOKUP(B4,'CT Exposição e CT CCEAR-D'!$B$4:$G$64,6,FALSE))</f>
        <v>167.53401869898437</v>
      </c>
      <c r="M4" s="3">
        <f t="shared" si="3"/>
        <v>-1908285.3928729789</v>
      </c>
    </row>
    <row r="5" spans="1:17" ht="15" customHeight="1">
      <c r="A5" s="2" t="s">
        <v>9</v>
      </c>
      <c r="B5" s="52">
        <v>104</v>
      </c>
      <c r="C5" s="37">
        <v>26001711.710000001</v>
      </c>
      <c r="D5" s="37">
        <v>1092787.1000000001</v>
      </c>
      <c r="E5" s="37">
        <v>5113235.72</v>
      </c>
      <c r="F5" s="14">
        <f>'MAC (R$)'!B7</f>
        <v>0</v>
      </c>
      <c r="G5" s="14">
        <f t="shared" si="0"/>
        <v>32207734.530000001</v>
      </c>
      <c r="H5" s="37">
        <v>160481.16500300003</v>
      </c>
      <c r="I5" s="14">
        <f>'MAC (MWh)'!C7</f>
        <v>0</v>
      </c>
      <c r="J5" s="14">
        <f t="shared" si="1"/>
        <v>160481.16500300003</v>
      </c>
      <c r="K5" s="3">
        <f t="shared" si="2"/>
        <v>200.69479511441676</v>
      </c>
      <c r="L5" s="38">
        <f>IF(VLOOKUP(B5,'CT Exposição e CT CCEAR-D'!$B$4:$G$64,6,FALSE)=".",0,VLOOKUP(B5,'CT Exposição e CT CCEAR-D'!$B$4:$G$64,6,FALSE))</f>
        <v>166.47872688141797</v>
      </c>
      <c r="M5" s="3">
        <f t="shared" si="3"/>
        <v>5491034.4918537866</v>
      </c>
    </row>
    <row r="6" spans="1:17" ht="15" customHeight="1">
      <c r="A6" s="2" t="s">
        <v>41</v>
      </c>
      <c r="B6" s="52">
        <v>106</v>
      </c>
      <c r="C6" s="37">
        <v>-346222.81</v>
      </c>
      <c r="D6" s="37">
        <v>-429121.36</v>
      </c>
      <c r="E6" s="37">
        <v>623664.29</v>
      </c>
      <c r="F6" s="14">
        <f>'MAC (R$)'!B8</f>
        <v>0</v>
      </c>
      <c r="G6" s="14">
        <f t="shared" si="0"/>
        <v>-151679.87999999989</v>
      </c>
      <c r="H6" s="37">
        <v>-386.78701799999749</v>
      </c>
      <c r="I6" s="14">
        <f>'MAC (MWh)'!C8</f>
        <v>0</v>
      </c>
      <c r="J6" s="14">
        <f t="shared" si="1"/>
        <v>-386.78701799999749</v>
      </c>
      <c r="K6" s="3">
        <f t="shared" si="2"/>
        <v>392.15349259731585</v>
      </c>
      <c r="L6" s="38">
        <f>IF(VLOOKUP(B6,'CT Exposição e CT CCEAR-D'!$B$4:$G$64,6,FALSE)=".",0,VLOOKUP(B6,'CT Exposição e CT CCEAR-D'!$B$4:$G$64,6,FALSE))</f>
        <v>167.47355987043611</v>
      </c>
      <c r="M6" s="3">
        <f t="shared" si="3"/>
        <v>-86903.281183869854</v>
      </c>
    </row>
    <row r="7" spans="1:17" ht="15" customHeight="1">
      <c r="A7" s="2" t="s">
        <v>75</v>
      </c>
      <c r="B7" s="53">
        <v>107</v>
      </c>
      <c r="C7" s="37">
        <v>37359978.890000001</v>
      </c>
      <c r="D7" s="37">
        <v>-37316662.539999999</v>
      </c>
      <c r="E7" s="37">
        <v>110926.58</v>
      </c>
      <c r="F7" s="14">
        <f>'MAC (R$)'!B9</f>
        <v>0</v>
      </c>
      <c r="G7" s="14">
        <f t="shared" si="0"/>
        <v>154242.93000000151</v>
      </c>
      <c r="H7" s="37">
        <v>54841.170343999969</v>
      </c>
      <c r="I7" s="14">
        <f>'MAC (MWh)'!C9</f>
        <v>0</v>
      </c>
      <c r="J7" s="14">
        <f t="shared" si="1"/>
        <v>54841.170343999969</v>
      </c>
      <c r="K7" s="3">
        <f t="shared" si="2"/>
        <v>2.8125389927400923</v>
      </c>
      <c r="L7" s="38">
        <f>IF(VLOOKUP(B7,'CT Exposição e CT CCEAR-D'!$B$4:$G$64,6,FALSE)=".",0,VLOOKUP(B7,'CT Exposição e CT CCEAR-D'!$B$4:$G$64,6,FALSE))</f>
        <v>165.07868351144799</v>
      </c>
      <c r="M7" s="3">
        <f t="shared" si="3"/>
        <v>-8898865.2726145778</v>
      </c>
    </row>
    <row r="8" spans="1:17" ht="15" customHeight="1">
      <c r="A8" s="158" t="s">
        <v>14</v>
      </c>
      <c r="B8" s="75">
        <v>108</v>
      </c>
      <c r="C8" s="37">
        <v>-38796796.590000004</v>
      </c>
      <c r="D8" s="37">
        <v>21751219.289999999</v>
      </c>
      <c r="E8" s="37">
        <v>357072.6</v>
      </c>
      <c r="F8" s="14">
        <f>'MAC (R$)'!B10</f>
        <v>0</v>
      </c>
      <c r="G8" s="14">
        <f t="shared" si="0"/>
        <v>-16688504.700000005</v>
      </c>
      <c r="H8" s="37">
        <v>-45764.401918999916</v>
      </c>
      <c r="I8" s="14">
        <f>'MAC (MWh)'!C10</f>
        <v>0</v>
      </c>
      <c r="J8" s="14">
        <f t="shared" si="1"/>
        <v>-45764.401918999916</v>
      </c>
      <c r="K8" s="3">
        <f t="shared" si="2"/>
        <v>364.66126509284658</v>
      </c>
      <c r="L8" s="38">
        <f>IF(VLOOKUP(B8,'CT Exposição e CT CCEAR-D'!$B$4:$G$64,6,FALSE)=".",0,VLOOKUP(B8,'CT Exposição e CT CCEAR-D'!$B$4:$G$64,6,FALSE))</f>
        <v>160.05684253793657</v>
      </c>
      <c r="M8" s="3">
        <f t="shared" si="3"/>
        <v>-9363599.0282077938</v>
      </c>
    </row>
    <row r="9" spans="1:17" ht="15" customHeight="1">
      <c r="A9" s="158" t="s">
        <v>37</v>
      </c>
      <c r="B9" s="75">
        <v>109</v>
      </c>
      <c r="C9" s="37">
        <v>25271723.100000001</v>
      </c>
      <c r="D9" s="37">
        <v>1484639.55</v>
      </c>
      <c r="E9" s="37">
        <v>3353605.7</v>
      </c>
      <c r="F9" s="14">
        <f>'MAC (R$)'!B11</f>
        <v>0</v>
      </c>
      <c r="G9" s="14">
        <f t="shared" si="0"/>
        <v>30109968.350000001</v>
      </c>
      <c r="H9" s="37">
        <v>143203.65192199996</v>
      </c>
      <c r="I9" s="14">
        <f>'MAC (MWh)'!C11</f>
        <v>0</v>
      </c>
      <c r="J9" s="14">
        <f t="shared" si="1"/>
        <v>143203.65192199996</v>
      </c>
      <c r="K9" s="3">
        <f t="shared" si="2"/>
        <v>210.25978001175747</v>
      </c>
      <c r="L9" s="38">
        <f>IF(VLOOKUP(B9,'CT Exposição e CT CCEAR-D'!$B$4:$G$64,6,FALSE)=".",0,VLOOKUP(B9,'CT Exposição e CT CCEAR-D'!$B$4:$G$64,6,FALSE))</f>
        <v>168.86110276451646</v>
      </c>
      <c r="M9" s="3">
        <f t="shared" si="3"/>
        <v>5928441.7665451216</v>
      </c>
    </row>
    <row r="10" spans="1:17" ht="15" customHeight="1">
      <c r="A10" s="2" t="s">
        <v>39</v>
      </c>
      <c r="B10" s="52">
        <v>110</v>
      </c>
      <c r="C10" s="37">
        <v>8726730.3800000008</v>
      </c>
      <c r="D10" s="37">
        <v>-3677427.03</v>
      </c>
      <c r="E10" s="37">
        <v>734807.1</v>
      </c>
      <c r="F10" s="14">
        <f>'MAC (R$)'!B12</f>
        <v>0</v>
      </c>
      <c r="G10" s="14">
        <f t="shared" si="0"/>
        <v>5784110.4500000011</v>
      </c>
      <c r="H10" s="37">
        <v>51538.983041999898</v>
      </c>
      <c r="I10" s="14">
        <f>'MAC (MWh)'!C12</f>
        <v>0</v>
      </c>
      <c r="J10" s="14">
        <f t="shared" si="1"/>
        <v>51538.983041999898</v>
      </c>
      <c r="K10" s="3">
        <f t="shared" si="2"/>
        <v>112.22787312831613</v>
      </c>
      <c r="L10" s="38">
        <f>IF(VLOOKUP(B10,'CT Exposição e CT CCEAR-D'!$B$4:$G$64,6,FALSE)=".",0,VLOOKUP(B10,'CT Exposição e CT CCEAR-D'!$B$4:$G$64,6,FALSE))</f>
        <v>171.27665897272848</v>
      </c>
      <c r="M10" s="3">
        <f t="shared" si="3"/>
        <v>-3043314.3722858517</v>
      </c>
    </row>
    <row r="11" spans="1:17" ht="15" customHeight="1">
      <c r="A11" s="2" t="s">
        <v>40</v>
      </c>
      <c r="B11" s="52">
        <v>111</v>
      </c>
      <c r="C11" s="37">
        <v>2232354.41</v>
      </c>
      <c r="D11" s="37">
        <v>-8216907.5800000001</v>
      </c>
      <c r="E11" s="37">
        <v>1585182.83</v>
      </c>
      <c r="F11" s="14">
        <f>'MAC (R$)'!B13</f>
        <v>0</v>
      </c>
      <c r="G11" s="14">
        <f t="shared" si="0"/>
        <v>-4399370.34</v>
      </c>
      <c r="H11" s="37">
        <v>29973.72287499989</v>
      </c>
      <c r="I11" s="14">
        <f>'MAC (MWh)'!C13</f>
        <v>0</v>
      </c>
      <c r="J11" s="14">
        <f t="shared" si="1"/>
        <v>29973.72287499989</v>
      </c>
      <c r="K11" s="3">
        <f t="shared" si="2"/>
        <v>-146.77423816677012</v>
      </c>
      <c r="L11" s="38">
        <f>IF(VLOOKUP(B11,'CT Exposição e CT CCEAR-D'!$B$4:$G$64,6,FALSE)=".",0,VLOOKUP(B11,'CT Exposição e CT CCEAR-D'!$B$4:$G$64,6,FALSE))</f>
        <v>188.71308782771175</v>
      </c>
      <c r="M11" s="3">
        <f t="shared" si="3"/>
        <v>-10055804.137433346</v>
      </c>
    </row>
    <row r="12" spans="1:17" ht="15" customHeight="1">
      <c r="A12" s="2" t="s">
        <v>16</v>
      </c>
      <c r="B12" s="52">
        <v>112</v>
      </c>
      <c r="C12" s="37">
        <v>4675519.6900000004</v>
      </c>
      <c r="D12" s="37">
        <v>-3347142.54</v>
      </c>
      <c r="E12" s="37">
        <v>6636474.7000000002</v>
      </c>
      <c r="F12" s="14">
        <f>'MAC (R$)'!B14</f>
        <v>0</v>
      </c>
      <c r="G12" s="14">
        <f t="shared" si="0"/>
        <v>7964851.8500000006</v>
      </c>
      <c r="H12" s="37">
        <v>46940.653490000004</v>
      </c>
      <c r="I12" s="14">
        <f>'MAC (MWh)'!C14</f>
        <v>0</v>
      </c>
      <c r="J12" s="14">
        <f t="shared" si="1"/>
        <v>46940.653490000004</v>
      </c>
      <c r="K12" s="3">
        <f t="shared" si="2"/>
        <v>169.67918547825056</v>
      </c>
      <c r="L12" s="38">
        <f>IF(VLOOKUP(B12,'CT Exposição e CT CCEAR-D'!$B$4:$G$64,6,FALSE)=".",0,VLOOKUP(B12,'CT Exposição e CT CCEAR-D'!$B$4:$G$64,6,FALSE))</f>
        <v>165.73979779338913</v>
      </c>
      <c r="M12" s="3">
        <f t="shared" si="3"/>
        <v>184917.43227785372</v>
      </c>
      <c r="O12" s="8"/>
      <c r="P12" s="8"/>
      <c r="Q12" s="8"/>
    </row>
    <row r="13" spans="1:17" ht="15" customHeight="1">
      <c r="A13" s="2" t="s">
        <v>28</v>
      </c>
      <c r="B13" s="52">
        <v>113</v>
      </c>
      <c r="C13" s="37">
        <v>150961093.66999999</v>
      </c>
      <c r="D13" s="37">
        <v>-157463938.86000001</v>
      </c>
      <c r="E13" s="37">
        <v>698124.98</v>
      </c>
      <c r="F13" s="14">
        <f>'MAC (R$)'!B15</f>
        <v>0</v>
      </c>
      <c r="G13" s="14">
        <f t="shared" si="0"/>
        <v>-5804720.210000027</v>
      </c>
      <c r="H13" s="37">
        <v>55931.495264000012</v>
      </c>
      <c r="I13" s="14">
        <f>'MAC (MWh)'!C15</f>
        <v>0</v>
      </c>
      <c r="J13" s="14">
        <f t="shared" si="1"/>
        <v>55931.495264000012</v>
      </c>
      <c r="K13" s="3">
        <f t="shared" si="2"/>
        <v>-103.78267526375613</v>
      </c>
      <c r="L13" s="38">
        <f>IF(VLOOKUP(B13,'CT Exposição e CT CCEAR-D'!$B$4:$G$64,6,FALSE)=".",0,VLOOKUP(B13,'CT Exposição e CT CCEAR-D'!$B$4:$G$64,6,FALSE))</f>
        <v>173.5158601196338</v>
      </c>
      <c r="M13" s="3">
        <f t="shared" si="3"/>
        <v>-15509721.718510214</v>
      </c>
    </row>
    <row r="14" spans="1:17" ht="15" customHeight="1">
      <c r="A14" s="2" t="s">
        <v>17</v>
      </c>
      <c r="B14" s="52">
        <v>114</v>
      </c>
      <c r="C14" s="37">
        <v>-96686712.879999995</v>
      </c>
      <c r="D14" s="37">
        <v>85535662.670000002</v>
      </c>
      <c r="E14" s="37">
        <v>1049826.92</v>
      </c>
      <c r="F14" s="14">
        <f>'MAC (R$)'!B16</f>
        <v>0</v>
      </c>
      <c r="G14" s="14">
        <f t="shared" si="0"/>
        <v>-10101223.289999994</v>
      </c>
      <c r="H14" s="37">
        <v>1342.5695989999385</v>
      </c>
      <c r="I14" s="14">
        <f>'MAC (MWh)'!C16</f>
        <v>0</v>
      </c>
      <c r="J14" s="14">
        <f t="shared" si="1"/>
        <v>1342.5695989999385</v>
      </c>
      <c r="K14" s="3">
        <f t="shared" si="2"/>
        <v>-7523.798615374767</v>
      </c>
      <c r="L14" s="38">
        <f>IF(VLOOKUP(B14,'CT Exposição e CT CCEAR-D'!$B$4:$G$64,6,FALSE)=".",0,VLOOKUP(B14,'CT Exposição e CT CCEAR-D'!$B$4:$G$64,6,FALSE))</f>
        <v>169.15492092385938</v>
      </c>
      <c r="M14" s="3">
        <f t="shared" si="3"/>
        <v>-10328325.544353606</v>
      </c>
    </row>
    <row r="15" spans="1:17" ht="15" customHeight="1">
      <c r="A15" s="2" t="s">
        <v>171</v>
      </c>
      <c r="B15" s="52">
        <v>115</v>
      </c>
      <c r="C15" s="37">
        <v>33630881.780000001</v>
      </c>
      <c r="D15" s="37">
        <v>-31865367.649999999</v>
      </c>
      <c r="E15" s="37">
        <v>148773.85</v>
      </c>
      <c r="F15" s="14">
        <f>'MAC (R$)'!B17</f>
        <v>0</v>
      </c>
      <c r="G15" s="14">
        <f t="shared" si="0"/>
        <v>1914287.9800000028</v>
      </c>
      <c r="H15" s="37">
        <v>17557.68445299998</v>
      </c>
      <c r="I15" s="14">
        <f>'MAC (MWh)'!C17</f>
        <v>0</v>
      </c>
      <c r="J15" s="14">
        <f t="shared" si="1"/>
        <v>17557.68445299998</v>
      </c>
      <c r="K15" s="3">
        <f t="shared" si="2"/>
        <v>109.02849889598737</v>
      </c>
      <c r="L15" s="38">
        <f>IF(VLOOKUP(B15,'CT Exposição e CT CCEAR-D'!$B$4:$G$64,6,FALSE)=".",0,VLOOKUP(B15,'CT Exposição e CT CCEAR-D'!$B$4:$G$64,6,FALSE))</f>
        <v>178.39934953624044</v>
      </c>
      <c r="M15" s="3">
        <f t="shared" si="3"/>
        <v>-1217991.5057777551</v>
      </c>
    </row>
    <row r="16" spans="1:17" ht="15" customHeight="1">
      <c r="A16" s="2" t="s">
        <v>18</v>
      </c>
      <c r="B16" s="52">
        <v>116</v>
      </c>
      <c r="C16" s="37">
        <v>105541468.90000001</v>
      </c>
      <c r="D16" s="37">
        <v>-109992462.45</v>
      </c>
      <c r="E16" s="37">
        <v>465868.68</v>
      </c>
      <c r="F16" s="14">
        <f>'MAC (R$)'!B18</f>
        <v>0</v>
      </c>
      <c r="G16" s="14">
        <f t="shared" si="0"/>
        <v>-3985124.8699999969</v>
      </c>
      <c r="H16" s="37">
        <v>41221.869854999779</v>
      </c>
      <c r="I16" s="14">
        <f>'MAC (MWh)'!C18</f>
        <v>0</v>
      </c>
      <c r="J16" s="14">
        <f t="shared" si="1"/>
        <v>41221.869854999779</v>
      </c>
      <c r="K16" s="3">
        <f t="shared" si="2"/>
        <v>-96.675014598267751</v>
      </c>
      <c r="L16" s="38">
        <f>IF(VLOOKUP(B16,'CT Exposição e CT CCEAR-D'!$B$4:$G$64,6,FALSE)=".",0,VLOOKUP(B16,'CT Exposição e CT CCEAR-D'!$B$4:$G$64,6,FALSE))</f>
        <v>157.70072168001704</v>
      </c>
      <c r="M16" s="3">
        <f t="shared" si="3"/>
        <v>-10485843.495133201</v>
      </c>
    </row>
    <row r="17" spans="1:16" ht="15" customHeight="1">
      <c r="A17" s="2" t="s">
        <v>170</v>
      </c>
      <c r="B17" s="52">
        <v>117</v>
      </c>
      <c r="C17" s="37">
        <v>16420146.73</v>
      </c>
      <c r="D17" s="37">
        <v>-1486854.15</v>
      </c>
      <c r="E17" s="37">
        <v>3256982.22</v>
      </c>
      <c r="F17" s="14">
        <f>'MAC (R$)'!B19</f>
        <v>0</v>
      </c>
      <c r="G17" s="14">
        <f t="shared" si="0"/>
        <v>18190274.800000001</v>
      </c>
      <c r="H17" s="37">
        <v>85115.780761000002</v>
      </c>
      <c r="I17" s="14">
        <f>'MAC (MWh)'!C19</f>
        <v>0</v>
      </c>
      <c r="J17" s="14">
        <f t="shared" si="1"/>
        <v>85115.780761000002</v>
      </c>
      <c r="K17" s="3">
        <f t="shared" si="2"/>
        <v>213.71212996420957</v>
      </c>
      <c r="L17" s="38">
        <f>IF(VLOOKUP(B17,'CT Exposição e CT CCEAR-D'!$B$4:$G$64,6,FALSE)=".",0,VLOOKUP(B17,'CT Exposição e CT CCEAR-D'!$B$4:$G$64,6,FALSE))</f>
        <v>199.54851583714512</v>
      </c>
      <c r="M17" s="3">
        <f t="shared" si="3"/>
        <v>1205547.07482262</v>
      </c>
    </row>
    <row r="18" spans="1:16" ht="15" customHeight="1">
      <c r="A18" s="2" t="s">
        <v>36</v>
      </c>
      <c r="B18" s="52">
        <v>118</v>
      </c>
      <c r="C18" s="37">
        <v>1978589.08</v>
      </c>
      <c r="D18" s="37">
        <v>-6375216.6100000003</v>
      </c>
      <c r="E18" s="37">
        <v>15501024.449999999</v>
      </c>
      <c r="F18" s="14">
        <f>'MAC (R$)'!B20</f>
        <v>0</v>
      </c>
      <c r="G18" s="14">
        <f t="shared" si="0"/>
        <v>11104396.919999998</v>
      </c>
      <c r="H18" s="37">
        <v>79863.773710999973</v>
      </c>
      <c r="I18" s="14">
        <f>'MAC (MWh)'!C20</f>
        <v>0</v>
      </c>
      <c r="J18" s="14">
        <f t="shared" si="1"/>
        <v>79863.773710999973</v>
      </c>
      <c r="K18" s="3">
        <f t="shared" si="2"/>
        <v>139.04172572890258</v>
      </c>
      <c r="L18" s="38">
        <f>IF(VLOOKUP(B18,'CT Exposição e CT CCEAR-D'!$B$4:$G$64,6,FALSE)=".",0,VLOOKUP(B18,'CT Exposição e CT CCEAR-D'!$B$4:$G$64,6,FALSE))</f>
        <v>166.32642704957107</v>
      </c>
      <c r="M18" s="3">
        <f t="shared" si="3"/>
        <v>-2179059.2120460905</v>
      </c>
    </row>
    <row r="19" spans="1:16" ht="15" customHeight="1">
      <c r="A19" s="158" t="s">
        <v>19</v>
      </c>
      <c r="B19" s="75">
        <v>119</v>
      </c>
      <c r="C19" s="37">
        <v>-17537299.91</v>
      </c>
      <c r="D19" s="37">
        <v>38197543.189999998</v>
      </c>
      <c r="E19" s="37">
        <v>318314.87</v>
      </c>
      <c r="F19" s="14">
        <f>'MAC (R$)'!B21</f>
        <v>0</v>
      </c>
      <c r="G19" s="14">
        <f t="shared" si="0"/>
        <v>20978558.149999999</v>
      </c>
      <c r="H19" s="37">
        <v>86684.191606999957</v>
      </c>
      <c r="I19" s="14">
        <f>'MAC (MWh)'!C21</f>
        <v>0</v>
      </c>
      <c r="J19" s="14">
        <f t="shared" si="1"/>
        <v>86684.191606999957</v>
      </c>
      <c r="K19" s="3">
        <f t="shared" si="2"/>
        <v>242.01134902555785</v>
      </c>
      <c r="L19" s="38">
        <f>IF(VLOOKUP(B19,'CT Exposição e CT CCEAR-D'!$B$4:$G$64,6,FALSE)=".",0,VLOOKUP(B19,'CT Exposição e CT CCEAR-D'!$B$4:$G$64,6,FALSE))</f>
        <v>165.14028520549041</v>
      </c>
      <c r="M19" s="3">
        <f t="shared" si="3"/>
        <v>6663506.0252126474</v>
      </c>
    </row>
    <row r="20" spans="1:16" ht="15" customHeight="1">
      <c r="A20" s="2" t="s">
        <v>45</v>
      </c>
      <c r="B20" s="52">
        <v>120</v>
      </c>
      <c r="C20" s="37">
        <v>14434314.140000001</v>
      </c>
      <c r="D20" s="37">
        <v>1319088.4099999999</v>
      </c>
      <c r="E20" s="37">
        <v>1759142.41</v>
      </c>
      <c r="F20" s="14">
        <f>'MAC (R$)'!B22</f>
        <v>0</v>
      </c>
      <c r="G20" s="14">
        <f t="shared" si="0"/>
        <v>17512544.960000001</v>
      </c>
      <c r="H20" s="37">
        <v>78279.656434000019</v>
      </c>
      <c r="I20" s="14">
        <f>'MAC (MWh)'!C22</f>
        <v>0</v>
      </c>
      <c r="J20" s="14">
        <f t="shared" si="1"/>
        <v>78279.656434000019</v>
      </c>
      <c r="K20" s="3">
        <f t="shared" si="2"/>
        <v>223.71770339545839</v>
      </c>
      <c r="L20" s="38">
        <f>IF(VLOOKUP(B20,'CT Exposição e CT CCEAR-D'!$B$4:$G$64,6,FALSE)=".",0,VLOOKUP(B20,'CT Exposição e CT CCEAR-D'!$B$4:$G$64,6,FALSE))</f>
        <v>186.26383139478187</v>
      </c>
      <c r="M20" s="3">
        <f t="shared" si="3"/>
        <v>2931876.2323359703</v>
      </c>
      <c r="N20" s="8"/>
      <c r="O20" s="8"/>
    </row>
    <row r="21" spans="1:16" ht="15" customHeight="1">
      <c r="A21" s="2" t="s">
        <v>11</v>
      </c>
      <c r="B21" s="54">
        <v>127</v>
      </c>
      <c r="C21" s="37">
        <v>-1476538.72</v>
      </c>
      <c r="D21" s="37">
        <v>1978100.79</v>
      </c>
      <c r="E21" s="37">
        <v>334865.76</v>
      </c>
      <c r="F21" s="14">
        <f>'MAC (R$)'!B23</f>
        <v>0</v>
      </c>
      <c r="G21" s="14">
        <f t="shared" si="0"/>
        <v>836427.83000000007</v>
      </c>
      <c r="H21" s="37">
        <v>4741.549514000013</v>
      </c>
      <c r="I21" s="14">
        <f>'MAC (MWh)'!C23</f>
        <v>0</v>
      </c>
      <c r="J21" s="14">
        <f t="shared" si="1"/>
        <v>4741.549514000013</v>
      </c>
      <c r="K21" s="3">
        <f t="shared" si="2"/>
        <v>176.40390077765574</v>
      </c>
      <c r="L21" s="38">
        <f>IF(VLOOKUP(B21,'CT Exposição e CT CCEAR-D'!$B$4:$G$64,6,FALSE)=".",0,VLOOKUP(B21,'CT Exposição e CT CCEAR-D'!$B$4:$G$64,6,FALSE))</f>
        <v>147.1867353769172</v>
      </c>
      <c r="M21" s="3">
        <f t="shared" si="3"/>
        <v>138534.63640632981</v>
      </c>
    </row>
    <row r="22" spans="1:16" ht="15" customHeight="1">
      <c r="A22" s="2" t="s">
        <v>4</v>
      </c>
      <c r="B22" s="52">
        <v>129</v>
      </c>
      <c r="C22" s="37">
        <v>-123420238.59</v>
      </c>
      <c r="D22" s="37">
        <v>126893184.55</v>
      </c>
      <c r="E22" s="37">
        <v>1570443.85</v>
      </c>
      <c r="F22" s="14">
        <f>'MAC (R$)'!B24</f>
        <v>0</v>
      </c>
      <c r="G22" s="14">
        <f t="shared" si="0"/>
        <v>5043389.8099999931</v>
      </c>
      <c r="H22" s="37">
        <v>64242.294731999995</v>
      </c>
      <c r="I22" s="14">
        <f>'MAC (MWh)'!C24</f>
        <v>0</v>
      </c>
      <c r="J22" s="14">
        <f t="shared" si="1"/>
        <v>64242.294731999995</v>
      </c>
      <c r="K22" s="3">
        <f t="shared" si="2"/>
        <v>78.505754363842939</v>
      </c>
      <c r="L22" s="38">
        <f>IF(VLOOKUP(B22,'CT Exposição e CT CCEAR-D'!$B$4:$G$64,6,FALSE)=".",0,VLOOKUP(B22,'CT Exposição e CT CCEAR-D'!$B$4:$G$64,6,FALSE))</f>
        <v>147.75733022086615</v>
      </c>
      <c r="M22" s="3">
        <f t="shared" si="3"/>
        <v>-4448880.1468623402</v>
      </c>
      <c r="N22" s="77"/>
      <c r="O22" s="77"/>
      <c r="P22" s="77"/>
    </row>
    <row r="23" spans="1:16" ht="15" customHeight="1">
      <c r="A23" s="2" t="s">
        <v>20</v>
      </c>
      <c r="B23" s="52">
        <v>130</v>
      </c>
      <c r="C23" s="37">
        <v>-34970170.159999996</v>
      </c>
      <c r="D23" s="37">
        <v>71559733.780000001</v>
      </c>
      <c r="E23" s="37">
        <v>843237.43</v>
      </c>
      <c r="F23" s="14">
        <f>'MAC (R$)'!B25</f>
        <v>0</v>
      </c>
      <c r="G23" s="14">
        <f t="shared" si="0"/>
        <v>37432801.050000004</v>
      </c>
      <c r="H23" s="37">
        <v>156978.83842099999</v>
      </c>
      <c r="I23" s="14">
        <f>'MAC (MWh)'!C25</f>
        <v>0</v>
      </c>
      <c r="J23" s="14">
        <f t="shared" si="1"/>
        <v>156978.83842099999</v>
      </c>
      <c r="K23" s="3">
        <f t="shared" ref="K23:K48" si="4">IF(J23=0, 0,G23/J23)</f>
        <v>238.45762541323785</v>
      </c>
      <c r="L23" s="38">
        <f>IF(VLOOKUP(B23,'CT Exposição e CT CCEAR-D'!$B$4:$G$64,6,FALSE)=".",0,VLOOKUP(B23,'CT Exposição e CT CCEAR-D'!$B$4:$G$64,6,FALSE))</f>
        <v>177.8235885398077</v>
      </c>
      <c r="M23" s="3">
        <f t="shared" si="3"/>
        <v>9518260.6771671474</v>
      </c>
    </row>
    <row r="24" spans="1:16" s="10" customFormat="1" ht="15" customHeight="1">
      <c r="A24" s="2" t="s">
        <v>31</v>
      </c>
      <c r="B24" s="52">
        <v>132</v>
      </c>
      <c r="C24" s="37">
        <v>54336700.579999998</v>
      </c>
      <c r="D24" s="37">
        <v>-16799978.170000002</v>
      </c>
      <c r="E24" s="37">
        <v>2132038.89</v>
      </c>
      <c r="F24" s="14">
        <f>'MAC (R$)'!B26</f>
        <v>0</v>
      </c>
      <c r="G24" s="14">
        <f t="shared" ref="G24:G48" si="5">SUM(C24:F24)</f>
        <v>39668761.299999997</v>
      </c>
      <c r="H24" s="37">
        <v>251002.18037000034</v>
      </c>
      <c r="I24" s="14">
        <f>'MAC (MWh)'!C26</f>
        <v>0</v>
      </c>
      <c r="J24" s="14">
        <f t="shared" ref="J24:J48" si="6">H24+I24</f>
        <v>251002.18037000034</v>
      </c>
      <c r="K24" s="3">
        <f t="shared" si="4"/>
        <v>158.04150084084762</v>
      </c>
      <c r="L24" s="38">
        <f>IF(VLOOKUP(B24,'CT Exposição e CT CCEAR-D'!$B$4:$G$64,6,FALSE)=".",0,VLOOKUP(B24,'CT Exposição e CT CCEAR-D'!$B$4:$G$64,6,FALSE))</f>
        <v>174.63577676771763</v>
      </c>
      <c r="M24" s="3">
        <f t="shared" si="3"/>
        <v>-4165199.4393057809</v>
      </c>
      <c r="P24" s="78"/>
    </row>
    <row r="25" spans="1:16" ht="15" customHeight="1">
      <c r="A25" s="2" t="s">
        <v>21</v>
      </c>
      <c r="B25" s="52">
        <v>133</v>
      </c>
      <c r="C25" s="37">
        <v>-23972306.739999998</v>
      </c>
      <c r="D25" s="37">
        <v>29557930.359999999</v>
      </c>
      <c r="E25" s="37">
        <v>395236.67</v>
      </c>
      <c r="F25" s="14">
        <f>'MAC (R$)'!B27</f>
        <v>0</v>
      </c>
      <c r="G25" s="14">
        <f t="shared" si="5"/>
        <v>5980860.290000001</v>
      </c>
      <c r="H25" s="37">
        <v>33820.110275000006</v>
      </c>
      <c r="I25" s="14">
        <f>'MAC (MWh)'!C27</f>
        <v>0</v>
      </c>
      <c r="J25" s="14">
        <f t="shared" si="6"/>
        <v>33820.110275000006</v>
      </c>
      <c r="K25" s="3">
        <f t="shared" si="4"/>
        <v>176.84331131294633</v>
      </c>
      <c r="L25" s="38">
        <f>IF(VLOOKUP(B25,'CT Exposição e CT CCEAR-D'!$B$4:$G$64,6,FALSE)=".",0,VLOOKUP(B25,'CT Exposição e CT CCEAR-D'!$B$4:$G$64,6,FALSE))</f>
        <v>166.03626509048968</v>
      </c>
      <c r="M25" s="3">
        <f t="shared" si="3"/>
        <v>365495.49499050609</v>
      </c>
      <c r="P25" s="8"/>
    </row>
    <row r="26" spans="1:16" ht="15" customHeight="1">
      <c r="A26" s="2" t="s">
        <v>30</v>
      </c>
      <c r="B26" s="52">
        <v>124</v>
      </c>
      <c r="C26" s="37">
        <v>430156.27</v>
      </c>
      <c r="D26" s="37">
        <v>6837.51</v>
      </c>
      <c r="E26" s="37">
        <v>251513.75</v>
      </c>
      <c r="F26" s="14">
        <f>'MAC (R$)'!B28</f>
        <v>0</v>
      </c>
      <c r="G26" s="14">
        <f t="shared" si="5"/>
        <v>688507.53</v>
      </c>
      <c r="H26" s="37">
        <v>3114.4159090000003</v>
      </c>
      <c r="I26" s="14">
        <f>'MAC (MWh)'!C28</f>
        <v>0</v>
      </c>
      <c r="J26" s="14">
        <f t="shared" si="6"/>
        <v>3114.4159090000003</v>
      </c>
      <c r="K26" s="3">
        <f t="shared" si="4"/>
        <v>221.07115751957198</v>
      </c>
      <c r="L26" s="38">
        <f>IF(VLOOKUP(B26,'CT Exposição e CT CCEAR-D'!$B$4:$G$64,6,FALSE)=".",0,VLOOKUP(B26,'CT Exposição e CT CCEAR-D'!$B$4:$G$64,6,FALSE))</f>
        <v>146.37</v>
      </c>
      <c r="M26" s="3">
        <f t="shared" si="3"/>
        <v>232650.47339966998</v>
      </c>
      <c r="P26" s="79"/>
    </row>
    <row r="27" spans="1:16" ht="15" customHeight="1">
      <c r="A27" s="2" t="s">
        <v>34</v>
      </c>
      <c r="B27" s="52">
        <v>134</v>
      </c>
      <c r="C27" s="37">
        <v>429525.87</v>
      </c>
      <c r="D27" s="37">
        <v>-7075.34</v>
      </c>
      <c r="E27" s="37">
        <v>147697.78</v>
      </c>
      <c r="F27" s="14">
        <f>'MAC (R$)'!B29</f>
        <v>0</v>
      </c>
      <c r="G27" s="14">
        <f t="shared" si="5"/>
        <v>570148.30999999994</v>
      </c>
      <c r="H27" s="37">
        <v>2385.7034909999993</v>
      </c>
      <c r="I27" s="14">
        <f>'MAC (MWh)'!C29</f>
        <v>0</v>
      </c>
      <c r="J27" s="14">
        <f t="shared" si="6"/>
        <v>2385.7034909999993</v>
      </c>
      <c r="K27" s="3">
        <f t="shared" si="4"/>
        <v>238.98540290143714</v>
      </c>
      <c r="L27" s="38">
        <f>IF(VLOOKUP(B27,'CT Exposição e CT CCEAR-D'!$B$4:$G$64,6,FALSE)=".",0,VLOOKUP(B27,'CT Exposição e CT CCEAR-D'!$B$4:$G$64,6,FALSE))</f>
        <v>133.73993203716182</v>
      </c>
      <c r="M27" s="3">
        <f t="shared" si="3"/>
        <v>251084.48725284034</v>
      </c>
    </row>
    <row r="28" spans="1:16" ht="15" customHeight="1">
      <c r="A28" s="2" t="s">
        <v>38</v>
      </c>
      <c r="B28" s="52">
        <v>125</v>
      </c>
      <c r="C28" s="37">
        <v>196820.86</v>
      </c>
      <c r="D28" s="37">
        <v>-19593.28</v>
      </c>
      <c r="E28" s="37">
        <v>112391.63</v>
      </c>
      <c r="F28" s="14">
        <f>'MAC (R$)'!B30</f>
        <v>0</v>
      </c>
      <c r="G28" s="14">
        <f t="shared" si="5"/>
        <v>289619.20999999996</v>
      </c>
      <c r="H28" s="37">
        <v>1055.6937959999998</v>
      </c>
      <c r="I28" s="14">
        <f>'MAC (MWh)'!C30</f>
        <v>0</v>
      </c>
      <c r="J28" s="14">
        <f t="shared" si="6"/>
        <v>1055.6937959999998</v>
      </c>
      <c r="K28" s="3">
        <f t="shared" si="4"/>
        <v>274.34016482559684</v>
      </c>
      <c r="L28" s="38">
        <f>IF(VLOOKUP(B28,'CT Exposição e CT CCEAR-D'!$B$4:$G$64,6,FALSE)=".",0,VLOOKUP(B28,'CT Exposição e CT CCEAR-D'!$B$4:$G$64,6,FALSE))</f>
        <v>133.37580553060667</v>
      </c>
      <c r="M28" s="3">
        <f t="shared" si="3"/>
        <v>148815.19956483605</v>
      </c>
    </row>
    <row r="29" spans="1:16" ht="15" customHeight="1">
      <c r="A29" s="2" t="s">
        <v>5</v>
      </c>
      <c r="B29" s="52">
        <v>136</v>
      </c>
      <c r="C29" s="37">
        <v>22153836.239999998</v>
      </c>
      <c r="D29" s="37">
        <v>1564575.56</v>
      </c>
      <c r="E29" s="37">
        <v>12328500.23</v>
      </c>
      <c r="F29" s="14">
        <f>'MAC (R$)'!B31</f>
        <v>0</v>
      </c>
      <c r="G29" s="14">
        <f t="shared" si="5"/>
        <v>36046912.030000001</v>
      </c>
      <c r="H29" s="37">
        <v>177463.88174200014</v>
      </c>
      <c r="I29" s="14">
        <f>'MAC (MWh)'!C31</f>
        <v>0</v>
      </c>
      <c r="J29" s="14">
        <f t="shared" si="6"/>
        <v>177463.88174200014</v>
      </c>
      <c r="K29" s="3">
        <f t="shared" si="4"/>
        <v>203.12252654546114</v>
      </c>
      <c r="L29" s="38">
        <f>IF(VLOOKUP(B29,'CT Exposição e CT CCEAR-D'!$B$4:$G$64,6,FALSE)=".",0,VLOOKUP(B29,'CT Exposição e CT CCEAR-D'!$B$4:$G$64,6,FALSE))</f>
        <v>178.55287170847905</v>
      </c>
      <c r="M29" s="3">
        <f t="shared" si="3"/>
        <v>4360226.3204319524</v>
      </c>
    </row>
    <row r="30" spans="1:16" ht="15" customHeight="1">
      <c r="A30" s="2" t="s">
        <v>32</v>
      </c>
      <c r="B30" s="52">
        <v>135</v>
      </c>
      <c r="C30" s="37">
        <v>32458836.550000001</v>
      </c>
      <c r="D30" s="37">
        <v>6865278.1299999999</v>
      </c>
      <c r="E30" s="37">
        <v>4989933.8099999996</v>
      </c>
      <c r="F30" s="14">
        <f>'MAC (R$)'!B32</f>
        <v>0</v>
      </c>
      <c r="G30" s="14">
        <f t="shared" si="5"/>
        <v>44314048.490000002</v>
      </c>
      <c r="H30" s="37">
        <v>211623.82041499994</v>
      </c>
      <c r="I30" s="14">
        <f>'MAC (MWh)'!C32</f>
        <v>0</v>
      </c>
      <c r="J30" s="14">
        <f t="shared" si="6"/>
        <v>211623.82041499994</v>
      </c>
      <c r="K30" s="3">
        <f t="shared" si="4"/>
        <v>209.4000968468435</v>
      </c>
      <c r="L30" s="38">
        <f>IF(VLOOKUP(B30,'CT Exposição e CT CCEAR-D'!$B$4:$G$64,6,FALSE)=".",0,VLOOKUP(B30,'CT Exposição e CT CCEAR-D'!$B$4:$G$64,6,FALSE))</f>
        <v>174.11942392152497</v>
      </c>
      <c r="M30" s="3">
        <f t="shared" si="3"/>
        <v>7466230.7912679585</v>
      </c>
    </row>
    <row r="31" spans="1:16" ht="15" customHeight="1">
      <c r="A31" s="2" t="s">
        <v>12</v>
      </c>
      <c r="B31" s="52">
        <v>126</v>
      </c>
      <c r="C31" s="37">
        <v>-130958.44</v>
      </c>
      <c r="D31" s="37">
        <v>309110.65000000002</v>
      </c>
      <c r="E31" s="37">
        <v>565223.81000000006</v>
      </c>
      <c r="F31" s="14">
        <f>'MAC (R$)'!B33</f>
        <v>0</v>
      </c>
      <c r="G31" s="14">
        <f t="shared" si="5"/>
        <v>743376.02</v>
      </c>
      <c r="H31" s="37">
        <v>4695.8322209999969</v>
      </c>
      <c r="I31" s="14">
        <f>'MAC (MWh)'!C33</f>
        <v>0</v>
      </c>
      <c r="J31" s="14">
        <f t="shared" si="6"/>
        <v>4695.8322209999969</v>
      </c>
      <c r="K31" s="3">
        <f t="shared" si="4"/>
        <v>158.30548985025172</v>
      </c>
      <c r="L31" s="38">
        <f>IF(VLOOKUP(B31,'CT Exposição e CT CCEAR-D'!$B$4:$G$64,6,FALSE)=".",0,VLOOKUP(B31,'CT Exposição e CT CCEAR-D'!$B$4:$G$64,6,FALSE))</f>
        <v>173.68523848745298</v>
      </c>
      <c r="M31" s="3">
        <f t="shared" si="3"/>
        <v>-72220.719201450469</v>
      </c>
    </row>
    <row r="32" spans="1:16" ht="15" customHeight="1">
      <c r="A32" s="2" t="s">
        <v>29</v>
      </c>
      <c r="B32" s="52">
        <v>137</v>
      </c>
      <c r="C32" s="37">
        <v>551737.76</v>
      </c>
      <c r="D32" s="37">
        <v>115557.28</v>
      </c>
      <c r="E32" s="37">
        <v>223600.95</v>
      </c>
      <c r="F32" s="14">
        <f>'MAC (R$)'!B34</f>
        <v>0</v>
      </c>
      <c r="G32" s="14">
        <f t="shared" si="5"/>
        <v>890895.99</v>
      </c>
      <c r="H32" s="37">
        <v>3637.3436640000014</v>
      </c>
      <c r="I32" s="14">
        <f>'MAC (MWh)'!C34</f>
        <v>0</v>
      </c>
      <c r="J32" s="14">
        <f t="shared" si="6"/>
        <v>3637.3436640000014</v>
      </c>
      <c r="K32" s="3">
        <f t="shared" si="4"/>
        <v>244.93038664932698</v>
      </c>
      <c r="L32" s="38">
        <f>IF(VLOOKUP(B32,'CT Exposição e CT CCEAR-D'!$B$4:$G$64,6,FALSE)=".",0,VLOOKUP(B32,'CT Exposição e CT CCEAR-D'!$B$4:$G$64,6,FALSE))</f>
        <v>134.0130300308152</v>
      </c>
      <c r="M32" s="3">
        <f t="shared" si="3"/>
        <v>403444.54432397243</v>
      </c>
    </row>
    <row r="33" spans="1:13" ht="15" customHeight="1">
      <c r="A33" s="2" t="s">
        <v>33</v>
      </c>
      <c r="B33" s="52">
        <v>139</v>
      </c>
      <c r="C33" s="37">
        <v>3019262.59</v>
      </c>
      <c r="D33" s="37">
        <v>-315667.40000000002</v>
      </c>
      <c r="E33" s="37">
        <v>179255.19</v>
      </c>
      <c r="F33" s="14">
        <f>'MAC (R$)'!B35</f>
        <v>0</v>
      </c>
      <c r="G33" s="14">
        <f t="shared" si="5"/>
        <v>2882850.38</v>
      </c>
      <c r="H33" s="37">
        <v>13013.728968999998</v>
      </c>
      <c r="I33" s="14">
        <f>'MAC (MWh)'!C35</f>
        <v>0</v>
      </c>
      <c r="J33" s="14">
        <f t="shared" si="6"/>
        <v>13013.728968999998</v>
      </c>
      <c r="K33" s="3">
        <f t="shared" si="4"/>
        <v>221.5237759190496</v>
      </c>
      <c r="L33" s="38">
        <f>IF(VLOOKUP(B33,'CT Exposição e CT CCEAR-D'!$B$4:$G$64,6,FALSE)=".",0,VLOOKUP(B33,'CT Exposição e CT CCEAR-D'!$B$4:$G$64,6,FALSE))</f>
        <v>121.81682200480098</v>
      </c>
      <c r="M33" s="3">
        <f t="shared" si="3"/>
        <v>1297559.274564605</v>
      </c>
    </row>
    <row r="34" spans="1:13" ht="15" customHeight="1">
      <c r="A34" s="2" t="s">
        <v>10</v>
      </c>
      <c r="B34" s="52">
        <v>142</v>
      </c>
      <c r="C34" s="37">
        <v>3012314.01</v>
      </c>
      <c r="D34" s="37">
        <v>-461176.56</v>
      </c>
      <c r="E34" s="37">
        <v>375808.25</v>
      </c>
      <c r="F34" s="14">
        <f>'MAC (R$)'!B36</f>
        <v>0</v>
      </c>
      <c r="G34" s="14">
        <f t="shared" si="5"/>
        <v>2926945.6999999997</v>
      </c>
      <c r="H34" s="37">
        <v>13705.977973999999</v>
      </c>
      <c r="I34" s="14">
        <f>'MAC (MWh)'!C36</f>
        <v>0</v>
      </c>
      <c r="J34" s="14">
        <f t="shared" si="6"/>
        <v>13705.977973999999</v>
      </c>
      <c r="K34" s="3">
        <f t="shared" si="4"/>
        <v>213.55248823194992</v>
      </c>
      <c r="L34" s="38">
        <f>IF(VLOOKUP(B34,'CT Exposição e CT CCEAR-D'!$B$4:$G$64,6,FALSE)=".",0,VLOOKUP(B34,'CT Exposição e CT CCEAR-D'!$B$4:$G$64,6,FALSE))</f>
        <v>177.28731130725322</v>
      </c>
      <c r="M34" s="3">
        <f t="shared" si="3"/>
        <v>497049.71615310607</v>
      </c>
    </row>
    <row r="35" spans="1:13" ht="15" customHeight="1">
      <c r="A35" s="2" t="s">
        <v>7</v>
      </c>
      <c r="B35" s="52">
        <v>145</v>
      </c>
      <c r="C35" s="37">
        <v>29597310.760000002</v>
      </c>
      <c r="D35" s="37">
        <v>1576815.38</v>
      </c>
      <c r="E35" s="37">
        <v>6715605.21</v>
      </c>
      <c r="F35" s="14">
        <f>'MAC (R$)'!B37</f>
        <v>0</v>
      </c>
      <c r="G35" s="14">
        <f t="shared" si="5"/>
        <v>37889731.350000001</v>
      </c>
      <c r="H35" s="37">
        <v>189911.43955699992</v>
      </c>
      <c r="I35" s="14">
        <f>'MAC (MWh)'!C37</f>
        <v>0</v>
      </c>
      <c r="J35" s="14">
        <f t="shared" si="6"/>
        <v>189911.43955699992</v>
      </c>
      <c r="K35" s="3">
        <f t="shared" si="4"/>
        <v>199.51263303771543</v>
      </c>
      <c r="L35" s="38">
        <f>IF(VLOOKUP(B35,'CT Exposição e CT CCEAR-D'!$B$4:$G$64,6,FALSE)=".",0,VLOOKUP(B35,'CT Exposição e CT CCEAR-D'!$B$4:$G$64,6,FALSE))</f>
        <v>172.10441383944104</v>
      </c>
      <c r="M35" s="3">
        <f t="shared" si="3"/>
        <v>5205134.3636380928</v>
      </c>
    </row>
    <row r="36" spans="1:13" ht="15" customHeight="1">
      <c r="A36" s="2" t="s">
        <v>43</v>
      </c>
      <c r="B36" s="52">
        <v>146</v>
      </c>
      <c r="C36" s="37">
        <v>1527346.55</v>
      </c>
      <c r="D36" s="37">
        <v>8963375.9299999997</v>
      </c>
      <c r="E36" s="37">
        <v>550400.18999999994</v>
      </c>
      <c r="F36" s="14">
        <f>'MAC (R$)'!B38</f>
        <v>0</v>
      </c>
      <c r="G36" s="14">
        <f t="shared" si="5"/>
        <v>11041122.67</v>
      </c>
      <c r="H36" s="37">
        <v>54912.991262999996</v>
      </c>
      <c r="I36" s="14">
        <f>'MAC (MWh)'!C38</f>
        <v>0</v>
      </c>
      <c r="J36" s="14">
        <f t="shared" si="6"/>
        <v>54912.991262999996</v>
      </c>
      <c r="K36" s="3">
        <f t="shared" si="4"/>
        <v>201.06576633423052</v>
      </c>
      <c r="L36" s="38">
        <f>IF(VLOOKUP(B36,'CT Exposição e CT CCEAR-D'!$B$4:$G$64,6,FALSE)=".",0,VLOOKUP(B36,'CT Exposição e CT CCEAR-D'!$B$4:$G$64,6,FALSE))</f>
        <v>130.04921461133173</v>
      </c>
      <c r="M36" s="3">
        <f t="shared" si="3"/>
        <v>3899731.2842879281</v>
      </c>
    </row>
    <row r="37" spans="1:13" ht="15" customHeight="1">
      <c r="A37" s="2" t="s">
        <v>6</v>
      </c>
      <c r="B37" s="52">
        <v>148</v>
      </c>
      <c r="C37" s="37">
        <v>-27010494.59</v>
      </c>
      <c r="D37" s="37">
        <v>21753585.43</v>
      </c>
      <c r="E37" s="37">
        <v>19512932.800000001</v>
      </c>
      <c r="F37" s="14">
        <f>'MAC (R$)'!B39</f>
        <v>0</v>
      </c>
      <c r="G37" s="14">
        <f t="shared" si="5"/>
        <v>14256023.640000001</v>
      </c>
      <c r="H37" s="37">
        <v>94026.244601999642</v>
      </c>
      <c r="I37" s="14">
        <f>'MAC (MWh)'!C39</f>
        <v>0</v>
      </c>
      <c r="J37" s="14">
        <f t="shared" si="6"/>
        <v>94026.244601999642</v>
      </c>
      <c r="K37" s="3">
        <f t="shared" si="4"/>
        <v>151.61749467229939</v>
      </c>
      <c r="L37" s="38">
        <f>IF(VLOOKUP(B37,'CT Exposição e CT CCEAR-D'!$B$4:$G$64,6,FALSE)=".",0,VLOOKUP(B37,'CT Exposição e CT CCEAR-D'!$B$4:$G$64,6,FALSE))</f>
        <v>154.42338179785423</v>
      </c>
      <c r="M37" s="3">
        <f t="shared" si="3"/>
        <v>-263827.02919302171</v>
      </c>
    </row>
    <row r="38" spans="1:13" ht="15" customHeight="1">
      <c r="A38" s="2" t="s">
        <v>15</v>
      </c>
      <c r="B38" s="52">
        <v>140</v>
      </c>
      <c r="C38" s="37">
        <v>-1823407.59</v>
      </c>
      <c r="D38" s="37">
        <v>4273228.13</v>
      </c>
      <c r="E38" s="37">
        <v>45809.79</v>
      </c>
      <c r="F38" s="14">
        <f>'MAC (R$)'!B40</f>
        <v>0</v>
      </c>
      <c r="G38" s="14">
        <f t="shared" si="5"/>
        <v>2495630.33</v>
      </c>
      <c r="H38" s="37">
        <v>10701.398871999998</v>
      </c>
      <c r="I38" s="14">
        <f>'MAC (MWh)'!C40</f>
        <v>0</v>
      </c>
      <c r="J38" s="14">
        <f t="shared" si="6"/>
        <v>10701.398871999998</v>
      </c>
      <c r="K38" s="3">
        <f t="shared" si="4"/>
        <v>233.20599109054501</v>
      </c>
      <c r="L38" s="38">
        <f>IF(VLOOKUP(B38,'CT Exposição e CT CCEAR-D'!$B$4:$G$64,6,FALSE)=".",0,VLOOKUP(B38,'CT Exposição e CT CCEAR-D'!$B$4:$G$64,6,FALSE))</f>
        <v>158.38334005545926</v>
      </c>
      <c r="M38" s="3">
        <f t="shared" si="3"/>
        <v>800707.03338691615</v>
      </c>
    </row>
    <row r="39" spans="1:13" ht="15" customHeight="1">
      <c r="A39" s="2" t="s">
        <v>3</v>
      </c>
      <c r="B39" s="52">
        <v>150</v>
      </c>
      <c r="C39" s="37">
        <v>1363846.4</v>
      </c>
      <c r="D39" s="37">
        <v>13334.4</v>
      </c>
      <c r="E39" s="37">
        <v>662144.56000000006</v>
      </c>
      <c r="F39" s="14">
        <f>'MAC (R$)'!B41</f>
        <v>0</v>
      </c>
      <c r="G39" s="14">
        <f t="shared" si="5"/>
        <v>2039325.3599999999</v>
      </c>
      <c r="H39" s="37">
        <v>8902.2213659999979</v>
      </c>
      <c r="I39" s="14">
        <f>'MAC (MWh)'!C41</f>
        <v>0</v>
      </c>
      <c r="J39" s="14">
        <f t="shared" si="6"/>
        <v>8902.2213659999979</v>
      </c>
      <c r="K39" s="3">
        <f t="shared" si="4"/>
        <v>229.08050430971505</v>
      </c>
      <c r="L39" s="38">
        <f>IF(VLOOKUP(B39,'CT Exposição e CT CCEAR-D'!$B$4:$G$64,6,FALSE)=".",0,VLOOKUP(B39,'CT Exposição e CT CCEAR-D'!$B$4:$G$64,6,FALSE))</f>
        <v>184.48134638603051</v>
      </c>
      <c r="M39" s="3">
        <f t="shared" si="3"/>
        <v>397031.57657383266</v>
      </c>
    </row>
    <row r="40" spans="1:13" ht="15" customHeight="1">
      <c r="A40" s="2" t="s">
        <v>24</v>
      </c>
      <c r="B40" s="52">
        <v>153</v>
      </c>
      <c r="C40" s="37">
        <v>-26502885.609999999</v>
      </c>
      <c r="D40" s="37">
        <v>25292887.530000001</v>
      </c>
      <c r="E40" s="37">
        <v>312935.78999999998</v>
      </c>
      <c r="F40" s="14">
        <f>'MAC (R$)'!B42</f>
        <v>0</v>
      </c>
      <c r="G40" s="14">
        <f t="shared" si="5"/>
        <v>-897062.28999999817</v>
      </c>
      <c r="H40" s="37">
        <v>8478.1769619999923</v>
      </c>
      <c r="I40" s="14">
        <f>'MAC (MWh)'!C42</f>
        <v>0</v>
      </c>
      <c r="J40" s="14">
        <f t="shared" si="6"/>
        <v>8478.1769619999923</v>
      </c>
      <c r="K40" s="3">
        <f t="shared" si="4"/>
        <v>-105.80839418907131</v>
      </c>
      <c r="L40" s="38">
        <f>IF(VLOOKUP(B40,'CT Exposição e CT CCEAR-D'!$B$4:$G$64,6,FALSE)=".",0,VLOOKUP(B40,'CT Exposição e CT CCEAR-D'!$B$4:$G$64,6,FALSE))</f>
        <v>155.41750252434488</v>
      </c>
      <c r="M40" s="3">
        <f t="shared" si="3"/>
        <v>-2214719.3793934747</v>
      </c>
    </row>
    <row r="41" spans="1:13" ht="15" customHeight="1">
      <c r="A41" s="2" t="s">
        <v>22</v>
      </c>
      <c r="B41" s="52">
        <v>155</v>
      </c>
      <c r="C41" s="37">
        <v>-23748031.449999999</v>
      </c>
      <c r="D41" s="37">
        <v>20202702.460000001</v>
      </c>
      <c r="E41" s="37">
        <v>240101.94</v>
      </c>
      <c r="F41" s="14">
        <f>'MAC (R$)'!B43</f>
        <v>0</v>
      </c>
      <c r="G41" s="14">
        <f t="shared" si="5"/>
        <v>-3305227.0499999984</v>
      </c>
      <c r="H41" s="37">
        <v>-2620.1360089999757</v>
      </c>
      <c r="I41" s="14">
        <f>'MAC (MWh)'!C43</f>
        <v>0</v>
      </c>
      <c r="J41" s="14">
        <f t="shared" si="6"/>
        <v>-2620.1360089999757</v>
      </c>
      <c r="K41" s="3">
        <f t="shared" si="4"/>
        <v>1261.4715566851435</v>
      </c>
      <c r="L41" s="38">
        <f>IF(VLOOKUP(B41,'CT Exposição e CT CCEAR-D'!$B$4:$G$64,6,FALSE)=".",0,VLOOKUP(B41,'CT Exposição e CT CCEAR-D'!$B$4:$G$64,6,FALSE))</f>
        <v>148.61473132152798</v>
      </c>
      <c r="M41" s="3">
        <f t="shared" si="3"/>
        <v>-2915836.2409966062</v>
      </c>
    </row>
    <row r="42" spans="1:13" ht="15" customHeight="1">
      <c r="A42" s="2" t="s">
        <v>166</v>
      </c>
      <c r="B42" s="52">
        <v>151</v>
      </c>
      <c r="C42" s="37">
        <v>-2384809.0299999998</v>
      </c>
      <c r="D42" s="37">
        <v>-4411082.42</v>
      </c>
      <c r="E42" s="37">
        <v>2600413.42</v>
      </c>
      <c r="F42" s="14">
        <f>'MAC (R$)'!B44</f>
        <v>0</v>
      </c>
      <c r="G42" s="14">
        <f t="shared" si="5"/>
        <v>-4195478.0299999993</v>
      </c>
      <c r="H42" s="37">
        <v>-15370.912145999991</v>
      </c>
      <c r="I42" s="14">
        <f>'MAC (MWh)'!C44</f>
        <v>0</v>
      </c>
      <c r="J42" s="14">
        <f t="shared" si="6"/>
        <v>-15370.912145999991</v>
      </c>
      <c r="K42" s="3">
        <f t="shared" si="4"/>
        <v>272.94919066281949</v>
      </c>
      <c r="L42" s="38">
        <f>IF(VLOOKUP(B42,'CT Exposição e CT CCEAR-D'!$B$4:$G$64,6,FALSE)=".",0,VLOOKUP(B42,'CT Exposição e CT CCEAR-D'!$B$4:$G$64,6,FALSE))</f>
        <v>166.35988838778374</v>
      </c>
      <c r="M42" s="3">
        <f t="shared" si="3"/>
        <v>-1638374.8009730114</v>
      </c>
    </row>
    <row r="43" spans="1:13" ht="15" customHeight="1">
      <c r="A43" s="2" t="s">
        <v>88</v>
      </c>
      <c r="B43" s="52">
        <v>149</v>
      </c>
      <c r="C43" s="37">
        <v>1237690.05</v>
      </c>
      <c r="D43" s="37">
        <v>-3514.22</v>
      </c>
      <c r="E43" s="37">
        <v>339533.35</v>
      </c>
      <c r="F43" s="14">
        <f>'MAC (R$)'!B45</f>
        <v>0</v>
      </c>
      <c r="G43" s="14">
        <f t="shared" si="5"/>
        <v>1573709.1800000002</v>
      </c>
      <c r="H43" s="37">
        <v>5545.6115520000003</v>
      </c>
      <c r="I43" s="14">
        <f>'MAC (MWh)'!C45</f>
        <v>0</v>
      </c>
      <c r="J43" s="14">
        <f t="shared" si="6"/>
        <v>5545.6115520000003</v>
      </c>
      <c r="K43" s="3">
        <f t="shared" si="4"/>
        <v>283.77558818241585</v>
      </c>
      <c r="L43" s="38">
        <f>IF(VLOOKUP(B43,'CT Exposição e CT CCEAR-D'!$B$4:$G$64,6,FALSE)=".",0,VLOOKUP(B43,'CT Exposição e CT CCEAR-D'!$B$4:$G$64,6,FALSE))</f>
        <v>175.74085157853062</v>
      </c>
      <c r="M43" s="3">
        <f t="shared" si="3"/>
        <v>599118.68332778313</v>
      </c>
    </row>
    <row r="44" spans="1:13" ht="15" customHeight="1">
      <c r="A44" s="2" t="s">
        <v>8</v>
      </c>
      <c r="B44" s="52">
        <v>154</v>
      </c>
      <c r="C44" s="37">
        <v>-3040377.36</v>
      </c>
      <c r="D44" s="37">
        <v>136920.85999999999</v>
      </c>
      <c r="E44" s="37">
        <v>4307054.41</v>
      </c>
      <c r="F44" s="14">
        <f>'MAC (R$)'!B46</f>
        <v>0</v>
      </c>
      <c r="G44" s="14">
        <f t="shared" si="5"/>
        <v>1403597.9100000001</v>
      </c>
      <c r="H44" s="37">
        <v>13563.609808999963</v>
      </c>
      <c r="I44" s="14">
        <f>'MAC (MWh)'!C46</f>
        <v>0</v>
      </c>
      <c r="J44" s="14">
        <f t="shared" si="6"/>
        <v>13563.609808999963</v>
      </c>
      <c r="K44" s="3">
        <f t="shared" si="4"/>
        <v>103.48262223443352</v>
      </c>
      <c r="L44" s="38">
        <f>IF(VLOOKUP(B44,'CT Exposição e CT CCEAR-D'!$B$4:$G$64,6,FALSE)=".",0,VLOOKUP(B44,'CT Exposição e CT CCEAR-D'!$B$4:$G$64,6,FALSE))</f>
        <v>172.69249546602205</v>
      </c>
      <c r="M44" s="3">
        <f t="shared" si="3"/>
        <v>-938735.71544361813</v>
      </c>
    </row>
    <row r="45" spans="1:13" ht="15" customHeight="1">
      <c r="A45" s="2" t="s">
        <v>35</v>
      </c>
      <c r="B45" s="52">
        <v>158</v>
      </c>
      <c r="C45" s="37">
        <v>151635.29999999999</v>
      </c>
      <c r="D45" s="37">
        <v>-109902.23</v>
      </c>
      <c r="E45" s="37">
        <v>17189.900000000001</v>
      </c>
      <c r="F45" s="14">
        <f>'MAC (R$)'!B47</f>
        <v>0</v>
      </c>
      <c r="G45" s="14">
        <f t="shared" si="5"/>
        <v>58922.969999999994</v>
      </c>
      <c r="H45" s="37">
        <v>346.47800299999994</v>
      </c>
      <c r="I45" s="14">
        <f>'MAC (MWh)'!C47</f>
        <v>0</v>
      </c>
      <c r="J45" s="14">
        <f t="shared" si="6"/>
        <v>346.47800299999994</v>
      </c>
      <c r="K45" s="3">
        <f t="shared" si="4"/>
        <v>170.06265762851331</v>
      </c>
      <c r="L45" s="38">
        <f>IF(VLOOKUP(B45,'CT Exposição e CT CCEAR-D'!$B$4:$G$64,6,FALSE)=".",0,VLOOKUP(B45,'CT Exposição e CT CCEAR-D'!$B$4:$G$64,6,FALSE))</f>
        <v>176.20167107980518</v>
      </c>
      <c r="M45" s="3">
        <f t="shared" si="3"/>
        <v>-2127.0331209937458</v>
      </c>
    </row>
    <row r="46" spans="1:13" ht="15" customHeight="1">
      <c r="A46" s="2" t="s">
        <v>2</v>
      </c>
      <c r="B46" s="52">
        <v>160</v>
      </c>
      <c r="C46" s="37">
        <v>-32678677.370000001</v>
      </c>
      <c r="D46" s="37">
        <v>-13430982.640000001</v>
      </c>
      <c r="E46" s="37">
        <v>16912292.879999999</v>
      </c>
      <c r="F46" s="14">
        <f>'MAC (R$)'!B48</f>
        <v>0</v>
      </c>
      <c r="G46" s="14">
        <f t="shared" si="5"/>
        <v>-29197367.130000006</v>
      </c>
      <c r="H46" s="37">
        <v>-144988.21489000012</v>
      </c>
      <c r="I46" s="14">
        <f>'MAC (MWh)'!C48</f>
        <v>0</v>
      </c>
      <c r="J46" s="14">
        <f t="shared" si="6"/>
        <v>-144988.21489000012</v>
      </c>
      <c r="K46" s="3">
        <f t="shared" si="4"/>
        <v>201.37751990499027</v>
      </c>
      <c r="L46" s="38">
        <f>IF(VLOOKUP(B46,'CT Exposição e CT CCEAR-D'!$B$4:$G$64,6,FALSE)=".",0,VLOOKUP(B46,'CT Exposição e CT CCEAR-D'!$B$4:$G$64,6,FALSE))</f>
        <v>176.22139275057563</v>
      </c>
      <c r="M46" s="3">
        <f t="shared" si="3"/>
        <v>-3647341.9696644363</v>
      </c>
    </row>
    <row r="47" spans="1:13" ht="15" customHeight="1">
      <c r="A47" s="2" t="s">
        <v>42</v>
      </c>
      <c r="B47" s="52">
        <v>141</v>
      </c>
      <c r="C47" s="37">
        <v>1522304.37</v>
      </c>
      <c r="D47" s="37">
        <v>1583062.73</v>
      </c>
      <c r="E47" s="37">
        <v>485271.68</v>
      </c>
      <c r="F47" s="14">
        <f>'MAC (R$)'!B49</f>
        <v>0</v>
      </c>
      <c r="G47" s="14">
        <f t="shared" si="5"/>
        <v>3590638.7800000003</v>
      </c>
      <c r="H47" s="37">
        <v>17337.958827000002</v>
      </c>
      <c r="I47" s="14">
        <f>'MAC (MWh)'!C49</f>
        <v>0</v>
      </c>
      <c r="J47" s="14">
        <f t="shared" si="6"/>
        <v>17337.958827000002</v>
      </c>
      <c r="K47" s="3">
        <f t="shared" si="4"/>
        <v>207.09697236149745</v>
      </c>
      <c r="L47" s="38">
        <f>IF(VLOOKUP(B47,'CT Exposição e CT CCEAR-D'!$B$4:$G$64,6,FALSE)=".",0,VLOOKUP(B47,'CT Exposição e CT CCEAR-D'!$B$4:$G$64,6,FALSE))</f>
        <v>159.75068833158744</v>
      </c>
      <c r="M47" s="3">
        <f t="shared" si="3"/>
        <v>820887.92312202754</v>
      </c>
    </row>
    <row r="48" spans="1:13" ht="15" customHeight="1">
      <c r="A48" s="2" t="s">
        <v>23</v>
      </c>
      <c r="B48" s="52">
        <v>162</v>
      </c>
      <c r="C48" s="37">
        <v>-5895485.8799999999</v>
      </c>
      <c r="D48" s="37">
        <v>-1563039.82</v>
      </c>
      <c r="E48" s="37">
        <v>696273.54</v>
      </c>
      <c r="F48" s="14">
        <f>'MAC (R$)'!B50</f>
        <v>0</v>
      </c>
      <c r="G48" s="14">
        <f t="shared" si="5"/>
        <v>-6762252.1600000001</v>
      </c>
      <c r="H48" s="37">
        <v>-5650.5460110000613</v>
      </c>
      <c r="I48" s="14">
        <f>'MAC (MWh)'!C50</f>
        <v>0</v>
      </c>
      <c r="J48" s="14">
        <f t="shared" si="6"/>
        <v>-5650.5460110000613</v>
      </c>
      <c r="K48" s="3">
        <f t="shared" si="4"/>
        <v>1196.7431371828054</v>
      </c>
      <c r="L48" s="38">
        <f>IF(VLOOKUP(B48,'CT Exposição e CT CCEAR-D'!$B$4:$G$64,6,FALSE)=".",0,VLOOKUP(B48,'CT Exposição e CT CCEAR-D'!$B$4:$G$64,6,FALSE))</f>
        <v>163.59974637311447</v>
      </c>
      <c r="M48" s="3">
        <f t="shared" si="3"/>
        <v>-5837824.2657307768</v>
      </c>
    </row>
    <row r="49" spans="1:14" ht="18" customHeight="1">
      <c r="A49" s="23" t="s">
        <v>60</v>
      </c>
      <c r="B49" s="23"/>
      <c r="C49" s="4">
        <f t="shared" ref="C49:H49" si="7">SUMIF(C2:C48,"&gt;0")</f>
        <v>656119103.5599997</v>
      </c>
      <c r="D49" s="24">
        <f t="shared" si="7"/>
        <v>472027161.67000002</v>
      </c>
      <c r="E49" s="24">
        <f t="shared" si="7"/>
        <v>127806268.65000001</v>
      </c>
      <c r="F49" s="24">
        <f t="shared" si="7"/>
        <v>0</v>
      </c>
      <c r="G49" s="24">
        <f t="shared" si="7"/>
        <v>406540987.3900001</v>
      </c>
      <c r="H49" s="24">
        <f t="shared" si="7"/>
        <v>2532249.616369999</v>
      </c>
      <c r="I49" s="24">
        <f t="shared" ref="I49:J49" si="8">SUMIF(I2:I48,"&gt;0")</f>
        <v>0</v>
      </c>
      <c r="J49" s="24">
        <f t="shared" si="8"/>
        <v>2532249.616369999</v>
      </c>
      <c r="K49" s="24"/>
      <c r="L49" s="24"/>
      <c r="M49" s="24">
        <f>SUMIF(M2:M48,"&gt;0")</f>
        <v>58807285.502907507</v>
      </c>
    </row>
    <row r="50" spans="1:14" ht="18" customHeight="1">
      <c r="A50" s="23" t="s">
        <v>61</v>
      </c>
      <c r="B50" s="23"/>
      <c r="C50" s="4">
        <f t="shared" ref="C50:H50" si="9">SUMIF(C2:C48,"&lt;0")</f>
        <v>-466923561.90999997</v>
      </c>
      <c r="D50" s="24">
        <f t="shared" si="9"/>
        <v>-470357883.44999993</v>
      </c>
      <c r="E50" s="24">
        <f t="shared" si="9"/>
        <v>0</v>
      </c>
      <c r="F50" s="24">
        <f t="shared" si="9"/>
        <v>0</v>
      </c>
      <c r="G50" s="24">
        <f t="shared" si="9"/>
        <v>-87869898.87000002</v>
      </c>
      <c r="H50" s="24">
        <f t="shared" si="9"/>
        <v>-217607.9076010001</v>
      </c>
      <c r="I50" s="24">
        <f t="shared" ref="I50:J50" si="10">SUMIF(I2:I48,"&lt;0")</f>
        <v>0</v>
      </c>
      <c r="J50" s="24">
        <f t="shared" si="10"/>
        <v>-217607.9076010001</v>
      </c>
      <c r="K50" s="24"/>
      <c r="L50" s="24"/>
      <c r="M50" s="24">
        <f>SUMIF(M2:M48,"&lt;0")</f>
        <v>-140367289.18340579</v>
      </c>
    </row>
    <row r="51" spans="1:14">
      <c r="A51" s="23" t="s">
        <v>58</v>
      </c>
      <c r="B51" s="23"/>
      <c r="C51" s="24">
        <f>C49+C50</f>
        <v>189195541.64999974</v>
      </c>
      <c r="D51" s="24">
        <f t="shared" ref="D51:M51" si="11">D49+D50</f>
        <v>1669278.2200000882</v>
      </c>
      <c r="E51" s="24">
        <f t="shared" si="11"/>
        <v>127806268.65000001</v>
      </c>
      <c r="F51" s="24">
        <f t="shared" ref="F51" si="12">F49+F50</f>
        <v>0</v>
      </c>
      <c r="G51" s="24">
        <f t="shared" si="11"/>
        <v>318671088.5200001</v>
      </c>
      <c r="H51" s="24">
        <f t="shared" si="11"/>
        <v>2314641.7087689987</v>
      </c>
      <c r="I51" s="24">
        <f t="shared" ref="I51:J51" si="13">I49+I50</f>
        <v>0</v>
      </c>
      <c r="J51" s="24">
        <f t="shared" si="13"/>
        <v>2314641.7087689987</v>
      </c>
      <c r="K51" s="24"/>
      <c r="L51" s="24"/>
      <c r="M51" s="24">
        <f t="shared" si="11"/>
        <v>-81560003.680498272</v>
      </c>
    </row>
    <row r="52" spans="1:14">
      <c r="A52" s="5"/>
      <c r="B52" s="5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</row>
    <row r="53" spans="1:14" ht="38.25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</row>
    <row r="54" spans="1:14">
      <c r="A54" s="2" t="s">
        <v>262</v>
      </c>
      <c r="B54" s="52"/>
      <c r="C54" s="37">
        <v>1172998.3400000001</v>
      </c>
      <c r="D54" s="37">
        <v>-430878.69</v>
      </c>
      <c r="E54" s="37">
        <v>0</v>
      </c>
      <c r="F54" s="5"/>
      <c r="G54" s="5"/>
      <c r="H54" s="37">
        <v>30751.058999999994</v>
      </c>
      <c r="I54" s="5"/>
      <c r="J54" s="5"/>
      <c r="K54" s="5"/>
      <c r="L54" s="5"/>
      <c r="M54" s="5"/>
    </row>
    <row r="55" spans="1:14">
      <c r="A55" s="141" t="s">
        <v>49</v>
      </c>
      <c r="B55" s="141"/>
      <c r="C55" s="24">
        <f>C51+C54</f>
        <v>190368539.98999974</v>
      </c>
      <c r="D55" s="24">
        <f>D51+D54</f>
        <v>1238399.5300000883</v>
      </c>
      <c r="E55" s="24">
        <f>E51+E54</f>
        <v>127806268.65000001</v>
      </c>
      <c r="F55" s="5"/>
      <c r="G55" s="5"/>
      <c r="H55" s="24">
        <f>H51+H54</f>
        <v>2345392.7677689986</v>
      </c>
      <c r="I55" s="5"/>
      <c r="J55" s="5"/>
      <c r="K55" s="5"/>
      <c r="L55" s="5"/>
      <c r="M55" s="5"/>
    </row>
    <row r="56" spans="1:14"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</row>
    <row r="57" spans="1:14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</row>
    <row r="58" spans="1:14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</row>
    <row r="59" spans="1:14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</row>
    <row r="60" spans="1:14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</row>
    <row r="61" spans="1:14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11"/>
    </row>
    <row r="62" spans="1:14">
      <c r="N62" s="11"/>
    </row>
  </sheetData>
  <sortState ref="A4:I49">
    <sortCondition ref="A4:A49"/>
  </sortState>
  <pageMargins left="0.43307086614173201" right="0.43307086614173201" top="0.43307086614173201" bottom="0.43307086614173201" header="0.511811023622047" footer="0.511811023622047"/>
  <pageSetup paperSize="9" scale="5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K67"/>
  <sheetViews>
    <sheetView zoomScaleNormal="100" workbookViewId="0">
      <pane xSplit="1" ySplit="1" topLeftCell="B44" activePane="bottomRight" state="frozen"/>
      <selection pane="topRight" activeCell="B1" sqref="B1"/>
      <selection pane="bottomLeft" activeCell="A2" sqref="A2"/>
      <selection pane="bottomRight" activeCell="C50" sqref="C50"/>
    </sheetView>
  </sheetViews>
  <sheetFormatPr defaultRowHeight="12.75"/>
  <cols>
    <col min="1" max="1" width="17.7109375" style="7" bestFit="1" customWidth="1"/>
    <col min="2" max="2" width="17.7109375" style="7" customWidth="1"/>
    <col min="3" max="4" width="20.7109375" bestFit="1" customWidth="1"/>
    <col min="5" max="5" width="20" customWidth="1"/>
    <col min="6" max="6" width="21" bestFit="1" customWidth="1"/>
    <col min="7" max="7" width="16.5703125" customWidth="1"/>
    <col min="8" max="8" width="16" bestFit="1" customWidth="1"/>
    <col min="9" max="9" width="13.7109375" bestFit="1" customWidth="1"/>
    <col min="10" max="10" width="20.7109375" bestFit="1" customWidth="1"/>
    <col min="11" max="11" width="15.5703125" bestFit="1" customWidth="1"/>
  </cols>
  <sheetData>
    <row r="1" spans="1:11" ht="33.75">
      <c r="A1" s="1" t="s">
        <v>0</v>
      </c>
      <c r="B1" s="23" t="s">
        <v>117</v>
      </c>
      <c r="C1" s="39" t="s">
        <v>228</v>
      </c>
      <c r="D1" s="140" t="s">
        <v>51</v>
      </c>
      <c r="E1" s="39" t="s">
        <v>219</v>
      </c>
      <c r="F1" s="1" t="s">
        <v>52</v>
      </c>
      <c r="G1" s="23" t="s">
        <v>53</v>
      </c>
      <c r="H1" s="1" t="s">
        <v>54</v>
      </c>
      <c r="I1" s="23" t="s">
        <v>50</v>
      </c>
      <c r="J1" s="1" t="s">
        <v>56</v>
      </c>
      <c r="K1" s="13"/>
    </row>
    <row r="2" spans="1:11">
      <c r="A2" s="158" t="s">
        <v>257</v>
      </c>
      <c r="B2" s="52">
        <v>101</v>
      </c>
      <c r="C2" s="37">
        <v>-13751202.01</v>
      </c>
      <c r="D2" s="37">
        <v>-43112477.829999968</v>
      </c>
      <c r="E2" s="14">
        <f>VLOOKUP(A2,'MAC (R$)'!A4:D50,3,FALSE)+VLOOKUP(A2,'MAC (R$)'!A4:D50,4,FALSE)</f>
        <v>0</v>
      </c>
      <c r="F2" s="3">
        <f>SUM(C2:E2)</f>
        <v>-56863679.839999966</v>
      </c>
      <c r="G2" s="37">
        <v>209536.90900000007</v>
      </c>
      <c r="H2" s="3">
        <f>IF(G2=0,0,-F2/G2)</f>
        <v>271.37786899395343</v>
      </c>
      <c r="I2" s="38">
        <f>IF(VLOOKUP(B2,'CT Exposição e CT CCEAR-D'!$B$4:$G$64,3,FALSE)=".",VLOOKUP(B2,'CT Exposição e CT CCEAR-D'!$B$4:$G$64,6,FALSE),VLOOKUP(B2,'CT Exposição e CT CCEAR-D'!$B$4:$G$64,3,FALSE))</f>
        <v>251.76638069560272</v>
      </c>
      <c r="J2" s="14">
        <f>G2*(H2-I2)*-1</f>
        <v>-4109330.6389260786</v>
      </c>
      <c r="K2" s="13"/>
    </row>
    <row r="3" spans="1:11">
      <c r="A3" s="74" t="s">
        <v>44</v>
      </c>
      <c r="B3" s="75">
        <v>102</v>
      </c>
      <c r="C3" s="37">
        <v>-21265545.870000005</v>
      </c>
      <c r="D3" s="37">
        <v>-49546430.420000024</v>
      </c>
      <c r="E3" s="74"/>
      <c r="F3" s="74"/>
      <c r="G3" s="37">
        <v>280173.66800000012</v>
      </c>
      <c r="H3" s="55"/>
      <c r="I3" s="38">
        <f>IF(VLOOKUP(B3,'CT Exposição e CT CCEAR-D'!$B$4:$G$64,3,FALSE)=".",VLOOKUP(B3,'CT Exposição e CT CCEAR-D'!$B$4:$G$64,6,FALSE),VLOOKUP(B3,'CT Exposição e CT CCEAR-D'!$B$4:$G$64,3,FALSE))</f>
        <v>190.2868072913754</v>
      </c>
      <c r="J3" s="74"/>
      <c r="K3" s="13"/>
    </row>
    <row r="4" spans="1:11">
      <c r="A4" s="14" t="s">
        <v>1</v>
      </c>
      <c r="B4" s="52">
        <v>103</v>
      </c>
      <c r="C4" s="37">
        <v>-17209676.670000006</v>
      </c>
      <c r="D4" s="37">
        <v>-44224216.49999997</v>
      </c>
      <c r="E4" s="14">
        <f>VLOOKUP(A4,'MAC (R$)'!A6:D52,3,FALSE)+VLOOKUP(A4,'MAC (R$)'!A6:D52,4,FALSE)</f>
        <v>0</v>
      </c>
      <c r="F4" s="3">
        <f t="shared" ref="F4:F48" si="0">SUM(C4:E4)</f>
        <v>-61433893.169999972</v>
      </c>
      <c r="G4" s="37">
        <v>227302.08200000008</v>
      </c>
      <c r="H4" s="3">
        <f t="shared" ref="H4:H41" si="1">IF(G4=0,0,-F4/G4)</f>
        <v>270.27422111338137</v>
      </c>
      <c r="I4" s="38">
        <f>IF(VLOOKUP(B4,'CT Exposição e CT CCEAR-D'!$B$4:$G$64,3,FALSE)=".",VLOOKUP(B4,'CT Exposição e CT CCEAR-D'!$B$4:$G$64,6,FALSE),VLOOKUP(B4,'CT Exposição e CT CCEAR-D'!$B$4:$G$64,3,FALSE))</f>
        <v>257.0163368112743</v>
      </c>
      <c r="J4" s="14">
        <f t="shared" ref="J4:J41" si="2">G4*(H4-I4)*-1</f>
        <v>-3013544.7047840557</v>
      </c>
      <c r="K4" s="13"/>
    </row>
    <row r="5" spans="1:11">
      <c r="A5" s="14" t="s">
        <v>9</v>
      </c>
      <c r="B5" s="52">
        <v>104</v>
      </c>
      <c r="C5" s="37">
        <v>-18929680.899999995</v>
      </c>
      <c r="D5" s="37">
        <v>-57976657.029999986</v>
      </c>
      <c r="E5" s="14">
        <f>VLOOKUP(A5,'MAC (R$)'!A7:D53,3,FALSE)+VLOOKUP(A5,'MAC (R$)'!A7:D53,4,FALSE)</f>
        <v>0</v>
      </c>
      <c r="F5" s="3">
        <f t="shared" si="0"/>
        <v>-76906337.929999977</v>
      </c>
      <c r="G5" s="37">
        <v>268966.68099999987</v>
      </c>
      <c r="H5" s="3">
        <f t="shared" si="1"/>
        <v>285.93258333733917</v>
      </c>
      <c r="I5" s="38">
        <f>IF(VLOOKUP(B5,'CT Exposição e CT CCEAR-D'!$B$4:$G$64,3,FALSE)=".",VLOOKUP(B5,'CT Exposição e CT CCEAR-D'!$B$4:$G$64,6,FALSE),VLOOKUP(B5,'CT Exposição e CT CCEAR-D'!$B$4:$G$64,3,FALSE))</f>
        <v>261.56602077438993</v>
      </c>
      <c r="J5" s="14">
        <f>G5*(H5-I5)*-1</f>
        <v>-6553793.4599353075</v>
      </c>
      <c r="K5" s="13"/>
    </row>
    <row r="6" spans="1:11">
      <c r="A6" s="14" t="s">
        <v>41</v>
      </c>
      <c r="B6" s="52">
        <v>106</v>
      </c>
      <c r="C6" s="37">
        <v>-1438897.5299999993</v>
      </c>
      <c r="D6" s="37">
        <v>-3310470.1799999983</v>
      </c>
      <c r="E6" s="14">
        <f>VLOOKUP(A6,'MAC (R$)'!A8:D54,3,FALSE)+VLOOKUP(A6,'MAC (R$)'!A8:D54,4,FALSE)</f>
        <v>0</v>
      </c>
      <c r="F6" s="3">
        <f t="shared" si="0"/>
        <v>-4749367.7099999972</v>
      </c>
      <c r="G6" s="37">
        <v>16377.62200000001</v>
      </c>
      <c r="H6" s="3">
        <f t="shared" si="1"/>
        <v>289.99128872311218</v>
      </c>
      <c r="I6" s="38">
        <f>IF(VLOOKUP(B6,'CT Exposição e CT CCEAR-D'!$B$4:$G$64,3,FALSE)=".",VLOOKUP(B6,'CT Exposição e CT CCEAR-D'!$B$4:$G$64,6,FALSE),VLOOKUP(B6,'CT Exposição e CT CCEAR-D'!$B$4:$G$64,3,FALSE))</f>
        <v>266.34867733492894</v>
      </c>
      <c r="J6" s="14">
        <f t="shared" si="2"/>
        <v>-387209.7524085606</v>
      </c>
      <c r="K6" s="13"/>
    </row>
    <row r="7" spans="1:11">
      <c r="A7" s="2" t="s">
        <v>75</v>
      </c>
      <c r="B7" s="53">
        <v>107</v>
      </c>
      <c r="C7" s="37">
        <v>-7634046.1100000003</v>
      </c>
      <c r="D7" s="37">
        <v>-11703349.469999999</v>
      </c>
      <c r="E7" s="14">
        <f>VLOOKUP(A7,'MAC (R$)'!A9:D55,3,FALSE)+VLOOKUP(A7,'MAC (R$)'!A9:D55,4,FALSE)</f>
        <v>0</v>
      </c>
      <c r="F7" s="3">
        <f t="shared" si="0"/>
        <v>-19337395.579999998</v>
      </c>
      <c r="G7" s="37">
        <v>77186.713999999993</v>
      </c>
      <c r="H7" s="3">
        <f t="shared" ref="H7" si="3">IF(G7=0,0,-F7/G7)</f>
        <v>250.5275141004189</v>
      </c>
      <c r="I7" s="38">
        <f>IF(VLOOKUP(B7,'CT Exposição e CT CCEAR-D'!$B$4:$G$64,3,FALSE)=".",VLOOKUP(B7,'CT Exposição e CT CCEAR-D'!$B$4:$G$64,6,FALSE),VLOOKUP(B7,'CT Exposição e CT CCEAR-D'!$B$4:$G$64,3,FALSE))</f>
        <v>202.44948177702051</v>
      </c>
      <c r="J7" s="14">
        <f t="shared" ref="J7" si="4">G7*(H7-I7)*-1</f>
        <v>-3710985.3306289068</v>
      </c>
      <c r="K7" s="13"/>
    </row>
    <row r="8" spans="1:11">
      <c r="A8" s="14" t="s">
        <v>14</v>
      </c>
      <c r="B8" s="52">
        <v>108</v>
      </c>
      <c r="C8" s="37">
        <v>-14621513.63000001</v>
      </c>
      <c r="D8" s="37">
        <v>-26871128.240000006</v>
      </c>
      <c r="E8" s="14">
        <f>VLOOKUP(A8,'MAC (R$)'!A10:D56,3,FALSE)+VLOOKUP(A8,'MAC (R$)'!A10:D56,4,FALSE)</f>
        <v>0</v>
      </c>
      <c r="F8" s="3">
        <f t="shared" si="0"/>
        <v>-41492641.87000002</v>
      </c>
      <c r="G8" s="37">
        <v>138637.71999999997</v>
      </c>
      <c r="H8" s="3">
        <f t="shared" si="1"/>
        <v>299.28825914044194</v>
      </c>
      <c r="I8" s="38">
        <f>IF(VLOOKUP(B8,'CT Exposição e CT CCEAR-D'!$B$4:$G$64,3,FALSE)=".",VLOOKUP(B8,'CT Exposição e CT CCEAR-D'!$B$4:$G$64,6,FALSE),VLOOKUP(B8,'CT Exposição e CT CCEAR-D'!$B$4:$G$64,3,FALSE))</f>
        <v>234.11255183094937</v>
      </c>
      <c r="J8" s="14">
        <f t="shared" si="2"/>
        <v>-9035811.460775381</v>
      </c>
      <c r="K8" s="13"/>
    </row>
    <row r="9" spans="1:11">
      <c r="A9" s="14" t="s">
        <v>37</v>
      </c>
      <c r="B9" s="52">
        <v>109</v>
      </c>
      <c r="C9" s="37">
        <v>-7332558.4099999983</v>
      </c>
      <c r="D9" s="37">
        <v>-25195793.939999998</v>
      </c>
      <c r="E9" s="14">
        <f>VLOOKUP(A9,'MAC (R$)'!A11:D57,3,FALSE)+VLOOKUP(A9,'MAC (R$)'!A11:D57,4,FALSE)</f>
        <v>0</v>
      </c>
      <c r="F9" s="3">
        <f t="shared" si="0"/>
        <v>-32528352.349999994</v>
      </c>
      <c r="G9" s="37">
        <v>108412.80299999997</v>
      </c>
      <c r="H9" s="3">
        <f t="shared" si="1"/>
        <v>300.0416136274975</v>
      </c>
      <c r="I9" s="38">
        <f>IF(VLOOKUP(B9,'CT Exposição e CT CCEAR-D'!$B$4:$G$64,3,FALSE)=".",VLOOKUP(B9,'CT Exposição e CT CCEAR-D'!$B$4:$G$64,6,FALSE),VLOOKUP(B9,'CT Exposição e CT CCEAR-D'!$B$4:$G$64,3,FALSE))</f>
        <v>262.3837114441535</v>
      </c>
      <c r="J9" s="14">
        <f t="shared" si="2"/>
        <v>-4082598.7307961411</v>
      </c>
      <c r="K9" s="13"/>
    </row>
    <row r="10" spans="1:11">
      <c r="A10" s="14" t="s">
        <v>39</v>
      </c>
      <c r="B10" s="52">
        <v>110</v>
      </c>
      <c r="C10" s="37">
        <v>-19404740.370000005</v>
      </c>
      <c r="D10" s="37">
        <v>-39658177.230000034</v>
      </c>
      <c r="E10" s="14">
        <f>VLOOKUP(A10,'MAC (R$)'!A12:D58,3,FALSE)+VLOOKUP(A10,'MAC (R$)'!A12:D58,4,FALSE)</f>
        <v>0</v>
      </c>
      <c r="F10" s="3">
        <f t="shared" si="0"/>
        <v>-59062917.600000039</v>
      </c>
      <c r="G10" s="37">
        <v>217398.76899999991</v>
      </c>
      <c r="H10" s="3">
        <f t="shared" si="1"/>
        <v>271.68009217200336</v>
      </c>
      <c r="I10" s="38">
        <f>IF(VLOOKUP(B10,'CT Exposição e CT CCEAR-D'!$B$4:$G$64,3,FALSE)=".",VLOOKUP(B10,'CT Exposição e CT CCEAR-D'!$B$4:$G$64,6,FALSE),VLOOKUP(B10,'CT Exposição e CT CCEAR-D'!$B$4:$G$64,3,FALSE))</f>
        <v>251.11172149660601</v>
      </c>
      <c r="J10" s="14">
        <f t="shared" si="2"/>
        <v>-4471538.4651670801</v>
      </c>
      <c r="K10" s="13"/>
    </row>
    <row r="11" spans="1:11">
      <c r="A11" s="14" t="s">
        <v>40</v>
      </c>
      <c r="B11" s="52">
        <v>111</v>
      </c>
      <c r="C11" s="37">
        <v>-22583720.480000008</v>
      </c>
      <c r="D11" s="37">
        <v>-112713872.44000007</v>
      </c>
      <c r="E11" s="14">
        <f>VLOOKUP(A11,'MAC (R$)'!A13:D59,3,FALSE)+VLOOKUP(A11,'MAC (R$)'!A13:D59,4,FALSE)</f>
        <v>0</v>
      </c>
      <c r="F11" s="3">
        <f t="shared" si="0"/>
        <v>-135297592.92000008</v>
      </c>
      <c r="G11" s="37">
        <v>433734.79399999988</v>
      </c>
      <c r="H11" s="3">
        <f t="shared" si="1"/>
        <v>311.93622183790058</v>
      </c>
      <c r="I11" s="38">
        <f>IF(VLOOKUP(B11,'CT Exposição e CT CCEAR-D'!$B$4:$G$64,3,FALSE)=".",VLOOKUP(B11,'CT Exposição e CT CCEAR-D'!$B$4:$G$64,6,FALSE),VLOOKUP(B11,'CT Exposição e CT CCEAR-D'!$B$4:$G$64,3,FALSE))</f>
        <v>268.94931097109531</v>
      </c>
      <c r="J11" s="14">
        <f t="shared" si="2"/>
        <v>-18644918.929510135</v>
      </c>
      <c r="K11" s="13"/>
    </row>
    <row r="12" spans="1:11">
      <c r="A12" s="14" t="s">
        <v>16</v>
      </c>
      <c r="B12" s="52">
        <v>112</v>
      </c>
      <c r="C12" s="37">
        <v>-24933618.870000001</v>
      </c>
      <c r="D12" s="37">
        <v>-59573721.960000001</v>
      </c>
      <c r="E12" s="14">
        <f>VLOOKUP(A12,'MAC (R$)'!A14:D60,3,FALSE)+VLOOKUP(A12,'MAC (R$)'!A14:D60,4,FALSE)</f>
        <v>0</v>
      </c>
      <c r="F12" s="3">
        <f t="shared" si="0"/>
        <v>-84507340.829999998</v>
      </c>
      <c r="G12" s="37">
        <v>312798.67899999989</v>
      </c>
      <c r="H12" s="3">
        <f t="shared" si="1"/>
        <v>270.16527403557234</v>
      </c>
      <c r="I12" s="38">
        <f>IF(VLOOKUP(B12,'CT Exposição e CT CCEAR-D'!$B$4:$G$64,3,FALSE)=".",VLOOKUP(B12,'CT Exposição e CT CCEAR-D'!$B$4:$G$64,6,FALSE),VLOOKUP(B12,'CT Exposição e CT CCEAR-D'!$B$4:$G$64,3,FALSE))</f>
        <v>232.5505479385738</v>
      </c>
      <c r="J12" s="14">
        <f t="shared" si="2"/>
        <v>-11765836.634087965</v>
      </c>
      <c r="K12" s="13"/>
    </row>
    <row r="13" spans="1:11">
      <c r="A13" s="14" t="s">
        <v>28</v>
      </c>
      <c r="B13" s="52">
        <v>113</v>
      </c>
      <c r="C13" s="37">
        <v>-19987347.789999999</v>
      </c>
      <c r="D13" s="37">
        <v>-47464179.670000024</v>
      </c>
      <c r="E13" s="14">
        <f>VLOOKUP(A13,'MAC (R$)'!A15:D61,3,FALSE)+VLOOKUP(A13,'MAC (R$)'!A15:D61,4,FALSE)</f>
        <v>0</v>
      </c>
      <c r="F13" s="3">
        <f t="shared" si="0"/>
        <v>-67451527.460000023</v>
      </c>
      <c r="G13" s="37">
        <v>241325.80999999997</v>
      </c>
      <c r="H13" s="3">
        <f t="shared" si="1"/>
        <v>279.50399279712366</v>
      </c>
      <c r="I13" s="38">
        <f>IF(VLOOKUP(B13,'CT Exposição e CT CCEAR-D'!$B$4:$G$64,3,FALSE)=".",VLOOKUP(B13,'CT Exposição e CT CCEAR-D'!$B$4:$G$64,6,FALSE),VLOOKUP(B13,'CT Exposição e CT CCEAR-D'!$B$4:$G$64,3,FALSE))</f>
        <v>253.9231085191075</v>
      </c>
      <c r="J13" s="14">
        <f t="shared" si="2"/>
        <v>-6173327.6189085133</v>
      </c>
      <c r="K13" s="13"/>
    </row>
    <row r="14" spans="1:11">
      <c r="A14" s="14" t="s">
        <v>17</v>
      </c>
      <c r="B14" s="52">
        <v>114</v>
      </c>
      <c r="C14" s="37">
        <v>-19055061.420000006</v>
      </c>
      <c r="D14" s="37">
        <v>-62184276.009999998</v>
      </c>
      <c r="E14" s="14">
        <f>VLOOKUP(A14,'MAC (R$)'!A16:D62,3,FALSE)+VLOOKUP(A14,'MAC (R$)'!A16:D62,4,FALSE)</f>
        <v>0</v>
      </c>
      <c r="F14" s="3">
        <f t="shared" si="0"/>
        <v>-81239337.430000007</v>
      </c>
      <c r="G14" s="37">
        <v>294833.92099999997</v>
      </c>
      <c r="H14" s="3">
        <f t="shared" si="1"/>
        <v>275.54270944963628</v>
      </c>
      <c r="I14" s="38">
        <f>IF(VLOOKUP(B14,'CT Exposição e CT CCEAR-D'!$B$4:$G$64,3,FALSE)=".",VLOOKUP(B14,'CT Exposição e CT CCEAR-D'!$B$4:$G$64,6,FALSE),VLOOKUP(B14,'CT Exposição e CT CCEAR-D'!$B$4:$G$64,3,FALSE))</f>
        <v>245.25659959354206</v>
      </c>
      <c r="J14" s="14">
        <f t="shared" si="2"/>
        <v>-8929372.5207090024</v>
      </c>
      <c r="K14" s="13"/>
    </row>
    <row r="15" spans="1:11">
      <c r="A15" s="14" t="s">
        <v>171</v>
      </c>
      <c r="B15" s="52">
        <v>115</v>
      </c>
      <c r="C15" s="37">
        <v>-3429761.3200000012</v>
      </c>
      <c r="D15" s="37">
        <v>-8648459.7900000047</v>
      </c>
      <c r="E15" s="14">
        <f>VLOOKUP(A15,'MAC (R$)'!A17:D63,3,FALSE)+VLOOKUP(A15,'MAC (R$)'!A17:D63,4,FALSE)</f>
        <v>0</v>
      </c>
      <c r="F15" s="3">
        <f t="shared" si="0"/>
        <v>-12078221.110000007</v>
      </c>
      <c r="G15" s="37">
        <v>43404.50900000002</v>
      </c>
      <c r="H15" s="3">
        <f t="shared" si="1"/>
        <v>278.27111487426345</v>
      </c>
      <c r="I15" s="38">
        <f>IF(VLOOKUP(B15,'CT Exposição e CT CCEAR-D'!$B$4:$G$64,3,FALSE)=".",VLOOKUP(B15,'CT Exposição e CT CCEAR-D'!$B$4:$G$64,6,FALSE),VLOOKUP(B15,'CT Exposição e CT CCEAR-D'!$B$4:$G$64,3,FALSE))</f>
        <v>217.5428241947123</v>
      </c>
      <c r="J15" s="14">
        <f t="shared" si="2"/>
        <v>-2635881.6393551952</v>
      </c>
      <c r="K15" s="13"/>
    </row>
    <row r="16" spans="1:11">
      <c r="A16" s="14" t="s">
        <v>18</v>
      </c>
      <c r="B16" s="52">
        <v>116</v>
      </c>
      <c r="C16" s="37">
        <v>-12096770.669999998</v>
      </c>
      <c r="D16" s="37">
        <v>-29512367.290000003</v>
      </c>
      <c r="E16" s="14">
        <f>VLOOKUP(A16,'MAC (R$)'!A18:D64,3,FALSE)+VLOOKUP(A16,'MAC (R$)'!A18:D64,4,FALSE)</f>
        <v>0</v>
      </c>
      <c r="F16" s="3">
        <f t="shared" si="0"/>
        <v>-41609137.960000001</v>
      </c>
      <c r="G16" s="37">
        <v>153242.4720000001</v>
      </c>
      <c r="H16" s="3">
        <f t="shared" si="1"/>
        <v>271.52484175535864</v>
      </c>
      <c r="I16" s="38">
        <f>IF(VLOOKUP(B16,'CT Exposição e CT CCEAR-D'!$B$4:$G$64,3,FALSE)=".",VLOOKUP(B16,'CT Exposição e CT CCEAR-D'!$B$4:$G$64,6,FALSE),VLOOKUP(B16,'CT Exposição e CT CCEAR-D'!$B$4:$G$64,3,FALSE))</f>
        <v>235.04532827452078</v>
      </c>
      <c r="J16" s="14">
        <f t="shared" si="2"/>
        <v>-5590210.8231609203</v>
      </c>
      <c r="K16" s="13"/>
    </row>
    <row r="17" spans="1:11">
      <c r="A17" s="14" t="s">
        <v>170</v>
      </c>
      <c r="B17" s="52">
        <v>117</v>
      </c>
      <c r="C17" s="37">
        <v>-11776121.110000007</v>
      </c>
      <c r="D17" s="37">
        <v>-33601874.849999994</v>
      </c>
      <c r="E17" s="14">
        <f>VLOOKUP(A17,'MAC (R$)'!A19:D65,3,FALSE)+VLOOKUP(A17,'MAC (R$)'!A19:D65,4,FALSE)</f>
        <v>0</v>
      </c>
      <c r="F17" s="3">
        <f t="shared" si="0"/>
        <v>-45377995.960000001</v>
      </c>
      <c r="G17" s="37">
        <v>172354.95100000003</v>
      </c>
      <c r="H17" s="3">
        <f t="shared" si="1"/>
        <v>263.28223063345592</v>
      </c>
      <c r="I17" s="38">
        <f>IF(VLOOKUP(B17,'CT Exposição e CT CCEAR-D'!$B$4:$G$64,3,FALSE)=".",VLOOKUP(B17,'CT Exposição e CT CCEAR-D'!$B$4:$G$64,6,FALSE),VLOOKUP(B17,'CT Exposição e CT CCEAR-D'!$B$4:$G$64,3,FALSE))</f>
        <v>259.61383171704523</v>
      </c>
      <c r="J17" s="14">
        <f t="shared" si="2"/>
        <v>-632266.71548641846</v>
      </c>
      <c r="K17" s="13"/>
    </row>
    <row r="18" spans="1:11">
      <c r="A18" s="14" t="s">
        <v>36</v>
      </c>
      <c r="B18" s="52">
        <v>118</v>
      </c>
      <c r="C18" s="37">
        <v>-54573137.720000006</v>
      </c>
      <c r="D18" s="37">
        <v>-171490419.73000002</v>
      </c>
      <c r="E18" s="14">
        <f>VLOOKUP(A18,'MAC (R$)'!A20:D66,3,FALSE)+VLOOKUP(A18,'MAC (R$)'!A20:D66,4,FALSE)</f>
        <v>0</v>
      </c>
      <c r="F18" s="3">
        <f t="shared" si="0"/>
        <v>-226063557.45000002</v>
      </c>
      <c r="G18" s="37">
        <v>818291.00899999996</v>
      </c>
      <c r="H18" s="3">
        <f t="shared" si="1"/>
        <v>276.26303474391472</v>
      </c>
      <c r="I18" s="38">
        <f>IF(VLOOKUP(B18,'CT Exposição e CT CCEAR-D'!$B$4:$G$64,3,FALSE)=".",VLOOKUP(B18,'CT Exposição e CT CCEAR-D'!$B$4:$G$64,6,FALSE),VLOOKUP(B18,'CT Exposição e CT CCEAR-D'!$B$4:$G$64,3,FALSE))</f>
        <v>252.82600197430975</v>
      </c>
      <c r="J18" s="14">
        <f t="shared" si="2"/>
        <v>-19178313.193006113</v>
      </c>
      <c r="K18" s="13"/>
    </row>
    <row r="19" spans="1:11">
      <c r="A19" s="14" t="s">
        <v>19</v>
      </c>
      <c r="B19" s="52">
        <v>119</v>
      </c>
      <c r="C19" s="37">
        <v>-8088630.330000001</v>
      </c>
      <c r="D19" s="37">
        <v>-20300855.279999986</v>
      </c>
      <c r="E19" s="14">
        <f>VLOOKUP(A19,'MAC (R$)'!A21:D67,3,FALSE)+VLOOKUP(A19,'MAC (R$)'!A21:D67,4,FALSE)</f>
        <v>0</v>
      </c>
      <c r="F19" s="3">
        <f t="shared" si="0"/>
        <v>-28389485.609999988</v>
      </c>
      <c r="G19" s="37">
        <v>101219.87799999998</v>
      </c>
      <c r="H19" s="3">
        <f t="shared" si="1"/>
        <v>280.47342252279731</v>
      </c>
      <c r="I19" s="38">
        <f>IF(VLOOKUP(B19,'CT Exposição e CT CCEAR-D'!$B$4:$G$64,3,FALSE)=".",VLOOKUP(B19,'CT Exposição e CT CCEAR-D'!$B$4:$G$64,6,FALSE),VLOOKUP(B19,'CT Exposição e CT CCEAR-D'!$B$4:$G$64,3,FALSE))</f>
        <v>261.14395567715877</v>
      </c>
      <c r="J19" s="14">
        <f t="shared" si="2"/>
        <v>-1956526.2759205771</v>
      </c>
      <c r="K19" s="13"/>
    </row>
    <row r="20" spans="1:11">
      <c r="A20" s="14" t="s">
        <v>45</v>
      </c>
      <c r="B20" s="52">
        <v>120</v>
      </c>
      <c r="C20" s="37">
        <v>-2310455.79</v>
      </c>
      <c r="D20" s="37">
        <v>-5204705.16</v>
      </c>
      <c r="E20" s="14">
        <f>VLOOKUP(A20,'MAC (R$)'!A22:D68,3,FALSE)+VLOOKUP(A20,'MAC (R$)'!A22:D68,4,FALSE)</f>
        <v>0</v>
      </c>
      <c r="F20" s="3">
        <f t="shared" si="0"/>
        <v>-7515160.9500000002</v>
      </c>
      <c r="G20" s="37">
        <v>32938.976999999999</v>
      </c>
      <c r="H20" s="3">
        <f t="shared" si="1"/>
        <v>228.15404831789405</v>
      </c>
      <c r="I20" s="38">
        <f>IF(VLOOKUP(B20,'CT Exposição e CT CCEAR-D'!$B$4:$G$64,3,FALSE)=".",VLOOKUP(B20,'CT Exposição e CT CCEAR-D'!$B$4:$G$64,6,FALSE),VLOOKUP(B20,'CT Exposição e CT CCEAR-D'!$B$4:$G$64,3,FALSE))</f>
        <v>187.18500015158855</v>
      </c>
      <c r="J20" s="14">
        <f t="shared" si="2"/>
        <v>-1349478.5352618289</v>
      </c>
      <c r="K20" s="13"/>
    </row>
    <row r="21" spans="1:11">
      <c r="A21" s="14" t="s">
        <v>11</v>
      </c>
      <c r="B21" s="54">
        <v>127</v>
      </c>
      <c r="C21" s="37">
        <v>-718890.50000000012</v>
      </c>
      <c r="D21" s="37">
        <v>-928889.86999999976</v>
      </c>
      <c r="E21" s="14">
        <f>VLOOKUP(A21,'MAC (R$)'!A23:D69,3,FALSE)+VLOOKUP(A21,'MAC (R$)'!A23:D69,4,FALSE)</f>
        <v>0</v>
      </c>
      <c r="F21" s="3">
        <f t="shared" si="0"/>
        <v>-1647780.3699999999</v>
      </c>
      <c r="G21" s="37">
        <v>5499.2880000000032</v>
      </c>
      <c r="H21" s="3">
        <f t="shared" si="1"/>
        <v>299.6352200503045</v>
      </c>
      <c r="I21" s="38">
        <f>IF(VLOOKUP(B21,'CT Exposição e CT CCEAR-D'!$B$4:$G$64,3,FALSE)=".",VLOOKUP(B21,'CT Exposição e CT CCEAR-D'!$B$4:$G$64,6,FALSE),VLOOKUP(B21,'CT Exposição e CT CCEAR-D'!$B$4:$G$64,3,FALSE))</f>
        <v>301.7920511952168</v>
      </c>
      <c r="J21" s="14">
        <f t="shared" si="2"/>
        <v>11861.035633242496</v>
      </c>
      <c r="K21" s="13"/>
    </row>
    <row r="22" spans="1:11">
      <c r="A22" s="14" t="s">
        <v>4</v>
      </c>
      <c r="B22" s="52">
        <v>129</v>
      </c>
      <c r="C22" s="37">
        <v>-20274314.829999998</v>
      </c>
      <c r="D22" s="37">
        <v>-64122656.18999996</v>
      </c>
      <c r="E22" s="14">
        <f>VLOOKUP(A22,'MAC (R$)'!A24:D70,3,FALSE)+VLOOKUP(A22,'MAC (R$)'!A24:D70,4,FALSE)</f>
        <v>0</v>
      </c>
      <c r="F22" s="3">
        <f t="shared" si="0"/>
        <v>-84396971.019999951</v>
      </c>
      <c r="G22" s="37">
        <v>304044.79000000004</v>
      </c>
      <c r="H22" s="3">
        <f t="shared" si="1"/>
        <v>277.58071769623132</v>
      </c>
      <c r="I22" s="38">
        <f>IF(VLOOKUP(B22,'CT Exposição e CT CCEAR-D'!$B$4:$G$64,3,FALSE)=".",VLOOKUP(B22,'CT Exposição e CT CCEAR-D'!$B$4:$G$64,6,FALSE),VLOOKUP(B22,'CT Exposição e CT CCEAR-D'!$B$4:$G$64,3,FALSE))</f>
        <v>249.21438606769087</v>
      </c>
      <c r="J22" s="14">
        <f t="shared" si="2"/>
        <v>-8624635.3430699408</v>
      </c>
      <c r="K22" s="13"/>
    </row>
    <row r="23" spans="1:11">
      <c r="A23" s="14" t="s">
        <v>20</v>
      </c>
      <c r="B23" s="52">
        <v>130</v>
      </c>
      <c r="C23" s="37">
        <v>-15302455.18</v>
      </c>
      <c r="D23" s="37">
        <v>-42942669.000000015</v>
      </c>
      <c r="E23" s="14">
        <f>VLOOKUP(A23,'MAC (R$)'!A25:D71,3,FALSE)+VLOOKUP(A23,'MAC (R$)'!A25:D71,4,FALSE)</f>
        <v>0</v>
      </c>
      <c r="F23" s="3">
        <f t="shared" si="0"/>
        <v>-58245124.180000015</v>
      </c>
      <c r="G23" s="37">
        <v>223915.27399999986</v>
      </c>
      <c r="H23" s="3">
        <f t="shared" si="1"/>
        <v>260.12126434930047</v>
      </c>
      <c r="I23" s="38">
        <f>IF(VLOOKUP(B23,'CT Exposição e CT CCEAR-D'!$B$4:$G$64,3,FALSE)=".",VLOOKUP(B23,'CT Exposição e CT CCEAR-D'!$B$4:$G$64,6,FALSE),VLOOKUP(B23,'CT Exposição e CT CCEAR-D'!$B$4:$G$64,3,FALSE))</f>
        <v>243.81762950327283</v>
      </c>
      <c r="J23" s="14">
        <f t="shared" si="2"/>
        <v>-3650632.8637442263</v>
      </c>
      <c r="K23" s="13"/>
    </row>
    <row r="24" spans="1:11">
      <c r="A24" s="74" t="s">
        <v>31</v>
      </c>
      <c r="B24" s="75">
        <v>132</v>
      </c>
      <c r="C24" s="37">
        <v>-45176849.250000007</v>
      </c>
      <c r="D24" s="37">
        <v>-90400510.090000063</v>
      </c>
      <c r="E24" s="74">
        <f>VLOOKUP(A24,'MAC (R$)'!A26:D72,3,FALSE)+VLOOKUP(A24,'MAC (R$)'!A26:D72,4,FALSE)</f>
        <v>0</v>
      </c>
      <c r="F24" s="55">
        <f t="shared" si="0"/>
        <v>-135577359.34000006</v>
      </c>
      <c r="G24" s="37">
        <v>479178.34500000015</v>
      </c>
      <c r="H24" s="55">
        <f t="shared" si="1"/>
        <v>282.93715848114971</v>
      </c>
      <c r="I24" s="38">
        <f>IF(VLOOKUP(B24,'CT Exposição e CT CCEAR-D'!$B$4:$G$64,3,FALSE)=".",VLOOKUP(B24,'CT Exposição e CT CCEAR-D'!$B$4:$G$64,6,FALSE),VLOOKUP(B24,'CT Exposição e CT CCEAR-D'!$B$4:$G$64,3,FALSE))</f>
        <v>273.92994590924235</v>
      </c>
      <c r="J24" s="74">
        <f t="shared" si="2"/>
        <v>-4316061.2132697636</v>
      </c>
      <c r="K24" s="13"/>
    </row>
    <row r="25" spans="1:11">
      <c r="A25" s="14" t="s">
        <v>21</v>
      </c>
      <c r="B25" s="52">
        <v>133</v>
      </c>
      <c r="C25" s="37">
        <v>-8528465.1199999955</v>
      </c>
      <c r="D25" s="37">
        <v>-29876456.859999996</v>
      </c>
      <c r="E25" s="14">
        <f>VLOOKUP(A25,'MAC (R$)'!A27:D73,3,FALSE)+VLOOKUP(A25,'MAC (R$)'!A27:D73,4,FALSE)</f>
        <v>0</v>
      </c>
      <c r="F25" s="3">
        <f t="shared" si="0"/>
        <v>-38404921.979999989</v>
      </c>
      <c r="G25" s="37">
        <v>139864.435</v>
      </c>
      <c r="H25" s="3">
        <f t="shared" si="1"/>
        <v>274.58675952896812</v>
      </c>
      <c r="I25" s="38">
        <f>IF(VLOOKUP(B25,'CT Exposição e CT CCEAR-D'!$B$4:$G$64,3,FALSE)=".",VLOOKUP(B25,'CT Exposição e CT CCEAR-D'!$B$4:$G$64,6,FALSE),VLOOKUP(B25,'CT Exposição e CT CCEAR-D'!$B$4:$G$64,3,FALSE))</f>
        <v>254.10785905632798</v>
      </c>
      <c r="J25" s="14">
        <f t="shared" si="2"/>
        <v>-2864269.8440270452</v>
      </c>
      <c r="K25" s="13"/>
    </row>
    <row r="26" spans="1:11">
      <c r="A26" s="14" t="s">
        <v>30</v>
      </c>
      <c r="B26" s="52">
        <v>124</v>
      </c>
      <c r="C26" s="37">
        <v>-540091.60999999987</v>
      </c>
      <c r="D26" s="37">
        <v>-861164.31</v>
      </c>
      <c r="E26" s="14">
        <f>VLOOKUP(A26,'MAC (R$)'!A28:D74,3,FALSE)+VLOOKUP(A26,'MAC (R$)'!A28:D74,4,FALSE)</f>
        <v>0</v>
      </c>
      <c r="F26" s="3">
        <f t="shared" si="0"/>
        <v>-1401255.92</v>
      </c>
      <c r="G26" s="37">
        <v>5607.2280000000019</v>
      </c>
      <c r="H26" s="3">
        <f t="shared" si="1"/>
        <v>249.90171970891845</v>
      </c>
      <c r="I26" s="38">
        <f>IF(VLOOKUP(B26,'CT Exposição e CT CCEAR-D'!$B$4:$G$64,3,FALSE)=".",VLOOKUP(B26,'CT Exposição e CT CCEAR-D'!$B$4:$G$64,6,FALSE),VLOOKUP(B26,'CT Exposição e CT CCEAR-D'!$B$4:$G$64,3,FALSE))</f>
        <v>210.13570296361658</v>
      </c>
      <c r="J26" s="14">
        <f t="shared" si="2"/>
        <v>-222977.12254272558</v>
      </c>
      <c r="K26" s="13"/>
    </row>
    <row r="27" spans="1:11">
      <c r="A27" s="14" t="s">
        <v>34</v>
      </c>
      <c r="B27" s="52">
        <v>134</v>
      </c>
      <c r="C27" s="37">
        <v>-106064.68</v>
      </c>
      <c r="D27" s="37">
        <v>-238792.88</v>
      </c>
      <c r="E27" s="14">
        <f>VLOOKUP(A27,'MAC (R$)'!A29:D75,3,FALSE)+VLOOKUP(A27,'MAC (R$)'!A29:D75,4,FALSE)</f>
        <v>0</v>
      </c>
      <c r="F27" s="3">
        <f t="shared" si="0"/>
        <v>-344857.56</v>
      </c>
      <c r="G27" s="37">
        <v>1580.6589999999997</v>
      </c>
      <c r="H27" s="3">
        <f t="shared" si="1"/>
        <v>218.17328089107144</v>
      </c>
      <c r="I27" s="38">
        <f>IF(VLOOKUP(B27,'CT Exposição e CT CCEAR-D'!$B$4:$G$64,3,FALSE)=".",VLOOKUP(B27,'CT Exposição e CT CCEAR-D'!$B$4:$G$64,6,FALSE),VLOOKUP(B27,'CT Exposição e CT CCEAR-D'!$B$4:$G$64,3,FALSE))</f>
        <v>150.71797555926207</v>
      </c>
      <c r="J27" s="14">
        <f t="shared" si="2"/>
        <v>-106623.83547047245</v>
      </c>
      <c r="K27" s="13"/>
    </row>
    <row r="28" spans="1:11">
      <c r="A28" s="14" t="s">
        <v>38</v>
      </c>
      <c r="B28" s="52">
        <v>125</v>
      </c>
      <c r="C28" s="37">
        <v>-34210.050000000003</v>
      </c>
      <c r="D28" s="37">
        <v>-121667.63999999994</v>
      </c>
      <c r="E28" s="14">
        <f>VLOOKUP(A28,'MAC (R$)'!A30:D76,3,FALSE)+VLOOKUP(A28,'MAC (R$)'!A30:D76,4,FALSE)</f>
        <v>0</v>
      </c>
      <c r="F28" s="3">
        <f t="shared" si="0"/>
        <v>-155877.68999999994</v>
      </c>
      <c r="G28" s="37">
        <v>801.79500000000007</v>
      </c>
      <c r="H28" s="3">
        <f t="shared" si="1"/>
        <v>194.41090303631219</v>
      </c>
      <c r="I28" s="38">
        <f>IF(VLOOKUP(B28,'CT Exposição e CT CCEAR-D'!$B$4:$G$64,3,FALSE)=".",VLOOKUP(B28,'CT Exposição e CT CCEAR-D'!$B$4:$G$64,6,FALSE),VLOOKUP(B28,'CT Exposição e CT CCEAR-D'!$B$4:$G$64,3,FALSE))</f>
        <v>138.79574864650044</v>
      </c>
      <c r="J28" s="14">
        <f t="shared" si="2"/>
        <v>-44591.952713979117</v>
      </c>
      <c r="K28" s="13"/>
    </row>
    <row r="29" spans="1:11">
      <c r="A29" s="14" t="s">
        <v>5</v>
      </c>
      <c r="B29" s="52">
        <v>136</v>
      </c>
      <c r="C29" s="37">
        <v>-30739509.980000012</v>
      </c>
      <c r="D29" s="37">
        <v>-102090792.64</v>
      </c>
      <c r="E29" s="14">
        <f>VLOOKUP(A29,'MAC (R$)'!A31:D77,3,FALSE)+VLOOKUP(A29,'MAC (R$)'!A31:D77,4,FALSE)</f>
        <v>0</v>
      </c>
      <c r="F29" s="3">
        <f t="shared" si="0"/>
        <v>-132830302.62</v>
      </c>
      <c r="G29" s="37">
        <v>443091.48200000008</v>
      </c>
      <c r="H29" s="3">
        <f t="shared" si="1"/>
        <v>299.78076315175019</v>
      </c>
      <c r="I29" s="38">
        <f>IF(VLOOKUP(B29,'CT Exposição e CT CCEAR-D'!$B$4:$G$64,3,FALSE)=".",VLOOKUP(B29,'CT Exposição e CT CCEAR-D'!$B$4:$G$64,6,FALSE),VLOOKUP(B29,'CT Exposição e CT CCEAR-D'!$B$4:$G$64,3,FALSE))</f>
        <v>270.77107558151226</v>
      </c>
      <c r="J29" s="14">
        <f t="shared" si="2"/>
        <v>-12853945.457853705</v>
      </c>
      <c r="K29" s="13"/>
    </row>
    <row r="30" spans="1:11">
      <c r="A30" s="14" t="s">
        <v>32</v>
      </c>
      <c r="B30" s="52">
        <v>135</v>
      </c>
      <c r="C30" s="37">
        <v>-16338695.550000001</v>
      </c>
      <c r="D30" s="37">
        <v>-52860295.86999999</v>
      </c>
      <c r="E30" s="14">
        <f>VLOOKUP(A30,'MAC (R$)'!A32:D78,3,FALSE)+VLOOKUP(A30,'MAC (R$)'!A32:D78,4,FALSE)</f>
        <v>0</v>
      </c>
      <c r="F30" s="3">
        <f t="shared" si="0"/>
        <v>-69198991.419999987</v>
      </c>
      <c r="G30" s="37">
        <v>257204.4519999999</v>
      </c>
      <c r="H30" s="3">
        <f t="shared" si="1"/>
        <v>269.04274355251056</v>
      </c>
      <c r="I30" s="38">
        <f>IF(VLOOKUP(B30,'CT Exposição e CT CCEAR-D'!$B$4:$G$64,3,FALSE)=".",VLOOKUP(B30,'CT Exposição e CT CCEAR-D'!$B$4:$G$64,6,FALSE),VLOOKUP(B30,'CT Exposição e CT CCEAR-D'!$B$4:$G$64,3,FALSE))</f>
        <v>232.71456362617343</v>
      </c>
      <c r="J30" s="14">
        <f t="shared" si="2"/>
        <v>-9343769.6101109385</v>
      </c>
      <c r="K30" s="13"/>
    </row>
    <row r="31" spans="1:11">
      <c r="A31" s="14" t="s">
        <v>12</v>
      </c>
      <c r="B31" s="52">
        <v>126</v>
      </c>
      <c r="C31" s="37">
        <v>-1818859.8800000004</v>
      </c>
      <c r="D31" s="37">
        <v>-4515100.3900000025</v>
      </c>
      <c r="E31" s="14">
        <f>VLOOKUP(A31,'MAC (R$)'!A33:D79,3,FALSE)+VLOOKUP(A31,'MAC (R$)'!A33:D79,4,FALSE)</f>
        <v>0</v>
      </c>
      <c r="F31" s="3">
        <f t="shared" si="0"/>
        <v>-6333960.2700000033</v>
      </c>
      <c r="G31" s="37">
        <v>23096.530000000006</v>
      </c>
      <c r="H31" s="3">
        <f t="shared" si="1"/>
        <v>274.23860943613613</v>
      </c>
      <c r="I31" s="38">
        <f>IF(VLOOKUP(B31,'CT Exposição e CT CCEAR-D'!$B$4:$G$64,3,FALSE)=".",VLOOKUP(B31,'CT Exposição e CT CCEAR-D'!$B$4:$G$64,6,FALSE),VLOOKUP(B31,'CT Exposição e CT CCEAR-D'!$B$4:$G$64,3,FALSE))</f>
        <v>254.11645338761389</v>
      </c>
      <c r="J31" s="14">
        <f t="shared" si="2"/>
        <v>-464751.98083937558</v>
      </c>
      <c r="K31" s="13"/>
    </row>
    <row r="32" spans="1:11">
      <c r="A32" s="14" t="s">
        <v>29</v>
      </c>
      <c r="B32" s="52">
        <v>137</v>
      </c>
      <c r="C32" s="37">
        <v>-178143.32</v>
      </c>
      <c r="D32" s="37">
        <v>-500882.62999999989</v>
      </c>
      <c r="E32" s="14">
        <f>VLOOKUP(A32,'MAC (R$)'!A34:D80,3,FALSE)+VLOOKUP(A32,'MAC (R$)'!A34:D80,4,FALSE)</f>
        <v>0</v>
      </c>
      <c r="F32" s="3">
        <f t="shared" si="0"/>
        <v>-679025.95</v>
      </c>
      <c r="G32" s="37">
        <v>3389.2380000000012</v>
      </c>
      <c r="H32" s="3">
        <f t="shared" si="1"/>
        <v>200.34767401994185</v>
      </c>
      <c r="I32" s="38">
        <f>IF(VLOOKUP(B32,'CT Exposição e CT CCEAR-D'!$B$4:$G$64,3,FALSE)=".",VLOOKUP(B32,'CT Exposição e CT CCEAR-D'!$B$4:$G$64,6,FALSE),VLOOKUP(B32,'CT Exposição e CT CCEAR-D'!$B$4:$G$64,3,FALSE))</f>
        <v>138.68122304285976</v>
      </c>
      <c r="J32" s="14">
        <f t="shared" si="2"/>
        <v>-209002.27897666383</v>
      </c>
      <c r="K32" s="13"/>
    </row>
    <row r="33" spans="1:11">
      <c r="A33" s="14" t="s">
        <v>33</v>
      </c>
      <c r="B33" s="52">
        <v>139</v>
      </c>
      <c r="C33" s="37">
        <v>-49640.32</v>
      </c>
      <c r="D33" s="37">
        <v>-44615.35</v>
      </c>
      <c r="E33" s="14">
        <f>VLOOKUP(A33,'MAC (R$)'!A35:D81,3,FALSE)+VLOOKUP(A33,'MAC (R$)'!A35:D81,4,FALSE)</f>
        <v>0</v>
      </c>
      <c r="F33" s="3">
        <f t="shared" si="0"/>
        <v>-94255.67</v>
      </c>
      <c r="G33" s="37">
        <v>310.39699999999999</v>
      </c>
      <c r="H33" s="3">
        <f t="shared" si="1"/>
        <v>303.66166554444794</v>
      </c>
      <c r="I33" s="38">
        <f>IF(VLOOKUP(B33,'CT Exposição e CT CCEAR-D'!$B$4:$G$64,3,FALSE)=".",VLOOKUP(B33,'CT Exposição e CT CCEAR-D'!$B$4:$G$64,6,FALSE),VLOOKUP(B33,'CT Exposição e CT CCEAR-D'!$B$4:$G$64,3,FALSE))</f>
        <v>296.62961737607935</v>
      </c>
      <c r="J33" s="14">
        <f t="shared" si="2"/>
        <v>-2182.7266553171053</v>
      </c>
      <c r="K33" s="13"/>
    </row>
    <row r="34" spans="1:11">
      <c r="A34" s="14" t="s">
        <v>10</v>
      </c>
      <c r="B34" s="52">
        <v>142</v>
      </c>
      <c r="C34" s="37">
        <v>-906965.25999999978</v>
      </c>
      <c r="D34" s="37">
        <v>-2301354.7600000002</v>
      </c>
      <c r="E34" s="14">
        <f>VLOOKUP(A34,'MAC (R$)'!A36:D82,3,FALSE)+VLOOKUP(A34,'MAC (R$)'!A36:D82,4,FALSE)</f>
        <v>0</v>
      </c>
      <c r="F34" s="3">
        <f t="shared" si="0"/>
        <v>-3208320.02</v>
      </c>
      <c r="G34" s="37">
        <v>12311.536000000009</v>
      </c>
      <c r="H34" s="3">
        <f t="shared" si="1"/>
        <v>260.59461792582158</v>
      </c>
      <c r="I34" s="38">
        <f>IF(VLOOKUP(B34,'CT Exposição e CT CCEAR-D'!$B$4:$G$64,3,FALSE)=".",VLOOKUP(B34,'CT Exposição e CT CCEAR-D'!$B$4:$G$64,6,FALSE),VLOOKUP(B34,'CT Exposição e CT CCEAR-D'!$B$4:$G$64,3,FALSE))</f>
        <v>225.82417331792757</v>
      </c>
      <c r="J34" s="14">
        <f t="shared" si="2"/>
        <v>-428077.58052609325</v>
      </c>
      <c r="K34" s="13"/>
    </row>
    <row r="35" spans="1:11">
      <c r="A35" s="14" t="s">
        <v>7</v>
      </c>
      <c r="B35" s="52">
        <v>145</v>
      </c>
      <c r="C35" s="37">
        <v>-26111340.730000008</v>
      </c>
      <c r="D35" s="37">
        <v>-51173366.239999965</v>
      </c>
      <c r="E35" s="14">
        <f>VLOOKUP(A35,'MAC (R$)'!A37:D83,3,FALSE)+VLOOKUP(A35,'MAC (R$)'!A37:D83,4,FALSE)</f>
        <v>0</v>
      </c>
      <c r="F35" s="3">
        <f t="shared" si="0"/>
        <v>-77284706.969999969</v>
      </c>
      <c r="G35" s="37">
        <v>262990.26399999991</v>
      </c>
      <c r="H35" s="3">
        <f t="shared" si="1"/>
        <v>293.86908014967429</v>
      </c>
      <c r="I35" s="38">
        <f>IF(VLOOKUP(B35,'CT Exposição e CT CCEAR-D'!$B$4:$G$64,3,FALSE)=".",VLOOKUP(B35,'CT Exposição e CT CCEAR-D'!$B$4:$G$64,6,FALSE),VLOOKUP(B35,'CT Exposição e CT CCEAR-D'!$B$4:$G$64,3,FALSE))</f>
        <v>271.55321866454506</v>
      </c>
      <c r="J35" s="14">
        <f t="shared" si="2"/>
        <v>-5868854.3033615667</v>
      </c>
      <c r="K35" s="13"/>
    </row>
    <row r="36" spans="1:11">
      <c r="A36" s="14" t="s">
        <v>43</v>
      </c>
      <c r="B36" s="52">
        <v>146</v>
      </c>
      <c r="C36" s="37">
        <v>-1320059.54</v>
      </c>
      <c r="D36" s="37">
        <v>-1825392.5999999999</v>
      </c>
      <c r="E36" s="14">
        <f>VLOOKUP(A36,'MAC (R$)'!A38:D84,3,FALSE)+VLOOKUP(A36,'MAC (R$)'!A38:D84,4,FALSE)</f>
        <v>0</v>
      </c>
      <c r="F36" s="3">
        <f t="shared" si="0"/>
        <v>-3145452.1399999997</v>
      </c>
      <c r="G36" s="37">
        <v>11441.218000000001</v>
      </c>
      <c r="H36" s="3">
        <f t="shared" si="1"/>
        <v>274.92283950887042</v>
      </c>
      <c r="I36" s="38">
        <f>IF(VLOOKUP(B36,'CT Exposição e CT CCEAR-D'!$B$4:$G$64,3,FALSE)=".",VLOOKUP(B36,'CT Exposição e CT CCEAR-D'!$B$4:$G$64,6,FALSE),VLOOKUP(B36,'CT Exposição e CT CCEAR-D'!$B$4:$G$64,3,FALSE))</f>
        <v>272.38323848577653</v>
      </c>
      <c r="J36" s="14">
        <f t="shared" si="2"/>
        <v>-29056.128938240279</v>
      </c>
      <c r="K36" s="13"/>
    </row>
    <row r="37" spans="1:11">
      <c r="A37" s="14" t="s">
        <v>6</v>
      </c>
      <c r="B37" s="52">
        <v>148</v>
      </c>
      <c r="C37" s="37">
        <v>-51721701.209999993</v>
      </c>
      <c r="D37" s="37">
        <v>-129106167.89000005</v>
      </c>
      <c r="E37" s="14">
        <f>VLOOKUP(A37,'MAC (R$)'!A39:D85,3,FALSE)+VLOOKUP(A37,'MAC (R$)'!A39:D85,4,FALSE)</f>
        <v>0</v>
      </c>
      <c r="F37" s="3">
        <f t="shared" si="0"/>
        <v>-180827869.10000002</v>
      </c>
      <c r="G37" s="37">
        <v>639792.53100000019</v>
      </c>
      <c r="H37" s="3">
        <f t="shared" si="1"/>
        <v>282.63516739928929</v>
      </c>
      <c r="I37" s="38">
        <f>IF(VLOOKUP(B37,'CT Exposição e CT CCEAR-D'!$B$4:$G$64,3,FALSE)=".",VLOOKUP(B37,'CT Exposição e CT CCEAR-D'!$B$4:$G$64,6,FALSE),VLOOKUP(B37,'CT Exposição e CT CCEAR-D'!$B$4:$G$64,3,FALSE))</f>
        <v>239.69554153251786</v>
      </c>
      <c r="J37" s="14">
        <f t="shared" si="2"/>
        <v>-27472451.913494766</v>
      </c>
      <c r="K37" s="13"/>
    </row>
    <row r="38" spans="1:11">
      <c r="A38" s="14" t="s">
        <v>15</v>
      </c>
      <c r="B38" s="52">
        <v>140</v>
      </c>
      <c r="C38" s="37">
        <v>-1088854.21</v>
      </c>
      <c r="D38" s="37">
        <v>-2537972.7300000018</v>
      </c>
      <c r="E38" s="14">
        <f>VLOOKUP(A38,'MAC (R$)'!A40:D86,3,FALSE)+VLOOKUP(A38,'MAC (R$)'!A40:D86,4,FALSE)</f>
        <v>0</v>
      </c>
      <c r="F38" s="3">
        <f t="shared" si="0"/>
        <v>-3626826.9400000018</v>
      </c>
      <c r="G38" s="37">
        <v>13152.337000000005</v>
      </c>
      <c r="H38" s="3">
        <f t="shared" si="1"/>
        <v>275.75532317944715</v>
      </c>
      <c r="I38" s="38">
        <f>IF(VLOOKUP(B38,'CT Exposição e CT CCEAR-D'!$B$4:$G$64,3,FALSE)=".",VLOOKUP(B38,'CT Exposição e CT CCEAR-D'!$B$4:$G$64,6,FALSE),VLOOKUP(B38,'CT Exposição e CT CCEAR-D'!$B$4:$G$64,3,FALSE))</f>
        <v>246.6667294372854</v>
      </c>
      <c r="J38" s="14">
        <f t="shared" si="2"/>
        <v>-382582.98775300256</v>
      </c>
      <c r="K38" s="13"/>
    </row>
    <row r="39" spans="1:11">
      <c r="A39" s="14" t="s">
        <v>3</v>
      </c>
      <c r="B39" s="52">
        <v>150</v>
      </c>
      <c r="C39" s="37">
        <v>-749806.43000000052</v>
      </c>
      <c r="D39" s="37">
        <v>-1738993.0700000008</v>
      </c>
      <c r="E39" s="14">
        <f>VLOOKUP(A39,'MAC (R$)'!A41:D87,3,FALSE)+VLOOKUP(A39,'MAC (R$)'!A41:D87,4,FALSE)</f>
        <v>0</v>
      </c>
      <c r="F39" s="3">
        <f t="shared" si="0"/>
        <v>-2488799.5000000014</v>
      </c>
      <c r="G39" s="37">
        <v>10710.976999999993</v>
      </c>
      <c r="H39" s="3">
        <f t="shared" si="1"/>
        <v>232.35970910963613</v>
      </c>
      <c r="I39" s="38">
        <f>IF(VLOOKUP(B39,'CT Exposição e CT CCEAR-D'!$B$4:$G$64,3,FALSE)=".",VLOOKUP(B39,'CT Exposição e CT CCEAR-D'!$B$4:$G$64,6,FALSE),VLOOKUP(B39,'CT Exposição e CT CCEAR-D'!$B$4:$G$64,3,FALSE))</f>
        <v>198.02552098849421</v>
      </c>
      <c r="J39" s="14">
        <f t="shared" si="2"/>
        <v>-367752.69927922409</v>
      </c>
      <c r="K39" s="13"/>
    </row>
    <row r="40" spans="1:11">
      <c r="A40" s="14" t="s">
        <v>24</v>
      </c>
      <c r="B40" s="52">
        <v>153</v>
      </c>
      <c r="C40" s="37">
        <v>-6924354.9200000064</v>
      </c>
      <c r="D40" s="37">
        <v>-16734154.189999998</v>
      </c>
      <c r="E40" s="14">
        <f>VLOOKUP(A40,'MAC (R$)'!A42:D88,3,FALSE)+VLOOKUP(A40,'MAC (R$)'!A42:D88,4,FALSE)</f>
        <v>0</v>
      </c>
      <c r="F40" s="3">
        <f t="shared" si="0"/>
        <v>-23658509.110000003</v>
      </c>
      <c r="G40" s="37">
        <v>92435.645000000019</v>
      </c>
      <c r="H40" s="3">
        <f t="shared" si="1"/>
        <v>255.9457351111684</v>
      </c>
      <c r="I40" s="38">
        <f>IF(VLOOKUP(B40,'CT Exposição e CT CCEAR-D'!$B$4:$G$64,3,FALSE)=".",VLOOKUP(B40,'CT Exposição e CT CCEAR-D'!$B$4:$G$64,6,FALSE),VLOOKUP(B40,'CT Exposição e CT CCEAR-D'!$B$4:$G$64,3,FALSE))</f>
        <v>221.47276413629956</v>
      </c>
      <c r="J40" s="14">
        <f t="shared" si="2"/>
        <v>-3186531.3071282809</v>
      </c>
      <c r="K40" s="13"/>
    </row>
    <row r="41" spans="1:11">
      <c r="A41" s="14" t="s">
        <v>22</v>
      </c>
      <c r="B41" s="52">
        <v>155</v>
      </c>
      <c r="C41" s="37">
        <v>-4011020.0600000015</v>
      </c>
      <c r="D41" s="37">
        <v>-12811077.689999988</v>
      </c>
      <c r="E41" s="14">
        <f>VLOOKUP(A41,'MAC (R$)'!A43:D89,3,FALSE)+VLOOKUP(A41,'MAC (R$)'!A43:D89,4,FALSE)</f>
        <v>0</v>
      </c>
      <c r="F41" s="3">
        <f t="shared" si="0"/>
        <v>-16822097.749999989</v>
      </c>
      <c r="G41" s="37">
        <v>62870.659</v>
      </c>
      <c r="H41" s="3">
        <f t="shared" si="1"/>
        <v>267.56674763024176</v>
      </c>
      <c r="I41" s="38">
        <f>IF(VLOOKUP(B41,'CT Exposição e CT CCEAR-D'!$B$4:$G$64,3,FALSE)=".",VLOOKUP(B41,'CT Exposição e CT CCEAR-D'!$B$4:$G$64,6,FALSE),VLOOKUP(B41,'CT Exposição e CT CCEAR-D'!$B$4:$G$64,3,FALSE))</f>
        <v>227.32086528152053</v>
      </c>
      <c r="J41" s="14">
        <f t="shared" si="2"/>
        <v>-2530285.1453005723</v>
      </c>
      <c r="K41" s="13"/>
    </row>
    <row r="42" spans="1:11">
      <c r="A42" s="14" t="s">
        <v>166</v>
      </c>
      <c r="B42" s="52">
        <v>151</v>
      </c>
      <c r="C42" s="37">
        <v>-8180155.8499999978</v>
      </c>
      <c r="D42" s="37">
        <v>-16674376.499999993</v>
      </c>
      <c r="E42" s="14">
        <f>VLOOKUP(A42,'MAC (R$)'!A44:D90,3,FALSE)+VLOOKUP(A42,'MAC (R$)'!A44:D90,4,FALSE)</f>
        <v>0</v>
      </c>
      <c r="F42" s="3">
        <f t="shared" si="0"/>
        <v>-24854532.34999999</v>
      </c>
      <c r="G42" s="37">
        <v>87080.26499999997</v>
      </c>
      <c r="H42" s="3">
        <f t="shared" ref="H42:H48" si="5">IF(G42=0,0,-F42/G42)</f>
        <v>285.42095444932329</v>
      </c>
      <c r="I42" s="38">
        <f>IF(VLOOKUP(B42,'CT Exposição e CT CCEAR-D'!$B$4:$G$64,3,FALSE)=".",VLOOKUP(B42,'CT Exposição e CT CCEAR-D'!$B$4:$G$64,6,FALSE),VLOOKUP(B42,'CT Exposição e CT CCEAR-D'!$B$4:$G$64,3,FALSE))</f>
        <v>232.65907605801627</v>
      </c>
      <c r="J42" s="14">
        <f t="shared" ref="J42:J48" si="6">G42*(H42-I42)*-1</f>
        <v>-4594518.3522127876</v>
      </c>
      <c r="K42" s="13"/>
    </row>
    <row r="43" spans="1:11">
      <c r="A43" s="2" t="s">
        <v>88</v>
      </c>
      <c r="B43" s="52">
        <v>149</v>
      </c>
      <c r="C43" s="37">
        <v>0</v>
      </c>
      <c r="D43" s="37">
        <v>0</v>
      </c>
      <c r="E43" s="14">
        <f>VLOOKUP(A43,'MAC (R$)'!A45:D91,3,FALSE)+VLOOKUP(A43,'MAC (R$)'!A45:D91,4,FALSE)</f>
        <v>0</v>
      </c>
      <c r="F43" s="3">
        <f t="shared" si="0"/>
        <v>0</v>
      </c>
      <c r="G43" s="37">
        <v>0</v>
      </c>
      <c r="H43" s="3">
        <f t="shared" si="5"/>
        <v>0</v>
      </c>
      <c r="I43" s="38">
        <f>IF(VLOOKUP(B43,'CT Exposição e CT CCEAR-D'!$B$4:$G$64,3,FALSE)=".",VLOOKUP(B43,'CT Exposição e CT CCEAR-D'!$B$4:$G$64,6,FALSE),VLOOKUP(B43,'CT Exposição e CT CCEAR-D'!$B$4:$G$64,3,FALSE))</f>
        <v>189.45616803959311</v>
      </c>
      <c r="J43" s="14">
        <f t="shared" si="6"/>
        <v>0</v>
      </c>
      <c r="K43" s="13"/>
    </row>
    <row r="44" spans="1:11">
      <c r="A44" s="14" t="s">
        <v>8</v>
      </c>
      <c r="B44" s="52">
        <v>154</v>
      </c>
      <c r="C44" s="37">
        <v>-12034807.860000001</v>
      </c>
      <c r="D44" s="37">
        <v>-34108501.179999992</v>
      </c>
      <c r="E44" s="14">
        <f>VLOOKUP(A44,'MAC (R$)'!A46:D92,3,FALSE)+VLOOKUP(A44,'MAC (R$)'!A46:D92,4,FALSE)</f>
        <v>0</v>
      </c>
      <c r="F44" s="3">
        <f t="shared" si="0"/>
        <v>-46143309.039999992</v>
      </c>
      <c r="G44" s="37">
        <v>169312.65799999991</v>
      </c>
      <c r="H44" s="3">
        <f t="shared" si="5"/>
        <v>272.53313240171337</v>
      </c>
      <c r="I44" s="38">
        <f>IF(VLOOKUP(B44,'CT Exposição e CT CCEAR-D'!$B$4:$G$64,3,FALSE)=".",VLOOKUP(B44,'CT Exposição e CT CCEAR-D'!$B$4:$G$64,6,FALSE),VLOOKUP(B44,'CT Exposição e CT CCEAR-D'!$B$4:$G$64,3,FALSE))</f>
        <v>252.96297177203078</v>
      </c>
      <c r="J44" s="14">
        <f t="shared" si="6"/>
        <v>-3313475.9136985112</v>
      </c>
      <c r="K44" s="13"/>
    </row>
    <row r="45" spans="1:11">
      <c r="A45" s="14" t="s">
        <v>35</v>
      </c>
      <c r="B45" s="52">
        <v>158</v>
      </c>
      <c r="C45" s="37">
        <v>0</v>
      </c>
      <c r="D45" s="37">
        <v>0</v>
      </c>
      <c r="E45" s="14">
        <f>VLOOKUP(A45,'MAC (R$)'!A47:D93,3,FALSE)+VLOOKUP(A45,'MAC (R$)'!A47:D93,4,FALSE)</f>
        <v>0</v>
      </c>
      <c r="F45" s="3">
        <f t="shared" si="0"/>
        <v>0</v>
      </c>
      <c r="G45" s="37">
        <v>0</v>
      </c>
      <c r="H45" s="3">
        <f t="shared" si="5"/>
        <v>0</v>
      </c>
      <c r="I45" s="38">
        <f>IF(VLOOKUP(B45,'CT Exposição e CT CCEAR-D'!$B$4:$G$64,3,FALSE)=".",VLOOKUP(B45,'CT Exposição e CT CCEAR-D'!$B$4:$G$64,6,FALSE),VLOOKUP(B45,'CT Exposição e CT CCEAR-D'!$B$4:$G$64,3,FALSE))</f>
        <v>176.20167107980518</v>
      </c>
      <c r="J45" s="14">
        <f t="shared" si="6"/>
        <v>0</v>
      </c>
      <c r="K45" s="13"/>
    </row>
    <row r="46" spans="1:11">
      <c r="A46" s="14" t="s">
        <v>2</v>
      </c>
      <c r="B46" s="52">
        <v>160</v>
      </c>
      <c r="C46" s="37">
        <v>-31544181.140000019</v>
      </c>
      <c r="D46" s="37">
        <v>-72767693.260000005</v>
      </c>
      <c r="E46" s="14">
        <f>VLOOKUP(A46,'MAC (R$)'!A48:D94,3,FALSE)+VLOOKUP(A46,'MAC (R$)'!A48:D94,4,FALSE)</f>
        <v>0</v>
      </c>
      <c r="F46" s="3">
        <f t="shared" si="0"/>
        <v>-104311874.40000002</v>
      </c>
      <c r="G46" s="37">
        <v>348525.70499999996</v>
      </c>
      <c r="H46" s="3">
        <f t="shared" si="5"/>
        <v>299.29463710574817</v>
      </c>
      <c r="I46" s="38">
        <f>IF(VLOOKUP(B46,'CT Exposição e CT CCEAR-D'!$B$4:$G$64,3,FALSE)=".",VLOOKUP(B46,'CT Exposição e CT CCEAR-D'!$B$4:$G$64,6,FALSE),VLOOKUP(B46,'CT Exposição e CT CCEAR-D'!$B$4:$G$64,3,FALSE))</f>
        <v>276.52825424042226</v>
      </c>
      <c r="J46" s="14">
        <f t="shared" si="6"/>
        <v>-7934669.6384376315</v>
      </c>
      <c r="K46" s="13"/>
    </row>
    <row r="47" spans="1:11">
      <c r="A47" s="14" t="s">
        <v>42</v>
      </c>
      <c r="B47" s="52">
        <v>141</v>
      </c>
      <c r="C47" s="37">
        <v>-1097534.4899999998</v>
      </c>
      <c r="D47" s="37">
        <v>-2225642.4200000004</v>
      </c>
      <c r="E47" s="14">
        <f>VLOOKUP(A47,'MAC (R$)'!A49:D95,3,FALSE)+VLOOKUP(A47,'MAC (R$)'!A49:D95,4,FALSE)</f>
        <v>0</v>
      </c>
      <c r="F47" s="3">
        <f t="shared" si="0"/>
        <v>-3323176.91</v>
      </c>
      <c r="G47" s="37">
        <v>11175.870999999999</v>
      </c>
      <c r="H47" s="3">
        <f t="shared" si="5"/>
        <v>297.35283361806881</v>
      </c>
      <c r="I47" s="38">
        <f>IF(VLOOKUP(B47,'CT Exposição e CT CCEAR-D'!$B$4:$G$64,3,FALSE)=".",VLOOKUP(B47,'CT Exposição e CT CCEAR-D'!$B$4:$G$64,6,FALSE),VLOOKUP(B47,'CT Exposição e CT CCEAR-D'!$B$4:$G$64,3,FALSE))</f>
        <v>278.33713678044256</v>
      </c>
      <c r="J47" s="14">
        <f t="shared" si="6"/>
        <v>-212516.97483241893</v>
      </c>
      <c r="K47" s="13"/>
    </row>
    <row r="48" spans="1:11">
      <c r="A48" s="14" t="s">
        <v>23</v>
      </c>
      <c r="B48" s="52">
        <v>162</v>
      </c>
      <c r="C48" s="37">
        <v>-13656452.450000009</v>
      </c>
      <c r="D48" s="37">
        <v>-26542521.190000001</v>
      </c>
      <c r="E48" s="14">
        <f>VLOOKUP(A48,'MAC (R$)'!A50:D96,3,FALSE)+VLOOKUP(A48,'MAC (R$)'!A50:D96,4,FALSE)</f>
        <v>0</v>
      </c>
      <c r="F48" s="3">
        <f t="shared" si="0"/>
        <v>-40198973.640000008</v>
      </c>
      <c r="G48" s="37">
        <v>149794.92999999996</v>
      </c>
      <c r="H48" s="3">
        <f t="shared" si="5"/>
        <v>268.36004155814896</v>
      </c>
      <c r="I48" s="38">
        <f>IF(VLOOKUP(B48,'CT Exposição e CT CCEAR-D'!$B$4:$G$64,3,FALSE)=".",VLOOKUP(B48,'CT Exposição e CT CCEAR-D'!$B$4:$G$64,6,FALSE),VLOOKUP(B48,'CT Exposição e CT CCEAR-D'!$B$4:$G$64,3,FALSE))</f>
        <v>253.65277434266071</v>
      </c>
      <c r="J48" s="14">
        <f t="shared" si="6"/>
        <v>-2203074.0630353582</v>
      </c>
      <c r="K48" s="13"/>
    </row>
    <row r="49" spans="1:10">
      <c r="A49" s="16" t="s">
        <v>49</v>
      </c>
      <c r="B49" s="16"/>
      <c r="C49" s="16">
        <f>SUM(C2:C48)</f>
        <v>-599575911.4200002</v>
      </c>
      <c r="D49" s="16">
        <f>SUM(D2:D48)</f>
        <v>-1612345140.4600005</v>
      </c>
      <c r="E49" s="15">
        <f>SUM(E2:E48)</f>
        <v>0</v>
      </c>
      <c r="F49" s="15">
        <f>SUM(F2:F48)</f>
        <v>-2141109075.5900009</v>
      </c>
      <c r="G49" s="15">
        <f>SUM(G2:G48)</f>
        <v>7907316.477</v>
      </c>
      <c r="H49" s="15">
        <f>MEDIAN(H2:H48)</f>
        <v>274.41268448255209</v>
      </c>
      <c r="I49" s="15">
        <f>MEDIAN(I2:I48)</f>
        <v>249.21438606769087</v>
      </c>
      <c r="J49" s="16">
        <f>SUM(J2:J48)</f>
        <v>-213436375.63046747</v>
      </c>
    </row>
    <row r="50" spans="1:10">
      <c r="A50" s="12"/>
      <c r="B50" s="12"/>
    </row>
    <row r="51" spans="1:10">
      <c r="A51" s="28"/>
      <c r="B51" s="28"/>
      <c r="C51" s="13"/>
      <c r="D51" s="13"/>
      <c r="E51" s="13"/>
      <c r="F51" s="13"/>
      <c r="G51" s="13"/>
      <c r="H51" s="13"/>
      <c r="I51" s="13"/>
      <c r="J51" s="13"/>
    </row>
    <row r="52" spans="1:10">
      <c r="A52" s="5" t="s">
        <v>233</v>
      </c>
      <c r="B52" s="5"/>
      <c r="D52" s="37">
        <v>-1058575.57</v>
      </c>
      <c r="E52" s="13"/>
      <c r="F52" s="13"/>
      <c r="G52" s="37">
        <v>5892.48</v>
      </c>
    </row>
    <row r="53" spans="1:10">
      <c r="A53" s="7" t="s">
        <v>262</v>
      </c>
      <c r="D53" s="37">
        <v>-1068884.1399999999</v>
      </c>
      <c r="G53" s="37">
        <v>8646.7839999999997</v>
      </c>
    </row>
    <row r="54" spans="1:10">
      <c r="D54" s="26">
        <f>D49+D52+D53</f>
        <v>-1614472600.1700006</v>
      </c>
      <c r="G54" s="26">
        <f>G49+G52+G53</f>
        <v>7921855.7410000004</v>
      </c>
    </row>
    <row r="55" spans="1:10">
      <c r="D55" s="13"/>
    </row>
    <row r="58" spans="1:10">
      <c r="C58" s="13"/>
      <c r="D58" s="13"/>
      <c r="E58" s="13"/>
      <c r="F58" s="13"/>
      <c r="G58" s="13"/>
    </row>
    <row r="60" spans="1:10">
      <c r="I60" s="13"/>
    </row>
    <row r="61" spans="1:10">
      <c r="H61" s="26"/>
      <c r="I61" s="13"/>
    </row>
    <row r="65" spans="8:9">
      <c r="H65" s="26"/>
    </row>
    <row r="67" spans="8:9">
      <c r="I67" s="2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pageSetUpPr fitToPage="1"/>
  </sheetPr>
  <dimension ref="A1:C62"/>
  <sheetViews>
    <sheetView showGridLines="0" zoomScaleNormal="100" workbookViewId="0">
      <pane xSplit="1" ySplit="1" topLeftCell="B47" activePane="bottomRight" state="frozen"/>
      <selection pane="topRight" activeCell="B1" sqref="B1"/>
      <selection pane="bottomLeft" activeCell="A2" sqref="A2"/>
      <selection pane="bottomRight" activeCell="C53" sqref="C53"/>
    </sheetView>
  </sheetViews>
  <sheetFormatPr defaultRowHeight="11.25"/>
  <cols>
    <col min="1" max="1" width="17.7109375" style="7" bestFit="1" customWidth="1"/>
    <col min="2" max="2" width="20.7109375" style="7" bestFit="1" customWidth="1"/>
    <col min="3" max="3" width="21.42578125" style="7" bestFit="1" customWidth="1"/>
    <col min="4" max="4" width="20" style="7" customWidth="1"/>
    <col min="5" max="5" width="21.7109375" style="7" customWidth="1"/>
    <col min="6" max="6" width="20.28515625" style="7" customWidth="1"/>
    <col min="7" max="7" width="19.7109375" style="7" customWidth="1"/>
    <col min="8" max="8" width="21" style="7" customWidth="1"/>
    <col min="9" max="9" width="21.7109375" style="7" customWidth="1"/>
    <col min="10" max="10" width="20" style="7" customWidth="1"/>
    <col min="11" max="11" width="21" style="7" customWidth="1"/>
    <col min="12" max="12" width="20.7109375" style="7" customWidth="1"/>
    <col min="13" max="13" width="21.5703125" style="7" customWidth="1"/>
    <col min="14" max="14" width="19.7109375" style="7" customWidth="1"/>
    <col min="15" max="15" width="21.85546875" style="7" customWidth="1"/>
    <col min="16" max="16" width="20.85546875" style="7" customWidth="1"/>
    <col min="17" max="16384" width="9.140625" style="7"/>
  </cols>
  <sheetData>
    <row r="1" spans="1:3" ht="45">
      <c r="A1" s="23" t="s">
        <v>0</v>
      </c>
      <c r="B1" s="23" t="s">
        <v>172</v>
      </c>
      <c r="C1" s="23" t="s">
        <v>62</v>
      </c>
    </row>
    <row r="2" spans="1:3" ht="15" customHeight="1">
      <c r="A2" s="158" t="s">
        <v>257</v>
      </c>
      <c r="B2" s="41">
        <f t="shared" ref="B2:B42" si="0">SUM(C2:C2)</f>
        <v>-5120005.0599999996</v>
      </c>
      <c r="C2" s="38">
        <v>-5120005.0599999996</v>
      </c>
    </row>
    <row r="3" spans="1:3" ht="15" customHeight="1">
      <c r="A3" s="158" t="s">
        <v>44</v>
      </c>
      <c r="B3" s="124"/>
      <c r="C3" s="38">
        <v>0</v>
      </c>
    </row>
    <row r="4" spans="1:3" ht="15" customHeight="1">
      <c r="A4" s="2" t="s">
        <v>1</v>
      </c>
      <c r="B4" s="41">
        <f t="shared" si="0"/>
        <v>-7832110.7199999997</v>
      </c>
      <c r="C4" s="38">
        <v>-7832110.7199999997</v>
      </c>
    </row>
    <row r="5" spans="1:3" ht="15" customHeight="1">
      <c r="A5" s="2" t="s">
        <v>9</v>
      </c>
      <c r="B5" s="41">
        <f t="shared" si="0"/>
        <v>-6847111.8200000003</v>
      </c>
      <c r="C5" s="38">
        <v>-6847111.8200000003</v>
      </c>
    </row>
    <row r="6" spans="1:3" ht="15" customHeight="1">
      <c r="A6" s="2" t="s">
        <v>41</v>
      </c>
      <c r="B6" s="41">
        <f t="shared" si="0"/>
        <v>-752799.54</v>
      </c>
      <c r="C6" s="38">
        <v>-752799.54</v>
      </c>
    </row>
    <row r="7" spans="1:3" ht="15" customHeight="1">
      <c r="A7" s="2" t="s">
        <v>75</v>
      </c>
      <c r="B7" s="41">
        <f t="shared" si="0"/>
        <v>-1069564.97</v>
      </c>
      <c r="C7" s="38">
        <v>-1069564.97</v>
      </c>
    </row>
    <row r="8" spans="1:3" ht="15" customHeight="1">
      <c r="A8" s="2" t="s">
        <v>14</v>
      </c>
      <c r="B8" s="41">
        <f t="shared" si="0"/>
        <v>-3511114.89</v>
      </c>
      <c r="C8" s="38">
        <v>-3511114.89</v>
      </c>
    </row>
    <row r="9" spans="1:3" ht="15" customHeight="1">
      <c r="A9" s="2" t="s">
        <v>37</v>
      </c>
      <c r="B9" s="41">
        <f t="shared" si="0"/>
        <v>-3962749.85</v>
      </c>
      <c r="C9" s="38">
        <v>-3962749.85</v>
      </c>
    </row>
    <row r="10" spans="1:3" ht="15" customHeight="1">
      <c r="A10" s="2" t="s">
        <v>39</v>
      </c>
      <c r="B10" s="41">
        <f t="shared" si="0"/>
        <v>-5804174.9400000004</v>
      </c>
      <c r="C10" s="38">
        <v>-5804174.9400000004</v>
      </c>
    </row>
    <row r="11" spans="1:3" ht="15" customHeight="1">
      <c r="A11" s="2" t="s">
        <v>40</v>
      </c>
      <c r="B11" s="41">
        <f t="shared" si="0"/>
        <v>-7053571.7000000002</v>
      </c>
      <c r="C11" s="38">
        <v>-7053571.7000000002</v>
      </c>
    </row>
    <row r="12" spans="1:3" ht="15" customHeight="1">
      <c r="A12" s="2" t="s">
        <v>16</v>
      </c>
      <c r="B12" s="41">
        <f t="shared" si="0"/>
        <v>-8567359.1500000004</v>
      </c>
      <c r="C12" s="38">
        <v>-8567359.1500000004</v>
      </c>
    </row>
    <row r="13" spans="1:3" ht="15" customHeight="1">
      <c r="A13" s="2" t="s">
        <v>28</v>
      </c>
      <c r="B13" s="41">
        <f t="shared" si="0"/>
        <v>-7465609.71</v>
      </c>
      <c r="C13" s="38">
        <v>-7465609.71</v>
      </c>
    </row>
    <row r="14" spans="1:3" ht="15" customHeight="1">
      <c r="A14" s="2" t="s">
        <v>17</v>
      </c>
      <c r="B14" s="41">
        <f t="shared" si="0"/>
        <v>-8285654.5099999998</v>
      </c>
      <c r="C14" s="38">
        <v>-8285654.5099999998</v>
      </c>
    </row>
    <row r="15" spans="1:3" ht="15" customHeight="1">
      <c r="A15" s="101" t="s">
        <v>171</v>
      </c>
      <c r="B15" s="41">
        <f t="shared" si="0"/>
        <v>-1426678.38</v>
      </c>
      <c r="C15" s="38">
        <v>-1426678.38</v>
      </c>
    </row>
    <row r="16" spans="1:3" ht="15" customHeight="1">
      <c r="A16" s="2" t="s">
        <v>18</v>
      </c>
      <c r="B16" s="41">
        <f t="shared" si="0"/>
        <v>-5673261.8600000003</v>
      </c>
      <c r="C16" s="38">
        <v>-5673261.8600000003</v>
      </c>
    </row>
    <row r="17" spans="1:3" ht="15" customHeight="1">
      <c r="A17" s="101" t="s">
        <v>170</v>
      </c>
      <c r="B17" s="41">
        <f t="shared" si="0"/>
        <v>-3431757.47</v>
      </c>
      <c r="C17" s="38">
        <v>-3431757.47</v>
      </c>
    </row>
    <row r="18" spans="1:3" ht="15" customHeight="1">
      <c r="A18" s="2" t="s">
        <v>36</v>
      </c>
      <c r="B18" s="41">
        <f t="shared" si="0"/>
        <v>-19181623.420000002</v>
      </c>
      <c r="C18" s="38">
        <v>-19181623.420000002</v>
      </c>
    </row>
    <row r="19" spans="1:3" ht="15" customHeight="1">
      <c r="A19" s="2" t="s">
        <v>19</v>
      </c>
      <c r="B19" s="41">
        <f t="shared" si="0"/>
        <v>-3248640.21</v>
      </c>
      <c r="C19" s="38">
        <v>-3248640.21</v>
      </c>
    </row>
    <row r="20" spans="1:3" ht="15" customHeight="1">
      <c r="A20" s="158" t="s">
        <v>45</v>
      </c>
      <c r="B20" s="124"/>
      <c r="C20" s="38">
        <v>-1331480.75</v>
      </c>
    </row>
    <row r="21" spans="1:3" ht="15" customHeight="1">
      <c r="A21" s="2" t="s">
        <v>11</v>
      </c>
      <c r="B21" s="41">
        <f t="shared" si="0"/>
        <v>-471405.64</v>
      </c>
      <c r="C21" s="38">
        <v>-471405.64</v>
      </c>
    </row>
    <row r="22" spans="1:3" ht="15" customHeight="1">
      <c r="A22" s="2" t="s">
        <v>4</v>
      </c>
      <c r="B22" s="41">
        <f t="shared" si="0"/>
        <v>-14907079.15</v>
      </c>
      <c r="C22" s="38">
        <v>-14907079.15</v>
      </c>
    </row>
    <row r="23" spans="1:3" ht="15" customHeight="1">
      <c r="A23" s="2" t="s">
        <v>20</v>
      </c>
      <c r="B23" s="41">
        <f t="shared" si="0"/>
        <v>-7034866.5700000003</v>
      </c>
      <c r="C23" s="38">
        <v>-7034866.5700000003</v>
      </c>
    </row>
    <row r="24" spans="1:3" s="10" customFormat="1" ht="15" customHeight="1">
      <c r="A24" s="2" t="s">
        <v>31</v>
      </c>
      <c r="B24" s="41">
        <f t="shared" si="0"/>
        <v>-16921376.73</v>
      </c>
      <c r="C24" s="38">
        <v>-16921376.73</v>
      </c>
    </row>
    <row r="25" spans="1:3" ht="15" customHeight="1">
      <c r="A25" s="2" t="s">
        <v>21</v>
      </c>
      <c r="B25" s="41">
        <f t="shared" si="0"/>
        <v>-3342747.28</v>
      </c>
      <c r="C25" s="38">
        <v>-3342747.28</v>
      </c>
    </row>
    <row r="26" spans="1:3" ht="15" customHeight="1">
      <c r="A26" s="2" t="s">
        <v>30</v>
      </c>
      <c r="B26" s="41">
        <f t="shared" si="0"/>
        <v>-254228.37</v>
      </c>
      <c r="C26" s="38">
        <v>-254228.37</v>
      </c>
    </row>
    <row r="27" spans="1:3" ht="15" customHeight="1">
      <c r="A27" s="2" t="s">
        <v>34</v>
      </c>
      <c r="B27" s="41">
        <f t="shared" si="0"/>
        <v>-124854.3</v>
      </c>
      <c r="C27" s="38">
        <v>-124854.3</v>
      </c>
    </row>
    <row r="28" spans="1:3" ht="15" customHeight="1">
      <c r="A28" s="2" t="s">
        <v>38</v>
      </c>
      <c r="B28" s="41">
        <f t="shared" si="0"/>
        <v>-77639.399999999994</v>
      </c>
      <c r="C28" s="38">
        <v>-77639.399999999994</v>
      </c>
    </row>
    <row r="29" spans="1:3" ht="15" customHeight="1">
      <c r="A29" s="2" t="s">
        <v>5</v>
      </c>
      <c r="B29" s="41">
        <f t="shared" si="0"/>
        <v>-13582260.699999999</v>
      </c>
      <c r="C29" s="38">
        <v>-13582260.699999999</v>
      </c>
    </row>
    <row r="30" spans="1:3" ht="15" customHeight="1">
      <c r="A30" s="2" t="s">
        <v>32</v>
      </c>
      <c r="B30" s="41">
        <f t="shared" si="0"/>
        <v>-4475397.33</v>
      </c>
      <c r="C30" s="38">
        <v>-4475397.33</v>
      </c>
    </row>
    <row r="31" spans="1:3" ht="15" customHeight="1">
      <c r="A31" s="2" t="s">
        <v>12</v>
      </c>
      <c r="B31" s="41">
        <f t="shared" si="0"/>
        <v>-698895.74</v>
      </c>
      <c r="C31" s="38">
        <v>-698895.74</v>
      </c>
    </row>
    <row r="32" spans="1:3" ht="15" customHeight="1">
      <c r="A32" s="2" t="s">
        <v>29</v>
      </c>
      <c r="B32" s="41">
        <f t="shared" si="0"/>
        <v>-141351.82</v>
      </c>
      <c r="C32" s="38">
        <v>-141351.82</v>
      </c>
    </row>
    <row r="33" spans="1:3" ht="15" customHeight="1">
      <c r="A33" s="2" t="s">
        <v>33</v>
      </c>
      <c r="B33" s="41">
        <f t="shared" si="0"/>
        <v>-217515.14</v>
      </c>
      <c r="C33" s="38">
        <v>-217515.14</v>
      </c>
    </row>
    <row r="34" spans="1:3" ht="15" customHeight="1">
      <c r="A34" s="2" t="s">
        <v>10</v>
      </c>
      <c r="B34" s="41">
        <f t="shared" si="0"/>
        <v>-355397.61</v>
      </c>
      <c r="C34" s="38">
        <v>-355397.61</v>
      </c>
    </row>
    <row r="35" spans="1:3" ht="15" customHeight="1">
      <c r="A35" s="2" t="s">
        <v>7</v>
      </c>
      <c r="B35" s="41">
        <f t="shared" si="0"/>
        <v>-8274295.3799999999</v>
      </c>
      <c r="C35" s="38">
        <v>-8274295.3799999999</v>
      </c>
    </row>
    <row r="36" spans="1:3" ht="15" customHeight="1">
      <c r="A36" s="2" t="s">
        <v>43</v>
      </c>
      <c r="B36" s="41">
        <f t="shared" si="0"/>
        <v>-914770.59</v>
      </c>
      <c r="C36" s="38">
        <v>-914770.59</v>
      </c>
    </row>
    <row r="37" spans="1:3" ht="15" customHeight="1">
      <c r="A37" s="2" t="s">
        <v>6</v>
      </c>
      <c r="B37" s="41">
        <f t="shared" si="0"/>
        <v>-24221806.43</v>
      </c>
      <c r="C37" s="38">
        <v>-24221806.43</v>
      </c>
    </row>
    <row r="38" spans="1:3" ht="15" customHeight="1">
      <c r="A38" s="2" t="s">
        <v>15</v>
      </c>
      <c r="B38" s="41">
        <f t="shared" si="0"/>
        <v>-555041.93999999994</v>
      </c>
      <c r="C38" s="38">
        <v>-555041.93999999994</v>
      </c>
    </row>
    <row r="39" spans="1:3" ht="15" customHeight="1">
      <c r="A39" s="2" t="s">
        <v>3</v>
      </c>
      <c r="B39" s="41">
        <f t="shared" si="0"/>
        <v>-791007.71</v>
      </c>
      <c r="C39" s="38">
        <v>-791007.71</v>
      </c>
    </row>
    <row r="40" spans="1:3" ht="15" customHeight="1">
      <c r="A40" s="2" t="s">
        <v>24</v>
      </c>
      <c r="B40" s="41">
        <f t="shared" si="0"/>
        <v>-3588504.02</v>
      </c>
      <c r="C40" s="38">
        <v>-3588504.02</v>
      </c>
    </row>
    <row r="41" spans="1:3" ht="15" customHeight="1">
      <c r="A41" s="2" t="s">
        <v>22</v>
      </c>
      <c r="B41" s="41">
        <f t="shared" si="0"/>
        <v>-2551201.17</v>
      </c>
      <c r="C41" s="38">
        <v>-2551201.17</v>
      </c>
    </row>
    <row r="42" spans="1:3" ht="15" customHeight="1">
      <c r="A42" s="101" t="s">
        <v>166</v>
      </c>
      <c r="B42" s="41">
        <f t="shared" si="0"/>
        <v>-3345074.2</v>
      </c>
      <c r="C42" s="38">
        <v>-3345074.2</v>
      </c>
    </row>
    <row r="43" spans="1:3" ht="15" customHeight="1">
      <c r="A43" s="2" t="s">
        <v>88</v>
      </c>
      <c r="B43" s="41">
        <f t="shared" ref="B43:B44" si="1">SUM(C43:C43)</f>
        <v>0</v>
      </c>
      <c r="C43" s="38">
        <v>0</v>
      </c>
    </row>
    <row r="44" spans="1:3" ht="15" customHeight="1">
      <c r="A44" s="2" t="s">
        <v>8</v>
      </c>
      <c r="B44" s="41">
        <f t="shared" si="1"/>
        <v>-4805887.09</v>
      </c>
      <c r="C44" s="38">
        <v>-4805887.09</v>
      </c>
    </row>
    <row r="45" spans="1:3" ht="15" customHeight="1">
      <c r="A45" s="2" t="s">
        <v>35</v>
      </c>
      <c r="B45" s="41">
        <f>SUM(C45:C45)</f>
        <v>-75313.66</v>
      </c>
      <c r="C45" s="38">
        <v>-75313.66</v>
      </c>
    </row>
    <row r="46" spans="1:3" ht="15" customHeight="1">
      <c r="A46" s="2" t="s">
        <v>2</v>
      </c>
      <c r="B46" s="41">
        <f>SUM(C46:C46)</f>
        <v>-17577481.649999999</v>
      </c>
      <c r="C46" s="38">
        <v>-17577481.649999999</v>
      </c>
    </row>
    <row r="47" spans="1:3" ht="15" customHeight="1">
      <c r="A47" s="2" t="s">
        <v>42</v>
      </c>
      <c r="B47" s="41">
        <f>SUM(C47:C47)</f>
        <v>-540221.27</v>
      </c>
      <c r="C47" s="38">
        <v>-540221.27</v>
      </c>
    </row>
    <row r="48" spans="1:3" ht="15" customHeight="1">
      <c r="A48" s="2" t="s">
        <v>23</v>
      </c>
      <c r="B48" s="41">
        <f>SUM(C48:C48)</f>
        <v>-6732419.8399999999</v>
      </c>
      <c r="C48" s="38">
        <v>-6732419.8399999999</v>
      </c>
    </row>
    <row r="49" spans="1:3" ht="15" customHeight="1"/>
    <row r="50" spans="1:3" ht="18" customHeight="1">
      <c r="A50" s="23" t="s">
        <v>60</v>
      </c>
      <c r="B50" s="24">
        <f>SUMIF(B2:B48,"&gt;0")</f>
        <v>0</v>
      </c>
      <c r="C50" s="24">
        <f>SUMIF(C2:C48,"&gt;0")</f>
        <v>0</v>
      </c>
    </row>
    <row r="51" spans="1:3" ht="18" customHeight="1">
      <c r="A51" s="23" t="s">
        <v>61</v>
      </c>
      <c r="B51" s="24">
        <f>SUMIF(B2:B48,"&lt;0")</f>
        <v>-235811828.93000004</v>
      </c>
      <c r="C51" s="24">
        <f>SUMIF(C2:C48,"&lt;0")</f>
        <v>-237143309.68000004</v>
      </c>
    </row>
    <row r="52" spans="1:3">
      <c r="A52" s="23" t="s">
        <v>58</v>
      </c>
      <c r="B52" s="24">
        <f t="shared" ref="B52" si="2">B50+B51</f>
        <v>-235811828.93000004</v>
      </c>
      <c r="C52" s="24">
        <f t="shared" ref="C52" si="3">C50+C51</f>
        <v>-237143309.68000004</v>
      </c>
    </row>
    <row r="53" spans="1:3">
      <c r="A53" s="5"/>
      <c r="B53" s="5"/>
      <c r="C53" s="8"/>
    </row>
    <row r="54" spans="1:3" ht="38.25" customHeight="1">
      <c r="A54" s="5"/>
      <c r="B54" s="5"/>
      <c r="C54" s="5"/>
    </row>
    <row r="55" spans="1:3">
      <c r="C55" s="5"/>
    </row>
    <row r="56" spans="1:3">
      <c r="A56" s="6"/>
      <c r="B56" s="6"/>
      <c r="C56" s="5"/>
    </row>
    <row r="57" spans="1:3">
      <c r="C57" s="5"/>
    </row>
    <row r="58" spans="1:3">
      <c r="C58" s="5"/>
    </row>
    <row r="59" spans="1:3">
      <c r="C59" s="5"/>
    </row>
    <row r="60" spans="1:3">
      <c r="C60" s="5"/>
    </row>
    <row r="61" spans="1:3">
      <c r="C61" s="5"/>
    </row>
    <row r="62" spans="1:3">
      <c r="C62" s="5"/>
    </row>
  </sheetData>
  <pageMargins left="0.43307086614173201" right="0.43307086614173201" top="0.43307086614173201" bottom="0.43307086614173201" header="0.511811023622047" footer="0.511811023622047"/>
  <pageSetup paperSize="9" scale="59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pageSetUpPr fitToPage="1"/>
  </sheetPr>
  <dimension ref="A1:J63"/>
  <sheetViews>
    <sheetView showGridLines="0" zoomScaleNormal="100" workbookViewId="0">
      <pane xSplit="1" ySplit="1" topLeftCell="B4" activePane="bottomRight" state="frozen"/>
      <selection pane="topRight" activeCell="B1" sqref="B1"/>
      <selection pane="bottomLeft" activeCell="A2" sqref="A2"/>
      <selection pane="bottomRight" activeCell="D22" sqref="D22"/>
    </sheetView>
  </sheetViews>
  <sheetFormatPr defaultRowHeight="11.25"/>
  <cols>
    <col min="1" max="1" width="17.7109375" style="7" bestFit="1" customWidth="1"/>
    <col min="2" max="2" width="21.42578125" style="7" bestFit="1" customWidth="1"/>
    <col min="3" max="3" width="21.28515625" style="7" customWidth="1"/>
    <col min="4" max="4" width="17.28515625" style="7" customWidth="1"/>
    <col min="5" max="5" width="12.5703125" style="7" bestFit="1" customWidth="1"/>
    <col min="6" max="6" width="15.7109375" style="7" bestFit="1" customWidth="1"/>
    <col min="7" max="10" width="19" style="7" customWidth="1"/>
    <col min="11" max="11" width="20" style="7" customWidth="1"/>
    <col min="12" max="12" width="21.7109375" style="7" customWidth="1"/>
    <col min="13" max="13" width="20.28515625" style="7" customWidth="1"/>
    <col min="14" max="14" width="19.7109375" style="7" customWidth="1"/>
    <col min="15" max="15" width="21" style="7" customWidth="1"/>
    <col min="16" max="16" width="21.7109375" style="7" customWidth="1"/>
    <col min="17" max="17" width="20" style="7" customWidth="1"/>
    <col min="18" max="18" width="21" style="7" customWidth="1"/>
    <col min="19" max="19" width="20.7109375" style="7" customWidth="1"/>
    <col min="20" max="20" width="21.5703125" style="7" customWidth="1"/>
    <col min="21" max="21" width="19.7109375" style="7" customWidth="1"/>
    <col min="22" max="22" width="21.85546875" style="7" customWidth="1"/>
    <col min="23" max="23" width="20.85546875" style="7" customWidth="1"/>
    <col min="24" max="16384" width="9.140625" style="7"/>
  </cols>
  <sheetData>
    <row r="1" spans="1:10" ht="67.5" customHeight="1">
      <c r="A1" s="23" t="s">
        <v>0</v>
      </c>
      <c r="B1" s="23" t="s">
        <v>71</v>
      </c>
      <c r="C1" s="29"/>
    </row>
    <row r="2" spans="1:10" ht="15" customHeight="1">
      <c r="A2" s="158" t="s">
        <v>257</v>
      </c>
      <c r="B2" s="38">
        <v>1773587.43</v>
      </c>
      <c r="E2" s="8"/>
      <c r="F2" s="8"/>
    </row>
    <row r="3" spans="1:10" ht="15" customHeight="1">
      <c r="A3" s="2" t="s">
        <v>44</v>
      </c>
      <c r="B3" s="38">
        <v>0</v>
      </c>
      <c r="E3" s="8"/>
      <c r="F3" s="8"/>
    </row>
    <row r="4" spans="1:10" ht="15" customHeight="1">
      <c r="A4" s="2" t="s">
        <v>1</v>
      </c>
      <c r="B4" s="38">
        <v>1946982.46</v>
      </c>
      <c r="E4" s="8"/>
    </row>
    <row r="5" spans="1:10" ht="15" customHeight="1">
      <c r="A5" s="2" t="s">
        <v>9</v>
      </c>
      <c r="B5" s="38">
        <v>2131488.0299999998</v>
      </c>
      <c r="E5" s="8"/>
      <c r="F5" s="8"/>
    </row>
    <row r="6" spans="1:10" ht="15" customHeight="1">
      <c r="A6" s="2" t="s">
        <v>41</v>
      </c>
      <c r="B6" s="38">
        <v>232315.07</v>
      </c>
      <c r="E6" s="8"/>
      <c r="F6" s="8"/>
    </row>
    <row r="7" spans="1:10" ht="15" customHeight="1">
      <c r="A7" s="2" t="s">
        <v>75</v>
      </c>
      <c r="B7" s="38">
        <v>0</v>
      </c>
      <c r="E7" s="8"/>
      <c r="F7" s="8"/>
    </row>
    <row r="8" spans="1:10" ht="15" customHeight="1">
      <c r="A8" s="2" t="s">
        <v>14</v>
      </c>
      <c r="B8" s="38">
        <v>0</v>
      </c>
      <c r="E8" s="8"/>
      <c r="F8" s="8"/>
    </row>
    <row r="9" spans="1:10" ht="15" customHeight="1">
      <c r="A9" s="2" t="s">
        <v>37</v>
      </c>
      <c r="B9" s="38">
        <v>1265301.95</v>
      </c>
      <c r="E9" s="8"/>
      <c r="F9" s="8"/>
    </row>
    <row r="10" spans="1:10" ht="15" customHeight="1">
      <c r="A10" s="2" t="s">
        <v>39</v>
      </c>
      <c r="B10" s="38">
        <v>1737168.06</v>
      </c>
      <c r="E10" s="8"/>
      <c r="F10" s="8"/>
    </row>
    <row r="11" spans="1:10" ht="15" customHeight="1">
      <c r="A11" s="2" t="s">
        <v>40</v>
      </c>
      <c r="B11" s="38">
        <v>3343779.82</v>
      </c>
      <c r="E11" s="8"/>
      <c r="F11" s="8"/>
    </row>
    <row r="12" spans="1:10" ht="15" customHeight="1">
      <c r="A12" s="2" t="s">
        <v>16</v>
      </c>
      <c r="B12" s="38">
        <v>2241032.19</v>
      </c>
      <c r="E12" s="8"/>
      <c r="F12" s="8"/>
      <c r="H12" s="8"/>
      <c r="I12" s="8"/>
      <c r="J12" s="8"/>
    </row>
    <row r="13" spans="1:10" ht="15" customHeight="1">
      <c r="A13" s="2" t="s">
        <v>28</v>
      </c>
      <c r="B13" s="38">
        <v>0</v>
      </c>
      <c r="E13" s="8"/>
      <c r="F13" s="8"/>
    </row>
    <row r="14" spans="1:10" ht="15" customHeight="1">
      <c r="A14" s="2" t="s">
        <v>17</v>
      </c>
      <c r="B14" s="38">
        <v>0</v>
      </c>
      <c r="E14" s="8"/>
      <c r="F14" s="8"/>
    </row>
    <row r="15" spans="1:10" ht="15" customHeight="1">
      <c r="A15" s="2" t="s">
        <v>171</v>
      </c>
      <c r="B15" s="38">
        <v>0</v>
      </c>
      <c r="E15" s="8"/>
      <c r="F15" s="8"/>
    </row>
    <row r="16" spans="1:10" ht="15" customHeight="1">
      <c r="A16" s="2" t="s">
        <v>18</v>
      </c>
      <c r="B16" s="38">
        <v>0</v>
      </c>
      <c r="E16" s="8"/>
      <c r="F16" s="8"/>
    </row>
    <row r="17" spans="1:6" ht="15" customHeight="1">
      <c r="A17" s="2" t="s">
        <v>170</v>
      </c>
      <c r="B17" s="38">
        <v>1180873.94</v>
      </c>
      <c r="E17" s="8"/>
      <c r="F17" s="8"/>
    </row>
    <row r="18" spans="1:6" ht="15" customHeight="1">
      <c r="A18" s="2" t="s">
        <v>36</v>
      </c>
      <c r="B18" s="38">
        <v>5607746.6100000003</v>
      </c>
      <c r="E18" s="8"/>
      <c r="F18" s="8"/>
    </row>
    <row r="19" spans="1:6" ht="15" customHeight="1">
      <c r="A19" s="2" t="s">
        <v>19</v>
      </c>
      <c r="B19" s="38">
        <v>0</v>
      </c>
      <c r="E19" s="8"/>
      <c r="F19" s="8"/>
    </row>
    <row r="20" spans="1:6" ht="15" customHeight="1">
      <c r="A20" s="2" t="s">
        <v>45</v>
      </c>
      <c r="B20" s="38">
        <v>0</v>
      </c>
      <c r="E20" s="8"/>
      <c r="F20" s="8"/>
    </row>
    <row r="21" spans="1:6" ht="15" customHeight="1">
      <c r="A21" s="2" t="s">
        <v>11</v>
      </c>
      <c r="B21" s="38">
        <v>113895.33</v>
      </c>
      <c r="E21" s="8"/>
      <c r="F21" s="8"/>
    </row>
    <row r="22" spans="1:6" ht="15" customHeight="1">
      <c r="A22" s="2" t="s">
        <v>4</v>
      </c>
      <c r="B22" s="38">
        <v>0</v>
      </c>
      <c r="C22" s="8"/>
      <c r="E22" s="8"/>
      <c r="F22" s="8"/>
    </row>
    <row r="23" spans="1:6" ht="15" customHeight="1">
      <c r="A23" s="2" t="s">
        <v>20</v>
      </c>
      <c r="B23" s="38">
        <v>0</v>
      </c>
      <c r="E23" s="8"/>
      <c r="F23" s="8"/>
    </row>
    <row r="24" spans="1:6" s="10" customFormat="1" ht="15" customHeight="1">
      <c r="A24" s="2" t="s">
        <v>31</v>
      </c>
      <c r="B24" s="38">
        <v>5046075.87</v>
      </c>
      <c r="E24" s="8"/>
      <c r="F24" s="8"/>
    </row>
    <row r="25" spans="1:6" ht="15" customHeight="1">
      <c r="A25" s="2" t="s">
        <v>21</v>
      </c>
      <c r="B25" s="38">
        <v>0</v>
      </c>
      <c r="E25" s="8"/>
      <c r="F25" s="8"/>
    </row>
    <row r="26" spans="1:6" ht="15" customHeight="1">
      <c r="A26" s="2" t="s">
        <v>30</v>
      </c>
      <c r="B26" s="38">
        <v>98104.91</v>
      </c>
      <c r="E26" s="8"/>
      <c r="F26" s="9"/>
    </row>
    <row r="27" spans="1:6" ht="15" customHeight="1">
      <c r="A27" s="2" t="s">
        <v>34</v>
      </c>
      <c r="B27" s="38">
        <v>63713.25</v>
      </c>
      <c r="E27" s="8"/>
      <c r="F27" s="8"/>
    </row>
    <row r="28" spans="1:6" ht="15" customHeight="1">
      <c r="A28" s="2" t="s">
        <v>38</v>
      </c>
      <c r="B28" s="38">
        <v>47967.09</v>
      </c>
      <c r="E28" s="8"/>
      <c r="F28" s="9"/>
    </row>
    <row r="29" spans="1:6" ht="15" customHeight="1">
      <c r="A29" s="2" t="s">
        <v>5</v>
      </c>
      <c r="B29" s="38">
        <v>4782794.6900000004</v>
      </c>
      <c r="E29" s="8"/>
      <c r="F29" s="8"/>
    </row>
    <row r="30" spans="1:6" ht="15" customHeight="1">
      <c r="A30" s="2" t="s">
        <v>32</v>
      </c>
      <c r="B30" s="38">
        <v>2060851.88</v>
      </c>
      <c r="E30" s="8"/>
      <c r="F30" s="8"/>
    </row>
    <row r="31" spans="1:6" ht="15" customHeight="1">
      <c r="A31" s="2" t="s">
        <v>12</v>
      </c>
      <c r="B31" s="38">
        <v>196662.64</v>
      </c>
      <c r="E31" s="8"/>
      <c r="F31" s="8"/>
    </row>
    <row r="32" spans="1:6" ht="15" customHeight="1">
      <c r="A32" s="2" t="s">
        <v>29</v>
      </c>
      <c r="B32" s="38">
        <v>85659.64</v>
      </c>
      <c r="E32" s="8"/>
      <c r="F32" s="8"/>
    </row>
    <row r="33" spans="1:6" ht="15" customHeight="1">
      <c r="A33" s="2" t="s">
        <v>33</v>
      </c>
      <c r="B33" s="38">
        <v>88937.33</v>
      </c>
      <c r="E33" s="8"/>
      <c r="F33" s="8"/>
    </row>
    <row r="34" spans="1:6" ht="15" customHeight="1">
      <c r="A34" s="2" t="s">
        <v>10</v>
      </c>
      <c r="B34" s="38">
        <v>155202.89000000001</v>
      </c>
      <c r="E34" s="8"/>
      <c r="F34" s="8"/>
    </row>
    <row r="35" spans="1:6" ht="15" customHeight="1">
      <c r="A35" s="2" t="s">
        <v>7</v>
      </c>
      <c r="B35" s="38">
        <v>2761214.04</v>
      </c>
      <c r="E35" s="8"/>
      <c r="F35" s="8"/>
    </row>
    <row r="36" spans="1:6" ht="15" customHeight="1">
      <c r="A36" s="2" t="s">
        <v>43</v>
      </c>
      <c r="B36" s="38">
        <v>0</v>
      </c>
      <c r="E36" s="8"/>
      <c r="F36" s="8"/>
    </row>
    <row r="37" spans="1:6" ht="15" customHeight="1">
      <c r="A37" s="2" t="s">
        <v>6</v>
      </c>
      <c r="B37" s="38">
        <v>8409463.4900000002</v>
      </c>
      <c r="E37" s="8"/>
      <c r="F37" s="8"/>
    </row>
    <row r="38" spans="1:6" ht="15" customHeight="1">
      <c r="A38" s="2" t="s">
        <v>15</v>
      </c>
      <c r="B38" s="38">
        <v>0</v>
      </c>
      <c r="E38" s="8"/>
      <c r="F38" s="8"/>
    </row>
    <row r="39" spans="1:6" ht="15" customHeight="1">
      <c r="A39" s="2" t="s">
        <v>3</v>
      </c>
      <c r="B39" s="38">
        <v>253630.55</v>
      </c>
      <c r="E39" s="8"/>
      <c r="F39" s="8"/>
    </row>
    <row r="40" spans="1:6" ht="15" customHeight="1">
      <c r="A40" s="2" t="s">
        <v>24</v>
      </c>
      <c r="B40" s="38">
        <v>0</v>
      </c>
      <c r="E40" s="8"/>
      <c r="F40" s="8"/>
    </row>
    <row r="41" spans="1:6" ht="15" customHeight="1">
      <c r="A41" s="2" t="s">
        <v>22</v>
      </c>
      <c r="B41" s="38">
        <v>0</v>
      </c>
      <c r="E41" s="8"/>
      <c r="F41" s="8"/>
    </row>
    <row r="42" spans="1:6" ht="15" customHeight="1">
      <c r="A42" s="2" t="s">
        <v>166</v>
      </c>
      <c r="B42" s="38">
        <v>816992.22</v>
      </c>
      <c r="E42" s="8"/>
      <c r="F42" s="8"/>
    </row>
    <row r="43" spans="1:6" ht="15" customHeight="1">
      <c r="A43" s="2" t="s">
        <v>88</v>
      </c>
      <c r="B43" s="38">
        <v>19342.28</v>
      </c>
      <c r="E43" s="8"/>
      <c r="F43" s="8"/>
    </row>
    <row r="44" spans="1:6" ht="15" customHeight="1">
      <c r="A44" s="2" t="s">
        <v>8</v>
      </c>
      <c r="B44" s="38">
        <v>1214524.57</v>
      </c>
      <c r="E44" s="8"/>
      <c r="F44" s="8"/>
    </row>
    <row r="45" spans="1:6" ht="15" customHeight="1">
      <c r="A45" s="2" t="s">
        <v>35</v>
      </c>
      <c r="B45" s="38">
        <v>48844.13</v>
      </c>
      <c r="E45" s="8"/>
      <c r="F45" s="8"/>
    </row>
    <row r="46" spans="1:6" ht="15" customHeight="1">
      <c r="A46" s="2" t="s">
        <v>2</v>
      </c>
      <c r="B46" s="38">
        <v>4579498.96</v>
      </c>
      <c r="E46" s="8"/>
      <c r="F46" s="8"/>
    </row>
    <row r="47" spans="1:6" ht="15" customHeight="1">
      <c r="A47" s="2" t="s">
        <v>42</v>
      </c>
      <c r="B47" s="38">
        <v>171081.82</v>
      </c>
      <c r="E47" s="8"/>
      <c r="F47" s="8"/>
    </row>
    <row r="48" spans="1:6" ht="15" customHeight="1">
      <c r="A48" s="2" t="s">
        <v>23</v>
      </c>
      <c r="B48" s="38">
        <v>1496675.77</v>
      </c>
      <c r="E48" s="8"/>
      <c r="F48" s="8"/>
    </row>
    <row r="49" spans="1:7" ht="15" customHeight="1">
      <c r="E49" s="8"/>
      <c r="F49" s="8"/>
    </row>
    <row r="50" spans="1:7" ht="18" customHeight="1">
      <c r="A50" s="23" t="s">
        <v>60</v>
      </c>
      <c r="B50" s="24">
        <f>SUMIF(B2:B48,"&gt;0")</f>
        <v>53971408.910000004</v>
      </c>
    </row>
    <row r="51" spans="1:7" ht="18" customHeight="1">
      <c r="A51" s="23" t="s">
        <v>61</v>
      </c>
      <c r="B51" s="24">
        <f>SUMIF(B2:B48,"&lt;0")</f>
        <v>0</v>
      </c>
    </row>
    <row r="52" spans="1:7">
      <c r="A52" s="23" t="s">
        <v>58</v>
      </c>
      <c r="B52" s="24">
        <f t="shared" ref="B52" si="0">B50+B51</f>
        <v>53971408.910000004</v>
      </c>
    </row>
    <row r="53" spans="1:7">
      <c r="A53" s="5"/>
      <c r="B53" s="8"/>
    </row>
    <row r="54" spans="1:7" ht="38.25" customHeight="1">
      <c r="A54" s="5"/>
      <c r="B54" s="5"/>
      <c r="F54" s="8"/>
    </row>
    <row r="55" spans="1:7">
      <c r="B55" s="5"/>
      <c r="F55" s="8"/>
    </row>
    <row r="56" spans="1:7">
      <c r="A56" s="6"/>
      <c r="B56" s="5"/>
      <c r="F56" s="8"/>
    </row>
    <row r="57" spans="1:7">
      <c r="B57" s="5"/>
      <c r="F57" s="8"/>
    </row>
    <row r="58" spans="1:7">
      <c r="B58" s="5"/>
      <c r="F58" s="8"/>
    </row>
    <row r="59" spans="1:7">
      <c r="B59" s="5"/>
      <c r="F59" s="8"/>
    </row>
    <row r="60" spans="1:7">
      <c r="B60" s="5"/>
      <c r="F60" s="8"/>
    </row>
    <row r="61" spans="1:7">
      <c r="B61" s="5"/>
      <c r="F61" s="8"/>
    </row>
    <row r="62" spans="1:7">
      <c r="B62" s="5"/>
      <c r="F62" s="11"/>
      <c r="G62" s="11"/>
    </row>
    <row r="63" spans="1:7">
      <c r="F63" s="11"/>
      <c r="G63" s="11"/>
    </row>
  </sheetData>
  <pageMargins left="0.43307086614173201" right="0.43307086614173201" top="0.43307086614173201" bottom="0.43307086614173201" header="0.511811023622047" footer="0.511811023622047"/>
  <pageSetup paperSize="9" scale="59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/>
  <dimension ref="A1:H55"/>
  <sheetViews>
    <sheetView zoomScaleNormal="100" workbookViewId="0">
      <selection sqref="A1:XFD1048576"/>
    </sheetView>
  </sheetViews>
  <sheetFormatPr defaultRowHeight="12.75"/>
  <cols>
    <col min="1" max="1" width="20.140625" customWidth="1"/>
    <col min="2" max="3" width="19.5703125" customWidth="1"/>
    <col min="4" max="4" width="21.28515625" customWidth="1"/>
    <col min="5" max="6" width="21.28515625" style="181" customWidth="1"/>
    <col min="7" max="7" width="18.5703125" customWidth="1"/>
    <col min="8" max="9" width="13" customWidth="1"/>
  </cols>
  <sheetData>
    <row r="1" spans="1:8" ht="33.75">
      <c r="A1" s="23" t="s">
        <v>0</v>
      </c>
      <c r="B1" s="23" t="s">
        <v>227</v>
      </c>
      <c r="C1" s="185" t="s">
        <v>275</v>
      </c>
      <c r="D1" s="178" t="s">
        <v>229</v>
      </c>
      <c r="E1" s="100" t="s">
        <v>274</v>
      </c>
      <c r="F1"/>
      <c r="G1" s="100" t="s">
        <v>273</v>
      </c>
    </row>
    <row r="2" spans="1:8">
      <c r="A2" s="158" t="s">
        <v>257</v>
      </c>
      <c r="B2" s="133">
        <v>2016440000162</v>
      </c>
      <c r="C2" s="183">
        <f>D2+E2</f>
        <v>-462032.82</v>
      </c>
      <c r="D2" s="179">
        <v>-462032.82</v>
      </c>
      <c r="E2" s="42"/>
      <c r="F2"/>
      <c r="G2" s="42"/>
    </row>
    <row r="3" spans="1:8">
      <c r="A3" s="158" t="s">
        <v>44</v>
      </c>
      <c r="B3" s="163">
        <v>2341467000120</v>
      </c>
      <c r="C3" s="184"/>
      <c r="D3" s="179">
        <v>-375783.59</v>
      </c>
      <c r="E3" s="42"/>
      <c r="F3"/>
      <c r="G3" s="42"/>
    </row>
    <row r="4" spans="1:8">
      <c r="A4" s="158" t="s">
        <v>1</v>
      </c>
      <c r="B4" s="163">
        <v>33050071000158</v>
      </c>
      <c r="C4" s="184">
        <f t="shared" ref="C4:C48" si="0">D4+E4</f>
        <v>7024303.4269144023</v>
      </c>
      <c r="D4" s="182">
        <v>-705630.78</v>
      </c>
      <c r="E4" s="124">
        <f>G4/12*17/31</f>
        <v>7729934.2069144025</v>
      </c>
      <c r="F4"/>
      <c r="G4" s="124">
        <v>169149148.52777398</v>
      </c>
      <c r="H4" t="s">
        <v>270</v>
      </c>
    </row>
    <row r="5" spans="1:8">
      <c r="A5" s="2" t="s">
        <v>9</v>
      </c>
      <c r="B5" s="133">
        <v>2302100000106</v>
      </c>
      <c r="C5" s="183">
        <f t="shared" si="0"/>
        <v>-520331.77</v>
      </c>
      <c r="D5" s="179">
        <v>-520331.77</v>
      </c>
      <c r="E5" s="42"/>
      <c r="F5"/>
      <c r="G5" s="42"/>
    </row>
    <row r="6" spans="1:8">
      <c r="A6" s="2" t="s">
        <v>41</v>
      </c>
      <c r="B6" s="133">
        <v>7282377000120</v>
      </c>
      <c r="C6" s="183">
        <f t="shared" si="0"/>
        <v>-70314.98</v>
      </c>
      <c r="D6" s="179">
        <v>-70314.98</v>
      </c>
      <c r="E6" s="42"/>
      <c r="F6"/>
      <c r="G6" s="42"/>
    </row>
    <row r="7" spans="1:8">
      <c r="A7" s="2" t="s">
        <v>75</v>
      </c>
      <c r="B7" s="133">
        <v>5965546000109</v>
      </c>
      <c r="C7" s="183">
        <f t="shared" si="0"/>
        <v>-82791.02</v>
      </c>
      <c r="D7" s="179">
        <v>-82791.02</v>
      </c>
      <c r="E7" s="42"/>
      <c r="F7"/>
      <c r="G7" s="42"/>
    </row>
    <row r="8" spans="1:8">
      <c r="A8" s="2" t="s">
        <v>14</v>
      </c>
      <c r="B8" s="133">
        <v>12272084000100</v>
      </c>
      <c r="C8" s="183">
        <f t="shared" si="0"/>
        <v>-278707.52</v>
      </c>
      <c r="D8" s="179">
        <v>-278707.52</v>
      </c>
      <c r="E8" s="42"/>
      <c r="F8"/>
      <c r="G8" s="42"/>
    </row>
    <row r="9" spans="1:8">
      <c r="A9" s="2" t="s">
        <v>37</v>
      </c>
      <c r="B9" s="133">
        <v>7522669000192</v>
      </c>
      <c r="C9" s="183">
        <f t="shared" si="0"/>
        <v>-366760.25</v>
      </c>
      <c r="D9" s="179">
        <v>-366760.25</v>
      </c>
      <c r="E9" s="42"/>
      <c r="F9"/>
      <c r="G9" s="42"/>
    </row>
    <row r="10" spans="1:8">
      <c r="A10" s="2" t="s">
        <v>39</v>
      </c>
      <c r="B10" s="133">
        <v>8467115000100</v>
      </c>
      <c r="C10" s="183">
        <f t="shared" si="0"/>
        <v>-499422.43</v>
      </c>
      <c r="D10" s="179">
        <v>-499422.43</v>
      </c>
      <c r="E10" s="42"/>
      <c r="F10"/>
      <c r="G10" s="42"/>
    </row>
    <row r="11" spans="1:8">
      <c r="A11" s="2" t="s">
        <v>40</v>
      </c>
      <c r="B11" s="133">
        <v>8336783000190</v>
      </c>
      <c r="C11" s="183">
        <f t="shared" si="0"/>
        <v>-1028758.48</v>
      </c>
      <c r="D11" s="179">
        <v>-1028758.48</v>
      </c>
      <c r="E11" s="42"/>
      <c r="F11"/>
      <c r="G11" s="42"/>
    </row>
    <row r="12" spans="1:8">
      <c r="A12" s="2" t="s">
        <v>16</v>
      </c>
      <c r="B12" s="133">
        <v>1543032000104</v>
      </c>
      <c r="C12" s="183">
        <f t="shared" si="0"/>
        <v>-682682.58</v>
      </c>
      <c r="D12" s="179">
        <v>-682682.58</v>
      </c>
      <c r="E12" s="42"/>
      <c r="F12"/>
      <c r="G12" s="42"/>
    </row>
    <row r="13" spans="1:8">
      <c r="A13" s="2" t="s">
        <v>28</v>
      </c>
      <c r="B13" s="133">
        <v>4895728000180</v>
      </c>
      <c r="C13" s="183">
        <f t="shared" si="0"/>
        <v>-520818.86</v>
      </c>
      <c r="D13" s="179">
        <v>-520818.86</v>
      </c>
      <c r="E13" s="42"/>
      <c r="F13"/>
      <c r="G13" s="42"/>
    </row>
    <row r="14" spans="1:8">
      <c r="A14" s="2" t="s">
        <v>17</v>
      </c>
      <c r="B14" s="133">
        <v>10835932000108</v>
      </c>
      <c r="C14" s="183">
        <f t="shared" si="0"/>
        <v>-782173.78</v>
      </c>
      <c r="D14" s="179">
        <v>-782173.78</v>
      </c>
      <c r="E14" s="42"/>
      <c r="F14"/>
      <c r="G14" s="42"/>
    </row>
    <row r="15" spans="1:8">
      <c r="A15" s="2" t="s">
        <v>171</v>
      </c>
      <c r="B15" s="133">
        <v>25086034000171</v>
      </c>
      <c r="C15" s="183">
        <f t="shared" si="0"/>
        <v>-108880.39</v>
      </c>
      <c r="D15" s="179">
        <v>-108880.39</v>
      </c>
      <c r="E15" s="42"/>
      <c r="F15"/>
      <c r="G15" s="42"/>
    </row>
    <row r="16" spans="1:8">
      <c r="A16" s="2" t="s">
        <v>18</v>
      </c>
      <c r="B16" s="133">
        <v>6272793000184</v>
      </c>
      <c r="C16" s="183">
        <f t="shared" si="0"/>
        <v>-353625.84</v>
      </c>
      <c r="D16" s="179">
        <v>-353625.84</v>
      </c>
      <c r="E16" s="42"/>
      <c r="F16"/>
      <c r="G16" s="42"/>
    </row>
    <row r="17" spans="1:8">
      <c r="A17" s="2" t="s">
        <v>170</v>
      </c>
      <c r="B17" s="133">
        <v>3467321000199</v>
      </c>
      <c r="C17" s="183">
        <f t="shared" si="0"/>
        <v>-347658.56</v>
      </c>
      <c r="D17" s="179">
        <v>-347658.56</v>
      </c>
      <c r="E17" s="42"/>
      <c r="F17"/>
      <c r="G17" s="42"/>
    </row>
    <row r="18" spans="1:8">
      <c r="A18" s="2" t="s">
        <v>36</v>
      </c>
      <c r="B18" s="133">
        <v>6981180000116</v>
      </c>
      <c r="C18" s="183">
        <f t="shared" si="0"/>
        <v>-1721187.86</v>
      </c>
      <c r="D18" s="179">
        <v>-1721187.86</v>
      </c>
      <c r="E18" s="42"/>
      <c r="F18"/>
      <c r="G18" s="42"/>
    </row>
    <row r="19" spans="1:8">
      <c r="A19" s="2" t="s">
        <v>19</v>
      </c>
      <c r="B19" s="133">
        <v>6840748000189</v>
      </c>
      <c r="C19" s="183">
        <f t="shared" si="0"/>
        <v>-224963.93</v>
      </c>
      <c r="D19" s="179">
        <v>-224963.93</v>
      </c>
      <c r="E19" s="42"/>
      <c r="F19"/>
      <c r="G19" s="42"/>
    </row>
    <row r="20" spans="1:8">
      <c r="A20" s="158" t="s">
        <v>45</v>
      </c>
      <c r="B20" s="163">
        <v>5914650000166</v>
      </c>
      <c r="C20" s="184"/>
      <c r="D20" s="179">
        <v>-183727.3</v>
      </c>
      <c r="E20" s="42"/>
      <c r="F20"/>
      <c r="G20" s="42"/>
    </row>
    <row r="21" spans="1:8">
      <c r="A21" s="2" t="s">
        <v>11</v>
      </c>
      <c r="B21" s="133">
        <v>61416244000144</v>
      </c>
      <c r="C21" s="183">
        <f t="shared" si="0"/>
        <v>-36895.910000000003</v>
      </c>
      <c r="D21" s="179">
        <v>-36895.910000000003</v>
      </c>
      <c r="E21" s="42"/>
      <c r="F21"/>
      <c r="G21" s="42"/>
    </row>
    <row r="22" spans="1:8">
      <c r="A22" s="2" t="s">
        <v>4</v>
      </c>
      <c r="B22" s="133">
        <v>15139629000194</v>
      </c>
      <c r="C22" s="183">
        <f t="shared" si="0"/>
        <v>-1102978.82</v>
      </c>
      <c r="D22" s="179">
        <v>-1102978.82</v>
      </c>
      <c r="E22" s="42"/>
      <c r="F22"/>
      <c r="G22" s="42"/>
    </row>
    <row r="23" spans="1:8">
      <c r="A23" s="2" t="s">
        <v>20</v>
      </c>
      <c r="B23" s="133">
        <v>7047251000170</v>
      </c>
      <c r="C23" s="183">
        <f t="shared" si="0"/>
        <v>-569503.32999999996</v>
      </c>
      <c r="D23" s="179">
        <v>-569503.32999999996</v>
      </c>
      <c r="E23" s="42"/>
      <c r="F23"/>
      <c r="G23" s="42"/>
    </row>
    <row r="24" spans="1:8">
      <c r="A24" s="2" t="s">
        <v>31</v>
      </c>
      <c r="B24" s="133">
        <v>4368898000106</v>
      </c>
      <c r="C24" s="183">
        <f t="shared" si="0"/>
        <v>-1304468.53</v>
      </c>
      <c r="D24" s="179">
        <v>-1304468.53</v>
      </c>
      <c r="E24" s="42"/>
      <c r="F24"/>
      <c r="G24" s="42"/>
    </row>
    <row r="25" spans="1:8">
      <c r="A25" s="2" t="s">
        <v>21</v>
      </c>
      <c r="B25" s="133">
        <v>8324196000181</v>
      </c>
      <c r="C25" s="183">
        <f t="shared" si="0"/>
        <v>-281950.43</v>
      </c>
      <c r="D25" s="179">
        <v>-281950.43</v>
      </c>
      <c r="E25" s="42"/>
      <c r="F25"/>
      <c r="G25" s="42"/>
    </row>
    <row r="26" spans="1:8">
      <c r="A26" s="158" t="s">
        <v>30</v>
      </c>
      <c r="B26" s="163">
        <v>53859112000169</v>
      </c>
      <c r="C26" s="184">
        <f t="shared" si="0"/>
        <v>137150.70572167428</v>
      </c>
      <c r="D26" s="182">
        <v>-23788.65</v>
      </c>
      <c r="E26" s="124">
        <f>G26/12*9/31</f>
        <v>160939.35572167428</v>
      </c>
      <c r="F26"/>
      <c r="G26" s="124">
        <v>6652160.03649587</v>
      </c>
      <c r="H26" t="s">
        <v>270</v>
      </c>
    </row>
    <row r="27" spans="1:8">
      <c r="A27" s="158" t="s">
        <v>34</v>
      </c>
      <c r="B27" s="163">
        <v>61015582000174</v>
      </c>
      <c r="C27" s="184">
        <f t="shared" si="0"/>
        <v>83535.938666012909</v>
      </c>
      <c r="D27" s="182">
        <v>-17379.86</v>
      </c>
      <c r="E27" s="124">
        <f>G27/12*9/31</f>
        <v>100915.79866601291</v>
      </c>
      <c r="F27"/>
      <c r="G27" s="124">
        <v>4171186.3448618669</v>
      </c>
      <c r="H27" t="s">
        <v>270</v>
      </c>
    </row>
    <row r="28" spans="1:8">
      <c r="A28" s="158" t="s">
        <v>38</v>
      </c>
      <c r="B28" s="163">
        <v>52503802000118</v>
      </c>
      <c r="C28" s="184">
        <f t="shared" si="0"/>
        <v>57777.917096789628</v>
      </c>
      <c r="D28" s="182">
        <v>-12497.04</v>
      </c>
      <c r="E28" s="124">
        <f>G28/12*9/31</f>
        <v>70274.957096789629</v>
      </c>
      <c r="F28"/>
      <c r="G28" s="124">
        <v>2904698.226667305</v>
      </c>
      <c r="H28" t="s">
        <v>270</v>
      </c>
    </row>
    <row r="29" spans="1:8">
      <c r="A29" s="2" t="s">
        <v>5</v>
      </c>
      <c r="B29" s="133">
        <v>33050196000188</v>
      </c>
      <c r="C29" s="183">
        <f t="shared" si="0"/>
        <v>-1328869.3700000001</v>
      </c>
      <c r="D29" s="179">
        <v>-1328869.3700000001</v>
      </c>
      <c r="E29" s="42"/>
      <c r="F29"/>
      <c r="G29" s="42"/>
    </row>
    <row r="30" spans="1:8">
      <c r="A30" s="2" t="s">
        <v>32</v>
      </c>
      <c r="B30" s="133">
        <v>4172213000151</v>
      </c>
      <c r="C30" s="183">
        <f t="shared" si="0"/>
        <v>-521227.87</v>
      </c>
      <c r="D30" s="179">
        <v>-521227.87</v>
      </c>
      <c r="E30" s="42"/>
      <c r="F30"/>
      <c r="G30" s="42"/>
    </row>
    <row r="31" spans="1:8">
      <c r="A31" s="158" t="s">
        <v>12</v>
      </c>
      <c r="B31" s="163">
        <v>61116265000144</v>
      </c>
      <c r="C31" s="184">
        <f t="shared" si="0"/>
        <v>320396.52408584184</v>
      </c>
      <c r="D31" s="182">
        <v>-61858.91</v>
      </c>
      <c r="E31" s="124">
        <f>G31/12*9/31</f>
        <v>382255.43408584187</v>
      </c>
      <c r="F31"/>
      <c r="G31" s="124">
        <v>15799891.27554813</v>
      </c>
      <c r="H31" t="s">
        <v>270</v>
      </c>
    </row>
    <row r="32" spans="1:8">
      <c r="A32" s="158" t="s">
        <v>29</v>
      </c>
      <c r="B32" s="163">
        <v>60855608000120</v>
      </c>
      <c r="C32" s="184">
        <f t="shared" si="0"/>
        <v>105070.03299328535</v>
      </c>
      <c r="D32" s="182">
        <v>-25372.91</v>
      </c>
      <c r="E32" s="124">
        <f>G32/12*9/31</f>
        <v>130442.94299328535</v>
      </c>
      <c r="F32"/>
      <c r="G32" s="124">
        <v>5391641.6437224615</v>
      </c>
      <c r="H32" t="s">
        <v>270</v>
      </c>
    </row>
    <row r="33" spans="1:8">
      <c r="A33" s="2" t="s">
        <v>33</v>
      </c>
      <c r="B33" s="133">
        <v>23664303000104</v>
      </c>
      <c r="C33" s="183">
        <f t="shared" si="0"/>
        <v>-16068.44</v>
      </c>
      <c r="D33" s="179">
        <v>-16068.44</v>
      </c>
      <c r="E33" s="42"/>
      <c r="F33"/>
      <c r="G33" s="42"/>
    </row>
    <row r="34" spans="1:8">
      <c r="A34" s="2" t="s">
        <v>10</v>
      </c>
      <c r="B34" s="133">
        <v>60942281000123</v>
      </c>
      <c r="C34" s="183">
        <f t="shared" si="0"/>
        <v>-37669.56</v>
      </c>
      <c r="D34" s="179">
        <v>-37669.56</v>
      </c>
      <c r="E34" s="42"/>
      <c r="F34"/>
      <c r="G34" s="42"/>
    </row>
    <row r="35" spans="1:8">
      <c r="A35" s="2" t="s">
        <v>7</v>
      </c>
      <c r="B35" s="133">
        <v>2328280000197</v>
      </c>
      <c r="C35" s="183">
        <f t="shared" si="0"/>
        <v>-696111.64</v>
      </c>
      <c r="D35" s="179">
        <v>-696111.64</v>
      </c>
      <c r="E35" s="42"/>
      <c r="F35"/>
      <c r="G35" s="42"/>
    </row>
    <row r="36" spans="1:8">
      <c r="A36" s="2" t="s">
        <v>43</v>
      </c>
      <c r="B36" s="133">
        <v>4065033000170</v>
      </c>
      <c r="C36" s="183">
        <f t="shared" si="0"/>
        <v>-55643.81</v>
      </c>
      <c r="D36" s="179">
        <v>-55643.81</v>
      </c>
      <c r="E36" s="42"/>
      <c r="F36"/>
      <c r="G36" s="42"/>
    </row>
    <row r="37" spans="1:8">
      <c r="A37" s="2" t="s">
        <v>6</v>
      </c>
      <c r="B37" s="133">
        <v>61695227000193</v>
      </c>
      <c r="C37" s="183">
        <f t="shared" si="0"/>
        <v>-2088373.46</v>
      </c>
      <c r="D37" s="179">
        <v>-2088373.46</v>
      </c>
      <c r="E37" s="42"/>
      <c r="F37"/>
      <c r="G37" s="42"/>
    </row>
    <row r="38" spans="1:8">
      <c r="A38" s="2" t="s">
        <v>15</v>
      </c>
      <c r="B38" s="133">
        <v>8826596000195</v>
      </c>
      <c r="C38" s="183">
        <f t="shared" si="0"/>
        <v>-33599.03</v>
      </c>
      <c r="D38" s="179">
        <v>-33599.03</v>
      </c>
      <c r="E38" s="42"/>
      <c r="F38"/>
      <c r="G38" s="42"/>
    </row>
    <row r="39" spans="1:8">
      <c r="A39" s="2" t="s">
        <v>3</v>
      </c>
      <c r="B39" s="133">
        <v>19527639000158</v>
      </c>
      <c r="C39" s="183">
        <f t="shared" si="0"/>
        <v>-74970.759999999995</v>
      </c>
      <c r="D39" s="179">
        <v>-74970.759999999995</v>
      </c>
      <c r="E39" s="42"/>
      <c r="F39"/>
      <c r="G39" s="42"/>
    </row>
    <row r="40" spans="1:8">
      <c r="A40" s="2" t="s">
        <v>24</v>
      </c>
      <c r="B40" s="133">
        <v>9095183000140</v>
      </c>
      <c r="C40" s="183">
        <f t="shared" si="0"/>
        <v>-236098.23</v>
      </c>
      <c r="D40" s="179">
        <v>-236098.23</v>
      </c>
      <c r="E40" s="42"/>
      <c r="F40"/>
      <c r="G40" s="42"/>
    </row>
    <row r="41" spans="1:8">
      <c r="A41" s="2" t="s">
        <v>22</v>
      </c>
      <c r="B41" s="133">
        <v>13017462000163</v>
      </c>
      <c r="C41" s="183">
        <f t="shared" si="0"/>
        <v>-181507.57</v>
      </c>
      <c r="D41" s="179">
        <v>-181507.57</v>
      </c>
      <c r="E41" s="42"/>
      <c r="F41"/>
      <c r="G41" s="42"/>
    </row>
    <row r="42" spans="1:8">
      <c r="A42" s="2" t="s">
        <v>166</v>
      </c>
      <c r="B42" s="133">
        <v>15413826000150</v>
      </c>
      <c r="C42" s="183">
        <f t="shared" si="0"/>
        <v>-298600.86</v>
      </c>
      <c r="D42" s="179">
        <v>-298600.86</v>
      </c>
      <c r="E42" s="42"/>
      <c r="F42"/>
      <c r="G42" s="42"/>
    </row>
    <row r="43" spans="1:8">
      <c r="A43" s="2" t="s">
        <v>88</v>
      </c>
      <c r="B43" s="133">
        <v>27485069000109</v>
      </c>
      <c r="C43" s="183">
        <f t="shared" si="0"/>
        <v>-31263.360000000001</v>
      </c>
      <c r="D43" s="179">
        <v>-31263.360000000001</v>
      </c>
      <c r="E43" s="42"/>
      <c r="F43"/>
      <c r="G43" s="42"/>
    </row>
    <row r="44" spans="1:8">
      <c r="A44" s="2" t="s">
        <v>8</v>
      </c>
      <c r="B44" s="133">
        <v>28152650000171</v>
      </c>
      <c r="C44" s="183">
        <f t="shared" si="0"/>
        <v>-432461.75</v>
      </c>
      <c r="D44" s="179">
        <v>-432461.75</v>
      </c>
      <c r="E44" s="42"/>
      <c r="F44"/>
      <c r="G44" s="42"/>
    </row>
    <row r="45" spans="1:8">
      <c r="A45" s="2" t="s">
        <v>35</v>
      </c>
      <c r="B45" s="133">
        <v>83855973000130</v>
      </c>
      <c r="C45" s="183">
        <f t="shared" si="0"/>
        <v>-11435.57</v>
      </c>
      <c r="D45" s="179">
        <v>-11435.57</v>
      </c>
      <c r="E45" s="42"/>
      <c r="F45"/>
      <c r="G45" s="42"/>
    </row>
    <row r="46" spans="1:8">
      <c r="A46" s="158" t="s">
        <v>2</v>
      </c>
      <c r="B46" s="163">
        <v>60444437000146</v>
      </c>
      <c r="C46" s="184">
        <f t="shared" si="0"/>
        <v>16092362.890530903</v>
      </c>
      <c r="D46" s="182">
        <v>-1711508.79</v>
      </c>
      <c r="E46" s="124">
        <f>G46/12*17/31</f>
        <v>17803871.680530902</v>
      </c>
      <c r="F46"/>
      <c r="G46" s="124">
        <v>389590603.83279383</v>
      </c>
      <c r="H46" t="s">
        <v>269</v>
      </c>
    </row>
    <row r="47" spans="1:8">
      <c r="A47" s="2" t="s">
        <v>42</v>
      </c>
      <c r="B47" s="133">
        <v>7297359000111</v>
      </c>
      <c r="C47" s="183">
        <f t="shared" si="0"/>
        <v>-51900.69</v>
      </c>
      <c r="D47" s="179">
        <v>-51900.69</v>
      </c>
      <c r="E47" s="42"/>
      <c r="F47"/>
      <c r="G47" s="42"/>
    </row>
    <row r="48" spans="1:8">
      <c r="A48" s="2" t="s">
        <v>23</v>
      </c>
      <c r="B48" s="133">
        <v>2016439000138</v>
      </c>
      <c r="C48" s="183">
        <f t="shared" si="0"/>
        <v>-507012.6</v>
      </c>
      <c r="D48" s="179">
        <v>-507012.6</v>
      </c>
      <c r="E48" s="42"/>
      <c r="F48"/>
      <c r="G48" s="42"/>
    </row>
    <row r="49" spans="1:7">
      <c r="C49" s="13"/>
      <c r="E49"/>
      <c r="F49"/>
    </row>
    <row r="50" spans="1:7">
      <c r="A50" s="23" t="s">
        <v>63</v>
      </c>
      <c r="B50" s="23"/>
      <c r="C50" s="180">
        <f t="shared" ref="C50" si="1">SUMIF(C2:C48,"&gt;0")</f>
        <v>23820597.436008908</v>
      </c>
      <c r="D50" s="180">
        <f t="shared" ref="D50:G50" si="2">SUMIF(D2:D48,"&gt;0")</f>
        <v>0</v>
      </c>
      <c r="E50" s="180">
        <f t="shared" si="2"/>
        <v>26378634.376008905</v>
      </c>
      <c r="G50" s="180">
        <f t="shared" si="2"/>
        <v>593659329.8878634</v>
      </c>
    </row>
    <row r="51" spans="1:7">
      <c r="A51" s="23" t="s">
        <v>64</v>
      </c>
      <c r="B51" s="23"/>
      <c r="C51" s="180">
        <f t="shared" ref="C51" si="3">SUMIF(C2:C48,"&lt;0")</f>
        <v>-17949722.66</v>
      </c>
      <c r="D51" s="180">
        <f t="shared" ref="D51:G51" si="4">SUMIF(D2:D48,"&lt;0")</f>
        <v>-21067270.490000006</v>
      </c>
      <c r="E51" s="180">
        <f t="shared" si="4"/>
        <v>0</v>
      </c>
      <c r="G51" s="180">
        <f t="shared" si="4"/>
        <v>0</v>
      </c>
    </row>
    <row r="52" spans="1:7">
      <c r="A52" s="23" t="s">
        <v>58</v>
      </c>
      <c r="B52" s="23"/>
      <c r="C52" s="180">
        <f t="shared" ref="C52" si="5">C50+C51</f>
        <v>5870874.7760089077</v>
      </c>
      <c r="D52" s="180">
        <f t="shared" ref="D52:G52" si="6">D50+D51</f>
        <v>-21067270.490000006</v>
      </c>
      <c r="E52" s="180">
        <f t="shared" si="6"/>
        <v>26378634.376008905</v>
      </c>
      <c r="G52" s="180">
        <f t="shared" si="6"/>
        <v>593659329.8878634</v>
      </c>
    </row>
    <row r="54" spans="1:7">
      <c r="C54" s="26"/>
    </row>
    <row r="55" spans="1:7">
      <c r="C55" s="26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D61"/>
  <sheetViews>
    <sheetView topLeftCell="A46" zoomScaleNormal="100" workbookViewId="0">
      <selection activeCell="C56" sqref="C56:D56"/>
    </sheetView>
  </sheetViews>
  <sheetFormatPr defaultRowHeight="12.75"/>
  <cols>
    <col min="1" max="1" width="17.85546875" style="7" bestFit="1" customWidth="1"/>
    <col min="2" max="2" width="18.85546875" style="7" bestFit="1" customWidth="1"/>
    <col min="3" max="3" width="40.28515625" style="7" customWidth="1"/>
    <col min="4" max="4" width="20.140625" customWidth="1"/>
  </cols>
  <sheetData>
    <row r="1" spans="1:4">
      <c r="C1" s="7" t="s">
        <v>271</v>
      </c>
    </row>
    <row r="2" spans="1:4" ht="90">
      <c r="A2" s="23" t="s">
        <v>0</v>
      </c>
      <c r="B2" s="23" t="s">
        <v>72</v>
      </c>
      <c r="C2" s="23" t="s">
        <v>73</v>
      </c>
      <c r="D2" s="23" t="s">
        <v>76</v>
      </c>
    </row>
    <row r="3" spans="1:4">
      <c r="A3" s="158" t="s">
        <v>257</v>
      </c>
      <c r="B3" s="41">
        <f>SUM(C3:D3)</f>
        <v>-1767994.68</v>
      </c>
      <c r="C3" s="37">
        <v>-899731.49</v>
      </c>
      <c r="D3" s="37">
        <v>-868263.19</v>
      </c>
    </row>
    <row r="4" spans="1:4">
      <c r="A4" s="2" t="s">
        <v>44</v>
      </c>
      <c r="B4" s="124"/>
      <c r="C4" s="37">
        <v>-970316.2</v>
      </c>
      <c r="D4" s="37">
        <v>-749289.38</v>
      </c>
    </row>
    <row r="5" spans="1:4">
      <c r="A5" s="2" t="s">
        <v>1</v>
      </c>
      <c r="B5" s="41">
        <f t="shared" ref="B5:B51" si="0">SUM(C5:D5)</f>
        <v>-2530822.48</v>
      </c>
      <c r="C5" s="37">
        <v>-1283280.7</v>
      </c>
      <c r="D5" s="37">
        <v>-1247541.78</v>
      </c>
    </row>
    <row r="6" spans="1:4">
      <c r="A6" s="2" t="s">
        <v>9</v>
      </c>
      <c r="B6" s="41">
        <f t="shared" si="0"/>
        <v>-2156104.36</v>
      </c>
      <c r="C6" s="37">
        <v>-1087109.6399999999</v>
      </c>
      <c r="D6" s="37">
        <v>-1068994.72</v>
      </c>
    </row>
    <row r="7" spans="1:4">
      <c r="A7" s="2" t="s">
        <v>262</v>
      </c>
      <c r="B7" s="41">
        <f t="shared" si="0"/>
        <v>-14261.759999999998</v>
      </c>
      <c r="C7" s="37">
        <v>-8127.61</v>
      </c>
      <c r="D7" s="37">
        <v>-6134.15</v>
      </c>
    </row>
    <row r="8" spans="1:4">
      <c r="A8" s="2" t="s">
        <v>41</v>
      </c>
      <c r="B8" s="41">
        <f t="shared" si="0"/>
        <v>-248028.47</v>
      </c>
      <c r="C8" s="37">
        <v>-125763.13</v>
      </c>
      <c r="D8" s="37">
        <v>-122265.34</v>
      </c>
    </row>
    <row r="9" spans="1:4">
      <c r="A9" s="2" t="s">
        <v>75</v>
      </c>
      <c r="B9" s="41">
        <f t="shared" si="0"/>
        <v>-390625.24</v>
      </c>
      <c r="C9" s="37">
        <v>-201508.95</v>
      </c>
      <c r="D9" s="37">
        <v>-189116.29</v>
      </c>
    </row>
    <row r="10" spans="1:4">
      <c r="A10" s="2" t="s">
        <v>14</v>
      </c>
      <c r="B10" s="41">
        <f t="shared" si="0"/>
        <v>-973032.74</v>
      </c>
      <c r="C10" s="37">
        <v>-485208.52</v>
      </c>
      <c r="D10" s="37">
        <v>-487824.22</v>
      </c>
    </row>
    <row r="11" spans="1:4">
      <c r="A11" s="2" t="s">
        <v>37</v>
      </c>
      <c r="B11" s="41">
        <f t="shared" si="0"/>
        <v>-1550402.01</v>
      </c>
      <c r="C11" s="37">
        <v>-801358.28</v>
      </c>
      <c r="D11" s="37">
        <v>-749043.73</v>
      </c>
    </row>
    <row r="12" spans="1:4">
      <c r="A12" s="2" t="s">
        <v>39</v>
      </c>
      <c r="B12" s="41">
        <f t="shared" si="0"/>
        <v>-1884487.53</v>
      </c>
      <c r="C12" s="37">
        <v>-954097.63</v>
      </c>
      <c r="D12" s="37">
        <v>-930389.9</v>
      </c>
    </row>
    <row r="13" spans="1:4">
      <c r="A13" s="2" t="s">
        <v>40</v>
      </c>
      <c r="B13" s="41">
        <f t="shared" si="0"/>
        <v>-3676944.29</v>
      </c>
      <c r="C13" s="37">
        <v>-1938597.63</v>
      </c>
      <c r="D13" s="37">
        <v>-1738346.66</v>
      </c>
    </row>
    <row r="14" spans="1:4">
      <c r="A14" s="2" t="s">
        <v>16</v>
      </c>
      <c r="B14" s="41">
        <f t="shared" si="0"/>
        <v>-2858271.2199999997</v>
      </c>
      <c r="C14" s="37">
        <v>-1454307.73</v>
      </c>
      <c r="D14" s="37">
        <v>-1403963.49</v>
      </c>
    </row>
    <row r="15" spans="1:4">
      <c r="A15" s="2" t="s">
        <v>28</v>
      </c>
      <c r="B15" s="41">
        <f t="shared" si="0"/>
        <v>-2261717.27</v>
      </c>
      <c r="C15" s="37">
        <v>-1141006.46</v>
      </c>
      <c r="D15" s="37">
        <v>-1120710.81</v>
      </c>
    </row>
    <row r="16" spans="1:4">
      <c r="A16" s="2" t="s">
        <v>17</v>
      </c>
      <c r="B16" s="41">
        <f t="shared" si="0"/>
        <v>-2873175.66</v>
      </c>
      <c r="C16" s="37">
        <v>-1468092.71</v>
      </c>
      <c r="D16" s="37">
        <v>-1405082.95</v>
      </c>
    </row>
    <row r="17" spans="1:4">
      <c r="A17" s="101" t="s">
        <v>171</v>
      </c>
      <c r="B17" s="41">
        <f t="shared" si="0"/>
        <v>-505873.41000000003</v>
      </c>
      <c r="C17" s="37">
        <v>-259482.43</v>
      </c>
      <c r="D17" s="37">
        <v>-246390.98</v>
      </c>
    </row>
    <row r="18" spans="1:4">
      <c r="A18" s="2" t="s">
        <v>18</v>
      </c>
      <c r="B18" s="41">
        <f t="shared" si="0"/>
        <v>-1514975.28</v>
      </c>
      <c r="C18" s="37">
        <v>-751308.18</v>
      </c>
      <c r="D18" s="37">
        <v>-763667.1</v>
      </c>
    </row>
    <row r="19" spans="1:4">
      <c r="A19" s="101" t="s">
        <v>170</v>
      </c>
      <c r="B19" s="41">
        <f t="shared" si="0"/>
        <v>-1383744.96</v>
      </c>
      <c r="C19" s="37">
        <v>-716308.17</v>
      </c>
      <c r="D19" s="37">
        <v>-667436.79</v>
      </c>
    </row>
    <row r="20" spans="1:4">
      <c r="A20" s="2" t="s">
        <v>36</v>
      </c>
      <c r="B20" s="41">
        <f t="shared" si="0"/>
        <v>-6299780.71</v>
      </c>
      <c r="C20" s="37">
        <v>-3196229.44</v>
      </c>
      <c r="D20" s="37">
        <v>-3103551.27</v>
      </c>
    </row>
    <row r="21" spans="1:4">
      <c r="A21" s="2" t="s">
        <v>19</v>
      </c>
      <c r="B21" s="41">
        <f t="shared" si="0"/>
        <v>-1003016.4199999999</v>
      </c>
      <c r="C21" s="37">
        <v>-507719.01</v>
      </c>
      <c r="D21" s="37">
        <v>-495297.41</v>
      </c>
    </row>
    <row r="22" spans="1:4">
      <c r="A22" s="2" t="s">
        <v>45</v>
      </c>
      <c r="B22" s="124"/>
      <c r="C22" s="37">
        <v>-388713.91</v>
      </c>
      <c r="D22" s="37">
        <v>-343994.57</v>
      </c>
    </row>
    <row r="23" spans="1:4">
      <c r="A23" s="2" t="s">
        <v>258</v>
      </c>
      <c r="B23" s="41">
        <f t="shared" si="0"/>
        <v>-410.65999999999997</v>
      </c>
      <c r="C23" s="37">
        <v>-234.03</v>
      </c>
      <c r="D23" s="37">
        <v>-176.63</v>
      </c>
    </row>
    <row r="24" spans="1:4">
      <c r="A24" s="2" t="s">
        <v>11</v>
      </c>
      <c r="B24" s="41">
        <f t="shared" si="0"/>
        <v>-141126.31</v>
      </c>
      <c r="C24" s="37">
        <v>-70876.25</v>
      </c>
      <c r="D24" s="37">
        <v>-70250.06</v>
      </c>
    </row>
    <row r="25" spans="1:4">
      <c r="A25" s="2" t="s">
        <v>4</v>
      </c>
      <c r="B25" s="41">
        <f t="shared" si="0"/>
        <v>-4174077.02</v>
      </c>
      <c r="C25" s="37">
        <v>-2079629.52</v>
      </c>
      <c r="D25" s="37">
        <v>-2094447.5</v>
      </c>
    </row>
    <row r="26" spans="1:4">
      <c r="A26" s="2" t="s">
        <v>20</v>
      </c>
      <c r="B26" s="41">
        <f t="shared" si="0"/>
        <v>-2476303.38</v>
      </c>
      <c r="C26" s="37">
        <v>-1267449.05</v>
      </c>
      <c r="D26" s="37">
        <v>-1208854.33</v>
      </c>
    </row>
    <row r="27" spans="1:4">
      <c r="A27" s="2" t="s">
        <v>31</v>
      </c>
      <c r="B27" s="41">
        <f t="shared" si="0"/>
        <v>-5439549.2300000004</v>
      </c>
      <c r="C27" s="37">
        <v>-2749457.7</v>
      </c>
      <c r="D27" s="37">
        <v>-2690091.53</v>
      </c>
    </row>
    <row r="28" spans="1:4">
      <c r="A28" s="2" t="s">
        <v>21</v>
      </c>
      <c r="B28" s="41">
        <f t="shared" si="0"/>
        <v>-1090952.01</v>
      </c>
      <c r="C28" s="37">
        <v>-553336.02</v>
      </c>
      <c r="D28" s="37">
        <v>-537615.99</v>
      </c>
    </row>
    <row r="29" spans="1:4">
      <c r="A29" s="2" t="s">
        <v>30</v>
      </c>
      <c r="B29" s="41">
        <f t="shared" si="0"/>
        <v>-95479.18</v>
      </c>
      <c r="C29" s="37">
        <v>-49007.85</v>
      </c>
      <c r="D29" s="37">
        <v>-46471.33</v>
      </c>
    </row>
    <row r="30" spans="1:4">
      <c r="A30" s="2" t="s">
        <v>34</v>
      </c>
      <c r="B30" s="41">
        <f t="shared" si="0"/>
        <v>-64300.09</v>
      </c>
      <c r="C30" s="37">
        <v>-33897.22</v>
      </c>
      <c r="D30" s="37">
        <v>-30402.87</v>
      </c>
    </row>
    <row r="31" spans="1:4">
      <c r="A31" s="2" t="s">
        <v>38</v>
      </c>
      <c r="B31" s="41">
        <f t="shared" si="0"/>
        <v>-44390.740000000005</v>
      </c>
      <c r="C31" s="37">
        <v>-23521.59</v>
      </c>
      <c r="D31" s="37">
        <v>-20869.150000000001</v>
      </c>
    </row>
    <row r="32" spans="1:4">
      <c r="A32" s="2" t="s">
        <v>5</v>
      </c>
      <c r="B32" s="41">
        <f t="shared" si="0"/>
        <v>-4973766.43</v>
      </c>
      <c r="C32" s="37">
        <v>-2549938.79</v>
      </c>
      <c r="D32" s="37">
        <v>-2423827.64</v>
      </c>
    </row>
    <row r="33" spans="1:4">
      <c r="A33" s="2" t="s">
        <v>32</v>
      </c>
      <c r="B33" s="41">
        <f t="shared" si="0"/>
        <v>-2141049.29</v>
      </c>
      <c r="C33" s="37">
        <v>-1122535.79</v>
      </c>
      <c r="D33" s="37">
        <v>-1018513.5</v>
      </c>
    </row>
    <row r="34" spans="1:4">
      <c r="A34" s="2" t="s">
        <v>12</v>
      </c>
      <c r="B34" s="41">
        <f t="shared" si="0"/>
        <v>-231872.88</v>
      </c>
      <c r="C34" s="37">
        <v>-117828.34</v>
      </c>
      <c r="D34" s="37">
        <v>-114044.54</v>
      </c>
    </row>
    <row r="35" spans="1:4">
      <c r="A35" s="2" t="s">
        <v>29</v>
      </c>
      <c r="B35" s="41">
        <f t="shared" si="0"/>
        <v>-85691.010000000009</v>
      </c>
      <c r="C35" s="37">
        <v>-45621.21</v>
      </c>
      <c r="D35" s="37">
        <v>-40069.800000000003</v>
      </c>
    </row>
    <row r="36" spans="1:4">
      <c r="A36" s="2" t="s">
        <v>33</v>
      </c>
      <c r="B36" s="41">
        <f t="shared" si="0"/>
        <v>-62738.789999999994</v>
      </c>
      <c r="C36" s="37">
        <v>-31091.42</v>
      </c>
      <c r="D36" s="37">
        <v>-31647.37</v>
      </c>
    </row>
    <row r="37" spans="1:4">
      <c r="A37" s="2" t="s">
        <v>10</v>
      </c>
      <c r="B37" s="41">
        <f t="shared" si="0"/>
        <v>-160126.01</v>
      </c>
      <c r="C37" s="37">
        <v>-83585.58</v>
      </c>
      <c r="D37" s="37">
        <v>-76540.429999999993</v>
      </c>
    </row>
    <row r="38" spans="1:4">
      <c r="A38" s="2" t="s">
        <v>7</v>
      </c>
      <c r="B38" s="41">
        <f t="shared" si="0"/>
        <v>-2904521.95</v>
      </c>
      <c r="C38" s="37">
        <v>-1482852.81</v>
      </c>
      <c r="D38" s="37">
        <v>-1421669.14</v>
      </c>
    </row>
    <row r="39" spans="1:4">
      <c r="A39" s="2" t="s">
        <v>43</v>
      </c>
      <c r="B39" s="41">
        <f t="shared" si="0"/>
        <v>-311215.31</v>
      </c>
      <c r="C39" s="37">
        <v>-159243.28</v>
      </c>
      <c r="D39" s="37">
        <v>-151972.03</v>
      </c>
    </row>
    <row r="40" spans="1:4">
      <c r="A40" s="2" t="s">
        <v>6</v>
      </c>
      <c r="B40" s="41">
        <f t="shared" si="0"/>
        <v>-8193713.5999999996</v>
      </c>
      <c r="C40" s="37">
        <v>-4161273.91</v>
      </c>
      <c r="D40" s="37">
        <v>-4032439.69</v>
      </c>
    </row>
    <row r="41" spans="1:4">
      <c r="A41" s="2" t="s">
        <v>15</v>
      </c>
      <c r="B41" s="41">
        <f t="shared" si="0"/>
        <v>-152282.10999999999</v>
      </c>
      <c r="C41" s="37">
        <v>-75518.009999999995</v>
      </c>
      <c r="D41" s="37">
        <v>-76764.100000000006</v>
      </c>
    </row>
    <row r="42" spans="1:4">
      <c r="A42" s="2" t="s">
        <v>3</v>
      </c>
      <c r="B42" s="41">
        <f t="shared" si="0"/>
        <v>-281973.08999999997</v>
      </c>
      <c r="C42" s="37">
        <v>-144317.78</v>
      </c>
      <c r="D42" s="37">
        <v>-137655.31</v>
      </c>
    </row>
    <row r="43" spans="1:4">
      <c r="A43" s="2" t="s">
        <v>24</v>
      </c>
      <c r="B43" s="41">
        <f t="shared" si="0"/>
        <v>-944976.56</v>
      </c>
      <c r="C43" s="37">
        <v>-466893.1</v>
      </c>
      <c r="D43" s="37">
        <v>-478083.46</v>
      </c>
    </row>
    <row r="44" spans="1:4">
      <c r="A44" s="2" t="s">
        <v>22</v>
      </c>
      <c r="B44" s="41">
        <f t="shared" si="0"/>
        <v>-680469.27</v>
      </c>
      <c r="C44" s="37">
        <v>-336664.61</v>
      </c>
      <c r="D44" s="37">
        <v>-343804.66</v>
      </c>
    </row>
    <row r="45" spans="1:4">
      <c r="A45" s="101" t="s">
        <v>166</v>
      </c>
      <c r="B45" s="41">
        <f t="shared" si="0"/>
        <v>-1082499.8500000001</v>
      </c>
      <c r="C45" s="37">
        <v>-549112.76</v>
      </c>
      <c r="D45" s="37">
        <v>-533387.09</v>
      </c>
    </row>
    <row r="46" spans="1:4">
      <c r="A46" s="2" t="s">
        <v>88</v>
      </c>
      <c r="B46" s="41">
        <f t="shared" si="0"/>
        <v>-106741.55</v>
      </c>
      <c r="C46" s="37">
        <v>-60653.98</v>
      </c>
      <c r="D46" s="37">
        <v>-46087.57</v>
      </c>
    </row>
    <row r="47" spans="1:4">
      <c r="A47" s="2" t="s">
        <v>8</v>
      </c>
      <c r="B47" s="41">
        <f t="shared" si="0"/>
        <v>-1538395.1800000002</v>
      </c>
      <c r="C47" s="37">
        <v>-778304.88</v>
      </c>
      <c r="D47" s="37">
        <v>-760090.3</v>
      </c>
    </row>
    <row r="48" spans="1:4">
      <c r="A48" s="2" t="s">
        <v>35</v>
      </c>
      <c r="B48" s="41">
        <f t="shared" si="0"/>
        <v>-38955.32</v>
      </c>
      <c r="C48" s="37">
        <v>-20446.95</v>
      </c>
      <c r="D48" s="37">
        <v>-18508.37</v>
      </c>
    </row>
    <row r="49" spans="1:4">
      <c r="A49" s="2" t="s">
        <v>2</v>
      </c>
      <c r="B49" s="41">
        <f t="shared" si="0"/>
        <v>-5773689.1200000001</v>
      </c>
      <c r="C49" s="37">
        <v>-2933905.6</v>
      </c>
      <c r="D49" s="37">
        <v>-2839783.52</v>
      </c>
    </row>
    <row r="50" spans="1:4">
      <c r="A50" s="2" t="s">
        <v>42</v>
      </c>
      <c r="B50" s="41">
        <f t="shared" si="0"/>
        <v>-200034.82</v>
      </c>
      <c r="C50" s="37">
        <v>-102701.87</v>
      </c>
      <c r="D50" s="37">
        <v>-97332.95</v>
      </c>
    </row>
    <row r="51" spans="1:4">
      <c r="A51" s="2" t="s">
        <v>23</v>
      </c>
      <c r="B51" s="41">
        <f t="shared" si="0"/>
        <v>-1907652.4500000002</v>
      </c>
      <c r="C51" s="37">
        <v>-950817.02</v>
      </c>
      <c r="D51" s="37">
        <v>-956835.43</v>
      </c>
    </row>
    <row r="52" spans="1:4">
      <c r="A52"/>
      <c r="B52"/>
      <c r="C52"/>
    </row>
    <row r="53" spans="1:4">
      <c r="A53" s="23" t="s">
        <v>63</v>
      </c>
      <c r="B53" s="34">
        <f t="shared" ref="B53:C53" si="1">SUMIF(B3:B51,"&gt;0")</f>
        <v>0</v>
      </c>
      <c r="C53" s="34">
        <f t="shared" si="1"/>
        <v>0</v>
      </c>
      <c r="D53" s="34">
        <f>SUMIF(D3:D51,"&gt;0")</f>
        <v>0</v>
      </c>
    </row>
    <row r="54" spans="1:4">
      <c r="A54" s="23" t="s">
        <v>64</v>
      </c>
      <c r="B54" s="34">
        <f t="shared" ref="B54:C54" si="2">SUMIF(B3:B51,"&lt;0")</f>
        <v>-79192211.700000003</v>
      </c>
      <c r="C54" s="34">
        <f t="shared" si="2"/>
        <v>-41638984.74000001</v>
      </c>
      <c r="D54" s="34">
        <f>SUMIF(D3:D51,"&lt;0")</f>
        <v>-40005541.020000003</v>
      </c>
    </row>
    <row r="55" spans="1:4">
      <c r="A55" s="23" t="s">
        <v>58</v>
      </c>
      <c r="B55" s="34">
        <f t="shared" ref="B55:C55" si="3">B53+B54</f>
        <v>-79192211.700000003</v>
      </c>
      <c r="C55" s="34">
        <f t="shared" si="3"/>
        <v>-41638984.74000001</v>
      </c>
      <c r="D55" s="34">
        <f>D53+D54</f>
        <v>-40005541.020000003</v>
      </c>
    </row>
    <row r="56" spans="1:4">
      <c r="A56" s="5"/>
      <c r="B56" s="5"/>
      <c r="C56" s="5"/>
    </row>
    <row r="57" spans="1:4">
      <c r="A57" s="5"/>
      <c r="B57" s="5"/>
      <c r="C57" s="152"/>
    </row>
    <row r="58" spans="1:4">
      <c r="D58" s="5"/>
    </row>
    <row r="59" spans="1:4">
      <c r="A59" s="6"/>
      <c r="B59" s="6"/>
      <c r="C59" s="153"/>
      <c r="D59" s="154"/>
    </row>
    <row r="60" spans="1:4">
      <c r="D60" s="5"/>
    </row>
    <row r="61" spans="1:4">
      <c r="D61" s="5"/>
    </row>
  </sheetData>
  <autoFilter ref="A2:D51"/>
  <pageMargins left="0.511811024" right="0.511811024" top="0.78740157499999996" bottom="0.78740157499999996" header="0.31496062000000002" footer="0.31496062000000002"/>
  <pageSetup paperSize="9" scale="57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2:E57"/>
  <sheetViews>
    <sheetView topLeftCell="A40" zoomScaleNormal="100" workbookViewId="0">
      <selection activeCell="C54" sqref="C54"/>
    </sheetView>
  </sheetViews>
  <sheetFormatPr defaultRowHeight="12.75"/>
  <cols>
    <col min="1" max="1" width="17.85546875" style="145" bestFit="1" customWidth="1"/>
    <col min="2" max="2" width="17.85546875" style="145" customWidth="1"/>
    <col min="3" max="3" width="19.85546875" style="145" customWidth="1"/>
    <col min="4" max="5" width="9.140625" style="142"/>
  </cols>
  <sheetData>
    <row r="2" spans="1:3" ht="56.25">
      <c r="A2" s="141" t="s">
        <v>0</v>
      </c>
      <c r="B2" s="141" t="s">
        <v>227</v>
      </c>
      <c r="C2" s="141" t="s">
        <v>241</v>
      </c>
    </row>
    <row r="3" spans="1:3">
      <c r="A3" s="158" t="s">
        <v>257</v>
      </c>
      <c r="B3" s="143">
        <v>2016440000162</v>
      </c>
      <c r="C3" s="42">
        <v>-64235.08</v>
      </c>
    </row>
    <row r="4" spans="1:3">
      <c r="A4" s="2" t="s">
        <v>44</v>
      </c>
      <c r="B4" s="143">
        <v>2341467000120</v>
      </c>
      <c r="C4" s="42">
        <v>-46251.43</v>
      </c>
    </row>
    <row r="5" spans="1:3">
      <c r="A5" s="2" t="s">
        <v>1</v>
      </c>
      <c r="B5" s="143">
        <v>33050071000158</v>
      </c>
      <c r="C5" s="42">
        <v>-102394.08</v>
      </c>
    </row>
    <row r="6" spans="1:3">
      <c r="A6" s="2" t="s">
        <v>9</v>
      </c>
      <c r="B6" s="143">
        <v>2302100000106</v>
      </c>
      <c r="C6" s="42">
        <v>-78027.839999999997</v>
      </c>
    </row>
    <row r="7" spans="1:3">
      <c r="A7" s="2" t="s">
        <v>41</v>
      </c>
      <c r="B7" s="143">
        <v>7282377000120</v>
      </c>
      <c r="C7" s="42">
        <v>-10500.63</v>
      </c>
    </row>
    <row r="8" spans="1:3">
      <c r="A8" s="2" t="s">
        <v>75</v>
      </c>
      <c r="B8" s="143">
        <v>5965546000109</v>
      </c>
      <c r="C8" s="42">
        <v>-10797.67</v>
      </c>
    </row>
    <row r="9" spans="1:3">
      <c r="A9" s="2" t="s">
        <v>14</v>
      </c>
      <c r="B9" s="143">
        <v>12272084000100</v>
      </c>
      <c r="C9" s="42">
        <v>-36603.699999999997</v>
      </c>
    </row>
    <row r="10" spans="1:3">
      <c r="A10" s="2" t="s">
        <v>37</v>
      </c>
      <c r="B10" s="143">
        <v>7522669000192</v>
      </c>
      <c r="C10" s="42">
        <v>-54499.32</v>
      </c>
    </row>
    <row r="11" spans="1:3">
      <c r="A11" s="2" t="s">
        <v>39</v>
      </c>
      <c r="B11" s="143">
        <v>8467115000100</v>
      </c>
      <c r="C11" s="42">
        <v>-69732.66</v>
      </c>
    </row>
    <row r="12" spans="1:3">
      <c r="A12" s="2" t="s">
        <v>40</v>
      </c>
      <c r="B12" s="143">
        <v>8336783000190</v>
      </c>
      <c r="C12" s="42">
        <v>-152187.57</v>
      </c>
    </row>
    <row r="13" spans="1:3">
      <c r="A13" s="2" t="s">
        <v>16</v>
      </c>
      <c r="B13" s="143">
        <v>1543032000104</v>
      </c>
      <c r="C13" s="42">
        <v>-99832.89</v>
      </c>
    </row>
    <row r="14" spans="1:3">
      <c r="A14" s="2" t="s">
        <v>28</v>
      </c>
      <c r="B14" s="143">
        <v>4895728000180</v>
      </c>
      <c r="C14" s="42">
        <v>-69022.179999999993</v>
      </c>
    </row>
    <row r="15" spans="1:3">
      <c r="A15" s="2" t="s">
        <v>17</v>
      </c>
      <c r="B15" s="143">
        <v>10835932000108</v>
      </c>
      <c r="C15" s="42">
        <v>-104946.44</v>
      </c>
    </row>
    <row r="16" spans="1:3">
      <c r="A16" s="2" t="s">
        <v>171</v>
      </c>
      <c r="B16" s="143">
        <v>25086034000171</v>
      </c>
      <c r="C16" s="42">
        <v>-14840.34</v>
      </c>
    </row>
    <row r="17" spans="1:3">
      <c r="A17" s="2" t="s">
        <v>18</v>
      </c>
      <c r="B17" s="143">
        <v>6272793000184</v>
      </c>
      <c r="C17" s="42">
        <v>-47138.35</v>
      </c>
    </row>
    <row r="18" spans="1:3">
      <c r="A18" s="2" t="s">
        <v>170</v>
      </c>
      <c r="B18" s="143">
        <v>3467321000199</v>
      </c>
      <c r="C18" s="42">
        <v>-48638.78</v>
      </c>
    </row>
    <row r="19" spans="1:3">
      <c r="A19" s="2" t="s">
        <v>36</v>
      </c>
      <c r="B19" s="143">
        <v>6981180000116</v>
      </c>
      <c r="C19" s="42">
        <v>-257615.57</v>
      </c>
    </row>
    <row r="20" spans="1:3">
      <c r="A20" s="2" t="s">
        <v>19</v>
      </c>
      <c r="B20" s="143">
        <v>6840748000189</v>
      </c>
      <c r="C20" s="42">
        <v>-29884.33</v>
      </c>
    </row>
    <row r="21" spans="1:3">
      <c r="A21" s="2" t="s">
        <v>45</v>
      </c>
      <c r="B21" s="143">
        <v>5914650000166</v>
      </c>
      <c r="C21" s="42">
        <v>-24396.11</v>
      </c>
    </row>
    <row r="22" spans="1:3">
      <c r="A22" s="2" t="s">
        <v>11</v>
      </c>
      <c r="B22" s="143">
        <v>61416244000144</v>
      </c>
      <c r="C22" s="42">
        <v>-5507.63</v>
      </c>
    </row>
    <row r="23" spans="1:3">
      <c r="A23" s="2" t="s">
        <v>4</v>
      </c>
      <c r="B23" s="143">
        <v>15139629000194</v>
      </c>
      <c r="C23" s="42">
        <v>-155427.84</v>
      </c>
    </row>
    <row r="24" spans="1:3">
      <c r="A24" s="2" t="s">
        <v>20</v>
      </c>
      <c r="B24" s="143">
        <v>7047251000170</v>
      </c>
      <c r="C24" s="42">
        <v>-79352.34</v>
      </c>
    </row>
    <row r="25" spans="1:3">
      <c r="A25" s="2" t="s">
        <v>31</v>
      </c>
      <c r="B25" s="143">
        <v>4368898000106</v>
      </c>
      <c r="C25" s="42">
        <v>-194361.02</v>
      </c>
    </row>
    <row r="26" spans="1:3">
      <c r="A26" s="2" t="s">
        <v>21</v>
      </c>
      <c r="B26" s="143">
        <v>8324196000181</v>
      </c>
      <c r="C26" s="42">
        <v>-38826.370000000003</v>
      </c>
    </row>
    <row r="27" spans="1:3">
      <c r="A27" s="2" t="s">
        <v>30</v>
      </c>
      <c r="B27" s="143">
        <v>53859112000169</v>
      </c>
      <c r="C27" s="42">
        <v>-3492.86</v>
      </c>
    </row>
    <row r="28" spans="1:3">
      <c r="A28" s="2" t="s">
        <v>34</v>
      </c>
      <c r="B28" s="143">
        <v>61015582000174</v>
      </c>
      <c r="C28" s="42">
        <v>-2540.77</v>
      </c>
    </row>
    <row r="29" spans="1:3">
      <c r="A29" s="2" t="s">
        <v>38</v>
      </c>
      <c r="B29" s="143">
        <v>52503802000118</v>
      </c>
      <c r="C29" s="42">
        <v>-1882.76</v>
      </c>
    </row>
    <row r="30" spans="1:3">
      <c r="A30" s="2" t="s">
        <v>5</v>
      </c>
      <c r="B30" s="143">
        <v>33050196000188</v>
      </c>
      <c r="C30" s="42">
        <v>-199439.62</v>
      </c>
    </row>
    <row r="31" spans="1:3">
      <c r="A31" s="2" t="s">
        <v>32</v>
      </c>
      <c r="B31" s="143">
        <v>4172213000151</v>
      </c>
      <c r="C31" s="42">
        <v>-77591.09</v>
      </c>
    </row>
    <row r="32" spans="1:3">
      <c r="A32" s="2" t="s">
        <v>12</v>
      </c>
      <c r="B32" s="143">
        <v>61116265000144</v>
      </c>
      <c r="C32" s="42">
        <v>-9128.08</v>
      </c>
    </row>
    <row r="33" spans="1:3">
      <c r="A33" s="2" t="s">
        <v>29</v>
      </c>
      <c r="B33" s="143">
        <v>60855608000120</v>
      </c>
      <c r="C33" s="42">
        <v>-3776.52</v>
      </c>
    </row>
    <row r="34" spans="1:3">
      <c r="A34" s="2" t="s">
        <v>33</v>
      </c>
      <c r="B34" s="143">
        <v>23664303000104</v>
      </c>
      <c r="C34" s="42">
        <v>-2389.3000000000002</v>
      </c>
    </row>
    <row r="35" spans="1:3">
      <c r="A35" s="2" t="s">
        <v>10</v>
      </c>
      <c r="B35" s="143">
        <v>60942281000123</v>
      </c>
      <c r="C35" s="42">
        <v>-5684.9</v>
      </c>
    </row>
    <row r="36" spans="1:3">
      <c r="A36" s="2" t="s">
        <v>7</v>
      </c>
      <c r="B36" s="143">
        <v>2328280000197</v>
      </c>
      <c r="C36" s="42">
        <v>-103190.67</v>
      </c>
    </row>
    <row r="37" spans="1:3">
      <c r="A37" s="2" t="s">
        <v>43</v>
      </c>
      <c r="B37" s="143">
        <v>4065033000170</v>
      </c>
      <c r="C37" s="42">
        <v>-7265.76</v>
      </c>
    </row>
    <row r="38" spans="1:3">
      <c r="A38" s="2" t="s">
        <v>6</v>
      </c>
      <c r="B38" s="143">
        <v>61695227000193</v>
      </c>
      <c r="C38" s="42">
        <v>-318443.11</v>
      </c>
    </row>
    <row r="39" spans="1:3">
      <c r="A39" s="2" t="s">
        <v>15</v>
      </c>
      <c r="B39" s="143">
        <v>8826596000195</v>
      </c>
      <c r="C39" s="42">
        <v>-4815.84</v>
      </c>
    </row>
    <row r="40" spans="1:3">
      <c r="A40" s="2" t="s">
        <v>3</v>
      </c>
      <c r="B40" s="143">
        <v>19527639000158</v>
      </c>
      <c r="C40" s="42">
        <v>-11492.38</v>
      </c>
    </row>
    <row r="41" spans="1:3">
      <c r="A41" s="2" t="s">
        <v>24</v>
      </c>
      <c r="B41" s="143">
        <v>9095183000140</v>
      </c>
      <c r="C41" s="42">
        <v>-31657.8</v>
      </c>
    </row>
    <row r="42" spans="1:3">
      <c r="A42" s="2" t="s">
        <v>22</v>
      </c>
      <c r="B42" s="143">
        <v>13017462000163</v>
      </c>
      <c r="C42" s="42">
        <v>-24553.15</v>
      </c>
    </row>
    <row r="43" spans="1:3">
      <c r="A43" s="2" t="s">
        <v>166</v>
      </c>
      <c r="B43" s="143">
        <v>15413826000150</v>
      </c>
      <c r="C43" s="42">
        <v>-42280.14</v>
      </c>
    </row>
    <row r="44" spans="1:3">
      <c r="A44" s="2" t="s">
        <v>88</v>
      </c>
      <c r="B44" s="143">
        <v>27485069000109</v>
      </c>
      <c r="C44" s="42">
        <v>-4449.82</v>
      </c>
    </row>
    <row r="45" spans="1:3">
      <c r="A45" s="2" t="s">
        <v>8</v>
      </c>
      <c r="B45" s="143">
        <v>28152650000171</v>
      </c>
      <c r="C45" s="42">
        <v>-63125.63</v>
      </c>
    </row>
    <row r="46" spans="1:3">
      <c r="A46" s="2" t="s">
        <v>35</v>
      </c>
      <c r="B46" s="143">
        <v>83855973000130</v>
      </c>
      <c r="C46" s="42">
        <v>-1711.9</v>
      </c>
    </row>
    <row r="47" spans="1:3">
      <c r="A47" s="2" t="s">
        <v>2</v>
      </c>
      <c r="B47" s="143">
        <v>60444437000146</v>
      </c>
      <c r="C47" s="42">
        <v>-254470.71</v>
      </c>
    </row>
    <row r="48" spans="1:3">
      <c r="A48" s="2" t="s">
        <v>42</v>
      </c>
      <c r="B48" s="143">
        <v>7297359000111</v>
      </c>
      <c r="C48" s="42">
        <v>-7783.76</v>
      </c>
    </row>
    <row r="49" spans="1:3">
      <c r="A49" s="2" t="s">
        <v>23</v>
      </c>
      <c r="B49" s="143">
        <v>2016439000138</v>
      </c>
      <c r="C49" s="42">
        <v>-73323.149999999994</v>
      </c>
    </row>
    <row r="50" spans="1:3">
      <c r="A50" s="142"/>
      <c r="B50" s="142"/>
      <c r="C50" s="142"/>
    </row>
    <row r="51" spans="1:3">
      <c r="A51" s="141" t="s">
        <v>63</v>
      </c>
      <c r="B51" s="141"/>
      <c r="C51" s="34">
        <f t="shared" ref="C51" si="0">SUMIF(C3:C49,"&gt;0")</f>
        <v>0</v>
      </c>
    </row>
    <row r="52" spans="1:3">
      <c r="A52" s="141" t="s">
        <v>64</v>
      </c>
      <c r="B52" s="141"/>
      <c r="C52" s="34">
        <f t="shared" ref="C52" si="1">SUMIF(C3:C49,"&lt;0")</f>
        <v>-3049509.8899999992</v>
      </c>
    </row>
    <row r="53" spans="1:3">
      <c r="A53" s="141" t="s">
        <v>58</v>
      </c>
      <c r="B53" s="141"/>
      <c r="C53" s="34">
        <f t="shared" ref="C53" si="2">C51+C52</f>
        <v>-3049509.8899999992</v>
      </c>
    </row>
    <row r="54" spans="1:3">
      <c r="A54" s="5"/>
      <c r="B54" s="5"/>
      <c r="C54" s="5"/>
    </row>
    <row r="55" spans="1:3">
      <c r="A55" s="5"/>
      <c r="B55" s="5"/>
      <c r="C55" s="157"/>
    </row>
    <row r="57" spans="1:3">
      <c r="A57" s="144"/>
      <c r="B57" s="144"/>
      <c r="C57" s="144"/>
    </row>
  </sheetData>
  <pageMargins left="0.511811024" right="0.511811024" top="0.78740157499999996" bottom="0.78740157499999996" header="0.31496062000000002" footer="0.31496062000000002"/>
  <pageSetup paperSize="9" scale="57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I56"/>
  <sheetViews>
    <sheetView topLeftCell="A37" zoomScaleNormal="100" workbookViewId="0">
      <selection activeCell="C59" sqref="C59"/>
    </sheetView>
  </sheetViews>
  <sheetFormatPr defaultRowHeight="12.75"/>
  <cols>
    <col min="1" max="1" width="17.85546875" style="7" bestFit="1" customWidth="1"/>
    <col min="2" max="2" width="27.42578125" style="7" customWidth="1"/>
    <col min="3" max="3" width="19.28515625" customWidth="1"/>
    <col min="4" max="4" width="19.7109375" customWidth="1"/>
    <col min="5" max="5" width="19.85546875" customWidth="1"/>
    <col min="8" max="8" width="18.28515625" style="13" customWidth="1"/>
    <col min="9" max="9" width="12.140625" customWidth="1"/>
    <col min="13" max="13" width="12" bestFit="1" customWidth="1"/>
  </cols>
  <sheetData>
    <row r="1" spans="1:9" ht="68.25" customHeight="1">
      <c r="A1" s="141" t="s">
        <v>0</v>
      </c>
      <c r="B1" s="141" t="s">
        <v>263</v>
      </c>
      <c r="C1" s="141" t="s">
        <v>264</v>
      </c>
      <c r="D1" s="141" t="s">
        <v>265</v>
      </c>
      <c r="E1" s="141" t="s">
        <v>266</v>
      </c>
      <c r="H1" s="141" t="s">
        <v>267</v>
      </c>
    </row>
    <row r="2" spans="1:9">
      <c r="A2" s="165" t="s">
        <v>257</v>
      </c>
      <c r="B2" s="166">
        <f>C2-D2+E2</f>
        <v>18759346.552221343</v>
      </c>
      <c r="C2" s="167">
        <f>H2/12</f>
        <v>9706200.3022213411</v>
      </c>
      <c r="D2" s="167">
        <v>0</v>
      </c>
      <c r="E2" s="167">
        <v>9053146.25</v>
      </c>
      <c r="H2" s="167">
        <v>116474403.62665609</v>
      </c>
    </row>
    <row r="3" spans="1:9">
      <c r="A3" s="168" t="s">
        <v>44</v>
      </c>
      <c r="B3" s="166">
        <f t="shared" ref="B3:B48" si="0">C3-D3+E3</f>
        <v>0</v>
      </c>
      <c r="C3" s="167">
        <f t="shared" ref="C3:C48" si="1">H3/12</f>
        <v>0</v>
      </c>
      <c r="D3" s="169"/>
      <c r="E3" s="169"/>
      <c r="H3" s="169"/>
    </row>
    <row r="4" spans="1:9">
      <c r="A4" s="168" t="s">
        <v>1</v>
      </c>
      <c r="B4" s="166">
        <f t="shared" si="0"/>
        <v>24550620.102618136</v>
      </c>
      <c r="C4" s="167">
        <f t="shared" si="1"/>
        <v>11098942.792618135</v>
      </c>
      <c r="D4" s="167">
        <v>0</v>
      </c>
      <c r="E4" s="167">
        <v>13451677.310000001</v>
      </c>
      <c r="H4" s="169">
        <v>133187313.51141763</v>
      </c>
      <c r="I4" t="s">
        <v>270</v>
      </c>
    </row>
    <row r="5" spans="1:9">
      <c r="A5" s="168" t="s">
        <v>9</v>
      </c>
      <c r="B5" s="166">
        <f t="shared" si="0"/>
        <v>22732438.543742608</v>
      </c>
      <c r="C5" s="167">
        <f t="shared" si="1"/>
        <v>11951635.273742609</v>
      </c>
      <c r="D5" s="167">
        <v>0</v>
      </c>
      <c r="E5" s="167">
        <v>10780803.27</v>
      </c>
      <c r="H5" s="167">
        <v>143419623.2849113</v>
      </c>
    </row>
    <row r="6" spans="1:9">
      <c r="A6" s="168" t="s">
        <v>41</v>
      </c>
      <c r="B6" s="166">
        <f t="shared" si="0"/>
        <v>2672123.9600946242</v>
      </c>
      <c r="C6" s="167">
        <f t="shared" si="1"/>
        <v>1412636.010094624</v>
      </c>
      <c r="D6" s="167">
        <v>0</v>
      </c>
      <c r="E6" s="167">
        <v>1259487.95</v>
      </c>
      <c r="H6" s="167">
        <v>16951632.121135488</v>
      </c>
    </row>
    <row r="7" spans="1:9">
      <c r="A7" s="168" t="s">
        <v>75</v>
      </c>
      <c r="B7" s="166">
        <f t="shared" si="0"/>
        <v>0</v>
      </c>
      <c r="C7" s="167">
        <f t="shared" si="1"/>
        <v>0</v>
      </c>
      <c r="D7" s="167">
        <v>0</v>
      </c>
      <c r="E7" s="167">
        <v>0</v>
      </c>
      <c r="H7" s="167">
        <v>0</v>
      </c>
    </row>
    <row r="8" spans="1:9">
      <c r="A8" s="168" t="s">
        <v>14</v>
      </c>
      <c r="B8" s="166">
        <f t="shared" si="0"/>
        <v>9272686.2715067919</v>
      </c>
      <c r="C8" s="167">
        <f t="shared" si="1"/>
        <v>4272110.8715067916</v>
      </c>
      <c r="D8" s="167">
        <v>0</v>
      </c>
      <c r="E8" s="167">
        <v>5000575.4000000004</v>
      </c>
      <c r="H8" s="167">
        <v>51265330.458081499</v>
      </c>
    </row>
    <row r="9" spans="1:9">
      <c r="A9" s="168" t="s">
        <v>37</v>
      </c>
      <c r="B9" s="166">
        <f t="shared" si="0"/>
        <v>15232764.069707889</v>
      </c>
      <c r="C9" s="167">
        <f t="shared" si="1"/>
        <v>7734756.4997078897</v>
      </c>
      <c r="D9" s="167">
        <v>0</v>
      </c>
      <c r="E9" s="167">
        <v>7498007.5700000003</v>
      </c>
      <c r="H9" s="167">
        <v>92817077.996494681</v>
      </c>
    </row>
    <row r="10" spans="1:9">
      <c r="A10" s="168" t="s">
        <v>39</v>
      </c>
      <c r="B10" s="166">
        <f t="shared" si="0"/>
        <v>19847271.088193104</v>
      </c>
      <c r="C10" s="167">
        <f t="shared" si="1"/>
        <v>10181352.408193102</v>
      </c>
      <c r="D10" s="167">
        <v>0</v>
      </c>
      <c r="E10" s="167">
        <v>9665918.6799999997</v>
      </c>
      <c r="H10" s="167">
        <v>122176228.89831722</v>
      </c>
    </row>
    <row r="11" spans="1:9">
      <c r="A11" s="168" t="s">
        <v>40</v>
      </c>
      <c r="B11" s="166">
        <f t="shared" si="0"/>
        <v>41078766.848494202</v>
      </c>
      <c r="C11" s="167">
        <f t="shared" si="1"/>
        <v>20958173.768494207</v>
      </c>
      <c r="D11" s="167">
        <v>0</v>
      </c>
      <c r="E11" s="167">
        <v>20120593.079999998</v>
      </c>
      <c r="H11" s="167">
        <v>251498085.22193047</v>
      </c>
    </row>
    <row r="12" spans="1:9">
      <c r="A12" s="168" t="s">
        <v>16</v>
      </c>
      <c r="B12" s="166">
        <f t="shared" si="0"/>
        <v>30073633.477886818</v>
      </c>
      <c r="C12" s="167">
        <f t="shared" si="1"/>
        <v>15285655.517886816</v>
      </c>
      <c r="D12" s="167">
        <v>0</v>
      </c>
      <c r="E12" s="167">
        <v>14787977.960000001</v>
      </c>
      <c r="H12" s="167">
        <v>183427866.21464178</v>
      </c>
    </row>
    <row r="13" spans="1:9">
      <c r="A13" s="168" t="s">
        <v>28</v>
      </c>
      <c r="B13" s="166">
        <f t="shared" si="0"/>
        <v>21737009.085742831</v>
      </c>
      <c r="C13" s="167">
        <f t="shared" si="1"/>
        <v>9927580.2257428318</v>
      </c>
      <c r="D13" s="167">
        <v>0</v>
      </c>
      <c r="E13" s="167">
        <v>11809428.859999999</v>
      </c>
      <c r="H13" s="167">
        <v>119130962.70891398</v>
      </c>
    </row>
    <row r="14" spans="1:9">
      <c r="A14" s="168" t="s">
        <v>17</v>
      </c>
      <c r="B14" s="166">
        <f t="shared" si="0"/>
        <v>29677865.342003778</v>
      </c>
      <c r="C14" s="167">
        <f t="shared" si="1"/>
        <v>14545110.642003777</v>
      </c>
      <c r="D14" s="167">
        <v>0</v>
      </c>
      <c r="E14" s="167">
        <v>15132754.699999999</v>
      </c>
      <c r="H14" s="167">
        <v>174541327.70404533</v>
      </c>
    </row>
    <row r="15" spans="1:9">
      <c r="A15" s="168" t="s">
        <v>171</v>
      </c>
      <c r="B15" s="166">
        <f t="shared" si="0"/>
        <v>5030658.7814182825</v>
      </c>
      <c r="C15" s="167">
        <f t="shared" si="1"/>
        <v>2540298.2014182825</v>
      </c>
      <c r="D15" s="167">
        <v>0</v>
      </c>
      <c r="E15" s="167">
        <v>2490360.58</v>
      </c>
      <c r="H15" s="167">
        <v>30483578.41701939</v>
      </c>
    </row>
    <row r="16" spans="1:9">
      <c r="A16" s="168" t="s">
        <v>18</v>
      </c>
      <c r="B16" s="166">
        <f t="shared" si="0"/>
        <v>15294832.382553503</v>
      </c>
      <c r="C16" s="167">
        <f t="shared" si="1"/>
        <v>7315374.0725535033</v>
      </c>
      <c r="D16" s="167">
        <v>0</v>
      </c>
      <c r="E16" s="167">
        <v>7979458.3099999996</v>
      </c>
      <c r="H16" s="167">
        <v>87784488.870642036</v>
      </c>
    </row>
    <row r="17" spans="1:9">
      <c r="A17" s="168" t="s">
        <v>170</v>
      </c>
      <c r="B17" s="166">
        <f t="shared" si="0"/>
        <v>16286076.432399735</v>
      </c>
      <c r="C17" s="167">
        <f t="shared" si="1"/>
        <v>8781459.9123997353</v>
      </c>
      <c r="D17" s="167">
        <v>0</v>
      </c>
      <c r="E17" s="167">
        <v>7504616.5199999996</v>
      </c>
      <c r="H17" s="167">
        <v>105377518.94879682</v>
      </c>
    </row>
    <row r="18" spans="1:9">
      <c r="A18" s="168" t="s">
        <v>36</v>
      </c>
      <c r="B18" s="166">
        <f t="shared" si="0"/>
        <v>68391487.589026734</v>
      </c>
      <c r="C18" s="167">
        <f t="shared" si="1"/>
        <v>33751705.099026732</v>
      </c>
      <c r="D18" s="167">
        <v>0</v>
      </c>
      <c r="E18" s="167">
        <v>34639782.490000002</v>
      </c>
      <c r="H18" s="167">
        <v>405020461.18832076</v>
      </c>
    </row>
    <row r="19" spans="1:9">
      <c r="A19" s="168" t="s">
        <v>19</v>
      </c>
      <c r="B19" s="166">
        <f t="shared" si="0"/>
        <v>9280451.1012980081</v>
      </c>
      <c r="C19" s="167">
        <f t="shared" si="1"/>
        <v>3959593.2212980078</v>
      </c>
      <c r="D19" s="167">
        <v>0</v>
      </c>
      <c r="E19" s="167">
        <v>5320857.88</v>
      </c>
      <c r="H19" s="167">
        <v>47515118.655576095</v>
      </c>
    </row>
    <row r="20" spans="1:9">
      <c r="A20" s="168" t="s">
        <v>45</v>
      </c>
      <c r="B20" s="166">
        <f t="shared" si="0"/>
        <v>7725499.2231428027</v>
      </c>
      <c r="C20" s="167">
        <f t="shared" si="1"/>
        <v>3782263.9431428029</v>
      </c>
      <c r="D20" s="167">
        <v>0</v>
      </c>
      <c r="E20" s="167">
        <v>3943235.28</v>
      </c>
      <c r="H20" s="167">
        <v>45387167.317713633</v>
      </c>
    </row>
    <row r="21" spans="1:9">
      <c r="A21" s="168" t="s">
        <v>11</v>
      </c>
      <c r="B21" s="166">
        <f t="shared" si="0"/>
        <v>1402035.0549074362</v>
      </c>
      <c r="C21" s="167">
        <f t="shared" si="1"/>
        <v>715135.02490743622</v>
      </c>
      <c r="D21" s="167">
        <v>0</v>
      </c>
      <c r="E21" s="167">
        <v>686900.03</v>
      </c>
      <c r="H21" s="167">
        <v>8581620.2988892347</v>
      </c>
    </row>
    <row r="22" spans="1:9">
      <c r="A22" s="168" t="s">
        <v>4</v>
      </c>
      <c r="B22" s="166">
        <f t="shared" si="0"/>
        <v>43477924.533018857</v>
      </c>
      <c r="C22" s="167">
        <f t="shared" si="1"/>
        <v>21118009.963018853</v>
      </c>
      <c r="D22" s="167">
        <v>0</v>
      </c>
      <c r="E22" s="167">
        <v>22359914.57</v>
      </c>
      <c r="H22" s="167">
        <v>253416119.55622622</v>
      </c>
    </row>
    <row r="23" spans="1:9">
      <c r="A23" s="168" t="s">
        <v>20</v>
      </c>
      <c r="B23" s="166">
        <f t="shared" si="0"/>
        <v>25750415.493238747</v>
      </c>
      <c r="C23" s="167">
        <f t="shared" si="1"/>
        <v>12881257.353238745</v>
      </c>
      <c r="D23" s="167">
        <v>0</v>
      </c>
      <c r="E23" s="167">
        <v>12869158.140000001</v>
      </c>
      <c r="H23" s="167">
        <v>154575088.23886493</v>
      </c>
    </row>
    <row r="24" spans="1:9">
      <c r="A24" s="168" t="s">
        <v>31</v>
      </c>
      <c r="B24" s="166">
        <f t="shared" si="0"/>
        <v>58967062.852962092</v>
      </c>
      <c r="C24" s="167">
        <f t="shared" si="1"/>
        <v>31821366.382962093</v>
      </c>
      <c r="D24" s="167">
        <v>0</v>
      </c>
      <c r="E24" s="167">
        <v>27145696.469999999</v>
      </c>
      <c r="H24" s="167">
        <v>381856396.59554511</v>
      </c>
    </row>
    <row r="25" spans="1:9">
      <c r="A25" s="168" t="s">
        <v>21</v>
      </c>
      <c r="B25" s="166">
        <f t="shared" si="0"/>
        <v>11816030.283824295</v>
      </c>
      <c r="C25" s="167">
        <f t="shared" si="1"/>
        <v>5954639.2038242957</v>
      </c>
      <c r="D25" s="167">
        <v>0</v>
      </c>
      <c r="E25" s="167">
        <v>5861391.0800000001</v>
      </c>
      <c r="H25" s="167">
        <v>71455670.445891544</v>
      </c>
    </row>
    <row r="26" spans="1:9">
      <c r="A26" s="168" t="s">
        <v>30</v>
      </c>
      <c r="B26" s="166">
        <f t="shared" si="0"/>
        <v>1095485.9854239947</v>
      </c>
      <c r="C26" s="167">
        <f t="shared" si="1"/>
        <v>577468.17542399478</v>
      </c>
      <c r="D26" s="167">
        <v>0</v>
      </c>
      <c r="E26" s="167">
        <v>518017.81</v>
      </c>
      <c r="H26" s="169">
        <v>6929618.1050879369</v>
      </c>
      <c r="I26" t="s">
        <v>270</v>
      </c>
    </row>
    <row r="27" spans="1:9">
      <c r="A27" s="168" t="s">
        <v>34</v>
      </c>
      <c r="B27" s="166">
        <f t="shared" si="0"/>
        <v>699210.54392546706</v>
      </c>
      <c r="C27" s="167">
        <f t="shared" si="1"/>
        <v>339549.58392546704</v>
      </c>
      <c r="D27" s="167">
        <v>0</v>
      </c>
      <c r="E27" s="167">
        <v>359660.96</v>
      </c>
      <c r="H27" s="169">
        <v>4074595.0071056043</v>
      </c>
      <c r="I27" t="s">
        <v>270</v>
      </c>
    </row>
    <row r="28" spans="1:9">
      <c r="A28" s="168" t="s">
        <v>38</v>
      </c>
      <c r="B28" s="166">
        <f t="shared" si="0"/>
        <v>494752.21107152267</v>
      </c>
      <c r="C28" s="167">
        <f t="shared" si="1"/>
        <v>241990.04107152266</v>
      </c>
      <c r="D28" s="167">
        <v>0</v>
      </c>
      <c r="E28" s="167">
        <v>252762.17</v>
      </c>
      <c r="H28" s="169">
        <v>2903880.492858272</v>
      </c>
      <c r="I28" t="s">
        <v>270</v>
      </c>
    </row>
    <row r="29" spans="1:9">
      <c r="A29" s="168" t="s">
        <v>5</v>
      </c>
      <c r="B29" s="166">
        <f t="shared" si="0"/>
        <v>54436598.629662164</v>
      </c>
      <c r="C29" s="167">
        <f t="shared" si="1"/>
        <v>28265235.749662165</v>
      </c>
      <c r="D29" s="167">
        <v>0</v>
      </c>
      <c r="E29" s="167">
        <v>26171362.879999999</v>
      </c>
      <c r="H29" s="167">
        <v>339182828.99594599</v>
      </c>
    </row>
    <row r="30" spans="1:9">
      <c r="A30" s="168" t="s">
        <v>32</v>
      </c>
      <c r="B30" s="166">
        <f t="shared" si="0"/>
        <v>22229714.570259925</v>
      </c>
      <c r="C30" s="167">
        <f t="shared" si="1"/>
        <v>11793098.240259925</v>
      </c>
      <c r="D30" s="167">
        <v>0</v>
      </c>
      <c r="E30" s="167">
        <v>10436616.33</v>
      </c>
      <c r="H30" s="167">
        <v>141517178.88311911</v>
      </c>
    </row>
    <row r="31" spans="1:9">
      <c r="A31" s="168" t="s">
        <v>12</v>
      </c>
      <c r="B31" s="166">
        <f t="shared" si="0"/>
        <v>2338113.8746864013</v>
      </c>
      <c r="C31" s="167">
        <f t="shared" si="1"/>
        <v>1099537.2746864015</v>
      </c>
      <c r="D31" s="167">
        <v>0</v>
      </c>
      <c r="E31" s="167">
        <v>1238576.6000000001</v>
      </c>
      <c r="H31" s="169">
        <v>13194447.296236817</v>
      </c>
      <c r="I31" t="s">
        <v>270</v>
      </c>
    </row>
    <row r="32" spans="1:9">
      <c r="A32" s="168" t="s">
        <v>29</v>
      </c>
      <c r="B32" s="166">
        <f t="shared" si="0"/>
        <v>948914.22876810632</v>
      </c>
      <c r="C32" s="167">
        <f t="shared" si="1"/>
        <v>460699.96876810637</v>
      </c>
      <c r="D32" s="167">
        <v>0</v>
      </c>
      <c r="E32" s="167">
        <v>488214.26</v>
      </c>
      <c r="H32" s="169">
        <v>5528399.6252172766</v>
      </c>
      <c r="I32" t="s">
        <v>270</v>
      </c>
    </row>
    <row r="33" spans="1:9">
      <c r="A33" s="168" t="s">
        <v>33</v>
      </c>
      <c r="B33" s="166">
        <f t="shared" si="0"/>
        <v>872373.86401763838</v>
      </c>
      <c r="C33" s="167">
        <f t="shared" si="1"/>
        <v>517693.36401763844</v>
      </c>
      <c r="D33" s="167">
        <v>0</v>
      </c>
      <c r="E33" s="167">
        <v>354680.5</v>
      </c>
      <c r="H33" s="167">
        <v>6212320.3682116615</v>
      </c>
    </row>
    <row r="34" spans="1:9">
      <c r="A34" s="168" t="s">
        <v>10</v>
      </c>
      <c r="B34" s="166">
        <f t="shared" si="0"/>
        <v>1724233.5201124009</v>
      </c>
      <c r="C34" s="167">
        <f t="shared" si="1"/>
        <v>929528.45011240104</v>
      </c>
      <c r="D34" s="167">
        <v>0</v>
      </c>
      <c r="E34" s="167">
        <v>794705.07</v>
      </c>
      <c r="H34" s="167">
        <v>11154341.401348813</v>
      </c>
    </row>
    <row r="35" spans="1:9">
      <c r="A35" s="168" t="s">
        <v>7</v>
      </c>
      <c r="B35" s="166">
        <f t="shared" si="0"/>
        <v>30410794.640814885</v>
      </c>
      <c r="C35" s="167">
        <f t="shared" si="1"/>
        <v>16332748.210814886</v>
      </c>
      <c r="D35" s="167">
        <v>0</v>
      </c>
      <c r="E35" s="167">
        <v>14078046.43</v>
      </c>
      <c r="H35" s="167">
        <v>195992978.52977863</v>
      </c>
    </row>
    <row r="36" spans="1:9">
      <c r="A36" s="168" t="s">
        <v>43</v>
      </c>
      <c r="B36" s="166">
        <f t="shared" si="0"/>
        <v>2308882.8003612175</v>
      </c>
      <c r="C36" s="167">
        <f t="shared" si="1"/>
        <v>1147691.2303612174</v>
      </c>
      <c r="D36" s="167">
        <v>0</v>
      </c>
      <c r="E36" s="167">
        <v>1161191.57</v>
      </c>
      <c r="H36" s="167">
        <v>13772294.764334608</v>
      </c>
    </row>
    <row r="37" spans="1:9">
      <c r="A37" s="168" t="s">
        <v>6</v>
      </c>
      <c r="B37" s="166">
        <f t="shared" si="0"/>
        <v>89289568.931282923</v>
      </c>
      <c r="C37" s="167">
        <f t="shared" si="1"/>
        <v>46958555.23128292</v>
      </c>
      <c r="D37" s="167">
        <v>0</v>
      </c>
      <c r="E37" s="167">
        <v>42331013.700000003</v>
      </c>
      <c r="H37" s="167">
        <v>563502662.77539504</v>
      </c>
    </row>
    <row r="38" spans="1:9">
      <c r="A38" s="168" t="s">
        <v>15</v>
      </c>
      <c r="B38" s="166">
        <f t="shared" si="0"/>
        <v>1573015.2098031286</v>
      </c>
      <c r="C38" s="167">
        <f t="shared" si="1"/>
        <v>875585.11980312865</v>
      </c>
      <c r="D38" s="167">
        <v>0</v>
      </c>
      <c r="E38" s="167">
        <v>697430.09</v>
      </c>
      <c r="H38" s="167">
        <v>10507021.437637543</v>
      </c>
    </row>
    <row r="39" spans="1:9">
      <c r="A39" s="168" t="s">
        <v>3</v>
      </c>
      <c r="B39" s="166">
        <f t="shared" si="0"/>
        <v>3029787.5462061572</v>
      </c>
      <c r="C39" s="167">
        <f t="shared" si="1"/>
        <v>1556163.9462061571</v>
      </c>
      <c r="D39" s="167">
        <v>0</v>
      </c>
      <c r="E39" s="167">
        <v>1473623.6</v>
      </c>
      <c r="H39" s="167">
        <v>18673967.354473885</v>
      </c>
    </row>
    <row r="40" spans="1:9">
      <c r="A40" s="168" t="s">
        <v>24</v>
      </c>
      <c r="B40" s="166">
        <f t="shared" si="0"/>
        <v>9526705.9178921171</v>
      </c>
      <c r="C40" s="167">
        <f t="shared" si="1"/>
        <v>4797501.4878921183</v>
      </c>
      <c r="D40" s="167">
        <v>0</v>
      </c>
      <c r="E40" s="167">
        <v>4729204.43</v>
      </c>
      <c r="H40" s="167">
        <v>57570017.854705423</v>
      </c>
    </row>
    <row r="41" spans="1:9">
      <c r="A41" s="168" t="s">
        <v>22</v>
      </c>
      <c r="B41" s="166">
        <f t="shared" si="0"/>
        <v>7002052.9909370467</v>
      </c>
      <c r="C41" s="167">
        <f t="shared" si="1"/>
        <v>3532105.2609370467</v>
      </c>
      <c r="D41" s="167">
        <v>0</v>
      </c>
      <c r="E41" s="167">
        <v>3469947.73</v>
      </c>
      <c r="H41" s="167">
        <v>42385263.131244563</v>
      </c>
    </row>
    <row r="42" spans="1:9">
      <c r="A42" s="168" t="s">
        <v>166</v>
      </c>
      <c r="B42" s="166">
        <f t="shared" si="0"/>
        <v>11228238.139365762</v>
      </c>
      <c r="C42" s="167">
        <f t="shared" si="1"/>
        <v>5780889.6193657629</v>
      </c>
      <c r="D42" s="167">
        <v>0</v>
      </c>
      <c r="E42" s="167">
        <v>5447348.5199999996</v>
      </c>
      <c r="H42" s="167">
        <v>69370675.432389155</v>
      </c>
    </row>
    <row r="43" spans="1:9">
      <c r="A43" s="168" t="s">
        <v>88</v>
      </c>
      <c r="B43" s="166">
        <f t="shared" si="0"/>
        <v>636241.11</v>
      </c>
      <c r="C43" s="167">
        <f t="shared" si="1"/>
        <v>0</v>
      </c>
      <c r="D43" s="167">
        <v>0</v>
      </c>
      <c r="E43" s="167">
        <v>636241.11</v>
      </c>
      <c r="H43" s="167">
        <v>0</v>
      </c>
    </row>
    <row r="44" spans="1:9">
      <c r="A44" s="168" t="s">
        <v>8</v>
      </c>
      <c r="B44" s="166">
        <f t="shared" si="0"/>
        <v>17250915.297059104</v>
      </c>
      <c r="C44" s="167">
        <f t="shared" si="1"/>
        <v>8875630.7770591062</v>
      </c>
      <c r="D44" s="167">
        <v>0</v>
      </c>
      <c r="E44" s="167">
        <v>8375284.5199999996</v>
      </c>
      <c r="H44" s="167">
        <v>106507569.32470927</v>
      </c>
    </row>
    <row r="45" spans="1:9">
      <c r="A45" s="168" t="s">
        <v>35</v>
      </c>
      <c r="B45" s="166">
        <f t="shared" si="0"/>
        <v>494499.2475572566</v>
      </c>
      <c r="C45" s="167">
        <f t="shared" si="1"/>
        <v>266781.69755725662</v>
      </c>
      <c r="D45" s="167">
        <v>0</v>
      </c>
      <c r="E45" s="167">
        <v>227717.55</v>
      </c>
      <c r="H45" s="167">
        <v>3201380.3706870792</v>
      </c>
    </row>
    <row r="46" spans="1:9">
      <c r="A46" s="168" t="s">
        <v>2</v>
      </c>
      <c r="B46" s="166">
        <f t="shared" si="0"/>
        <v>54998233.788469091</v>
      </c>
      <c r="C46" s="167">
        <f t="shared" si="1"/>
        <v>23410526.578469094</v>
      </c>
      <c r="D46" s="167">
        <v>0</v>
      </c>
      <c r="E46" s="167">
        <v>31587707.210000001</v>
      </c>
      <c r="H46" s="169">
        <v>280926318.94162911</v>
      </c>
      <c r="I46" t="s">
        <v>269</v>
      </c>
    </row>
    <row r="47" spans="1:9">
      <c r="A47" s="168" t="s">
        <v>42</v>
      </c>
      <c r="B47" s="166">
        <f t="shared" si="0"/>
        <v>2061776.016508508</v>
      </c>
      <c r="C47" s="167">
        <f t="shared" si="1"/>
        <v>1106424.1065085081</v>
      </c>
      <c r="D47" s="167">
        <v>0</v>
      </c>
      <c r="E47" s="167">
        <v>955351.91</v>
      </c>
      <c r="H47" s="167">
        <v>13277089.278102098</v>
      </c>
    </row>
    <row r="48" spans="1:9">
      <c r="A48" s="168" t="s">
        <v>23</v>
      </c>
      <c r="B48" s="166">
        <f t="shared" si="0"/>
        <v>19169738.04155916</v>
      </c>
      <c r="C48" s="167">
        <f t="shared" si="1"/>
        <v>9374584.1515591573</v>
      </c>
      <c r="D48" s="167">
        <v>0</v>
      </c>
      <c r="E48" s="167">
        <v>9795153.8900000006</v>
      </c>
      <c r="H48" s="167">
        <v>112495009.8187099</v>
      </c>
    </row>
    <row r="49" spans="1:5">
      <c r="A49"/>
      <c r="B49"/>
    </row>
    <row r="50" spans="1:5">
      <c r="A50" s="141" t="s">
        <v>63</v>
      </c>
      <c r="B50" s="34">
        <f t="shared" ref="B50:E50" si="2">SUMIF(B2:B48,"&gt;0")</f>
        <v>832876846.17574644</v>
      </c>
      <c r="C50" s="34">
        <f t="shared" si="2"/>
        <v>417935244.95574665</v>
      </c>
      <c r="D50" s="34">
        <f t="shared" si="2"/>
        <v>0</v>
      </c>
      <c r="E50" s="34">
        <f t="shared" si="2"/>
        <v>414941601.21999997</v>
      </c>
    </row>
    <row r="51" spans="1:5">
      <c r="A51" s="141" t="s">
        <v>64</v>
      </c>
      <c r="B51" s="34">
        <f t="shared" ref="B51:E51" si="3">SUMIF(B2:B48,"&lt;0")</f>
        <v>0</v>
      </c>
      <c r="C51" s="34">
        <f t="shared" si="3"/>
        <v>0</v>
      </c>
      <c r="D51" s="34">
        <f t="shared" si="3"/>
        <v>0</v>
      </c>
      <c r="E51" s="34">
        <f t="shared" si="3"/>
        <v>0</v>
      </c>
    </row>
    <row r="52" spans="1:5">
      <c r="A52" s="141" t="s">
        <v>58</v>
      </c>
      <c r="B52" s="34">
        <f t="shared" ref="B52:E52" si="4">B50+B51</f>
        <v>832876846.17574644</v>
      </c>
      <c r="C52" s="34">
        <f t="shared" si="4"/>
        <v>417935244.95574665</v>
      </c>
      <c r="D52" s="34">
        <f t="shared" si="4"/>
        <v>0</v>
      </c>
      <c r="E52" s="34">
        <f t="shared" si="4"/>
        <v>414941601.21999997</v>
      </c>
    </row>
    <row r="53" spans="1:5">
      <c r="A53" s="5"/>
      <c r="B53" s="5"/>
    </row>
    <row r="54" spans="1:5">
      <c r="A54" s="5"/>
      <c r="B54" s="5"/>
    </row>
    <row r="55" spans="1:5">
      <c r="A55" s="168" t="s">
        <v>44</v>
      </c>
      <c r="B55" s="169">
        <f t="shared" ref="B55" si="5">C55-D55+E55</f>
        <v>9077745.1400000006</v>
      </c>
      <c r="C55" s="167">
        <f t="shared" ref="C55" si="6">H55/12</f>
        <v>0</v>
      </c>
      <c r="D55" s="169"/>
      <c r="E55" s="169">
        <v>9077745.1400000006</v>
      </c>
    </row>
    <row r="56" spans="1:5">
      <c r="A56" s="6"/>
      <c r="B56" s="6"/>
      <c r="E56" s="26"/>
    </row>
  </sheetData>
  <pageMargins left="0.511811024" right="0.511811024" top="0.78740157499999996" bottom="0.78740157499999996" header="0.31496062000000002" footer="0.31496062000000002"/>
  <pageSetup paperSize="9" scale="57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/>
  <dimension ref="A1:W104"/>
  <sheetViews>
    <sheetView topLeftCell="A94" workbookViewId="0">
      <selection activeCell="A26" sqref="A26:XFD26"/>
    </sheetView>
  </sheetViews>
  <sheetFormatPr defaultRowHeight="12.75"/>
  <cols>
    <col min="1" max="5" width="23" customWidth="1"/>
    <col min="6" max="6" width="20.42578125" customWidth="1"/>
    <col min="7" max="7" width="12.28515625" customWidth="1"/>
    <col min="8" max="8" width="26.28515625" customWidth="1"/>
    <col min="10" max="10" width="15.5703125" hidden="1" customWidth="1"/>
    <col min="11" max="11" width="14.85546875" hidden="1" customWidth="1"/>
    <col min="12" max="12" width="15.28515625" hidden="1" customWidth="1"/>
    <col min="14" max="16" width="14" bestFit="1" customWidth="1"/>
  </cols>
  <sheetData>
    <row r="1" spans="1:23" ht="12.75" customHeight="1">
      <c r="C1">
        <v>27</v>
      </c>
      <c r="D1">
        <v>28</v>
      </c>
      <c r="E1">
        <v>29</v>
      </c>
    </row>
    <row r="2" spans="1:23" ht="33.75">
      <c r="A2" s="23" t="s">
        <v>0</v>
      </c>
      <c r="B2" s="23" t="s">
        <v>77</v>
      </c>
      <c r="C2" s="23" t="s">
        <v>133</v>
      </c>
      <c r="D2" s="23" t="s">
        <v>134</v>
      </c>
      <c r="E2" s="23" t="s">
        <v>135</v>
      </c>
      <c r="F2" s="23" t="s">
        <v>125</v>
      </c>
      <c r="G2" s="44" t="s">
        <v>165</v>
      </c>
      <c r="H2" s="100" t="s">
        <v>164</v>
      </c>
    </row>
    <row r="3" spans="1:23">
      <c r="A3" s="158" t="s">
        <v>257</v>
      </c>
      <c r="B3" s="161">
        <v>396</v>
      </c>
      <c r="C3" s="80">
        <v>75744515.59604691</v>
      </c>
      <c r="D3" s="80">
        <v>3114105.6171029471</v>
      </c>
      <c r="E3" s="80">
        <v>-9086910.1701375172</v>
      </c>
      <c r="F3" s="80">
        <f>C3+D3+E3</f>
        <v>69771711.043012351</v>
      </c>
      <c r="G3" s="177" t="s">
        <v>277</v>
      </c>
      <c r="H3" s="188">
        <v>42705</v>
      </c>
      <c r="I3" s="148"/>
      <c r="J3" s="148">
        <v>-253686.37047146203</v>
      </c>
      <c r="K3" s="148">
        <v>-2512634.8499999996</v>
      </c>
      <c r="L3" s="148">
        <v>-833159.66739669628</v>
      </c>
      <c r="M3" s="148"/>
      <c r="N3" s="171"/>
      <c r="O3" s="171"/>
      <c r="P3" s="171"/>
      <c r="Q3" s="148"/>
      <c r="R3" s="148"/>
      <c r="S3" s="148"/>
      <c r="T3" s="148"/>
      <c r="U3" s="148"/>
      <c r="V3" s="148"/>
      <c r="W3" s="148"/>
    </row>
    <row r="4" spans="1:23">
      <c r="A4" s="2" t="s">
        <v>44</v>
      </c>
      <c r="B4" s="46">
        <v>7019</v>
      </c>
      <c r="C4" s="50">
        <v>0</v>
      </c>
      <c r="D4" s="50">
        <v>0</v>
      </c>
      <c r="E4" s="50">
        <v>0</v>
      </c>
      <c r="F4" s="50">
        <f t="shared" ref="F4:F67" si="0">C4+D4+E4</f>
        <v>0</v>
      </c>
      <c r="G4" s="148" t="s">
        <v>173</v>
      </c>
      <c r="H4" s="148"/>
      <c r="I4" s="148"/>
      <c r="J4" s="148"/>
      <c r="K4" s="148"/>
      <c r="L4" s="148"/>
      <c r="M4" s="148"/>
      <c r="N4" s="148"/>
      <c r="O4" s="148"/>
      <c r="P4" s="148"/>
      <c r="Q4" s="148"/>
      <c r="R4" s="148"/>
      <c r="S4" s="148"/>
      <c r="T4" s="148"/>
      <c r="U4" s="148"/>
      <c r="V4" s="148"/>
      <c r="W4" s="148"/>
    </row>
    <row r="5" spans="1:23">
      <c r="A5" s="2" t="s">
        <v>1</v>
      </c>
      <c r="B5" s="46">
        <v>383</v>
      </c>
      <c r="C5" s="50">
        <v>1590126.7340261224</v>
      </c>
      <c r="D5" s="50">
        <v>20705091.486785565</v>
      </c>
      <c r="E5" s="50">
        <v>10105914.266131125</v>
      </c>
      <c r="F5" s="50">
        <f t="shared" si="0"/>
        <v>32401132.486942813</v>
      </c>
      <c r="G5" s="148" t="s">
        <v>270</v>
      </c>
      <c r="H5" s="149">
        <v>42705</v>
      </c>
      <c r="I5" s="148"/>
      <c r="J5" s="170">
        <v>18377961.035718616</v>
      </c>
      <c r="K5" s="170">
        <v>-22204796.549290989</v>
      </c>
      <c r="L5" s="170">
        <v>16683465.820186205</v>
      </c>
      <c r="M5" s="148"/>
      <c r="N5" s="171"/>
      <c r="O5" s="171"/>
      <c r="P5" s="171"/>
      <c r="Q5" s="148"/>
      <c r="R5" s="148"/>
      <c r="S5" s="148"/>
      <c r="T5" s="148"/>
      <c r="U5" s="148"/>
      <c r="V5" s="148"/>
      <c r="W5" s="148"/>
    </row>
    <row r="6" spans="1:23">
      <c r="A6" s="2" t="s">
        <v>9</v>
      </c>
      <c r="B6" s="146">
        <v>391</v>
      </c>
      <c r="C6" s="50">
        <v>-61029752.719015881</v>
      </c>
      <c r="D6" s="50">
        <v>6036350.8974852171</v>
      </c>
      <c r="E6" s="50">
        <v>-23425526.653935608</v>
      </c>
      <c r="F6" s="50">
        <f t="shared" si="0"/>
        <v>-78418928.475466266</v>
      </c>
      <c r="G6" s="148" t="s">
        <v>245</v>
      </c>
      <c r="H6" s="149">
        <v>42552</v>
      </c>
      <c r="I6" s="148"/>
      <c r="J6" s="170"/>
      <c r="K6" s="170"/>
      <c r="L6" s="170"/>
      <c r="M6" s="148"/>
      <c r="N6" s="148"/>
      <c r="O6" s="148"/>
      <c r="P6" s="148"/>
      <c r="Q6" s="148"/>
      <c r="R6" s="148"/>
      <c r="S6" s="148"/>
      <c r="T6" s="148"/>
      <c r="U6" s="148"/>
      <c r="V6" s="148"/>
      <c r="W6" s="148"/>
    </row>
    <row r="7" spans="1:23">
      <c r="A7" s="2" t="s">
        <v>41</v>
      </c>
      <c r="B7" s="146">
        <v>5216</v>
      </c>
      <c r="C7" s="50">
        <v>-1005862.6709314976</v>
      </c>
      <c r="D7" s="50">
        <v>151993.21676077112</v>
      </c>
      <c r="E7" s="50">
        <v>-4756434.4488672251</v>
      </c>
      <c r="F7" s="50">
        <f t="shared" si="0"/>
        <v>-5610303.9030379513</v>
      </c>
      <c r="G7" s="148" t="s">
        <v>234</v>
      </c>
      <c r="H7" s="149">
        <v>42401</v>
      </c>
      <c r="I7" s="148"/>
      <c r="J7" s="170"/>
      <c r="K7" s="170"/>
      <c r="L7" s="170"/>
      <c r="M7" s="148"/>
      <c r="N7" s="148"/>
      <c r="O7" s="148"/>
      <c r="P7" s="148"/>
      <c r="Q7" s="148"/>
      <c r="R7" s="148"/>
      <c r="S7" s="148"/>
      <c r="T7" s="148"/>
      <c r="U7" s="148"/>
      <c r="V7" s="148"/>
      <c r="W7" s="148"/>
    </row>
    <row r="8" spans="1:23">
      <c r="A8" s="2" t="s">
        <v>75</v>
      </c>
      <c r="B8" s="46">
        <v>31</v>
      </c>
      <c r="C8" s="50">
        <v>-12396572.791362647</v>
      </c>
      <c r="D8" s="50">
        <v>-3024922.3358007502</v>
      </c>
      <c r="E8" s="50">
        <v>-9370475.0192557052</v>
      </c>
      <c r="F8" s="50">
        <f t="shared" si="0"/>
        <v>-24791970.1464191</v>
      </c>
      <c r="G8" s="148" t="s">
        <v>249</v>
      </c>
      <c r="H8" s="149">
        <v>42583</v>
      </c>
      <c r="I8" s="148"/>
      <c r="J8" s="170">
        <v>3063354.0636786083</v>
      </c>
      <c r="K8" s="170">
        <v>-818912.40999999992</v>
      </c>
      <c r="L8" s="170">
        <v>520702.39153001312</v>
      </c>
      <c r="M8" s="148"/>
      <c r="N8" s="148"/>
      <c r="O8" s="148"/>
      <c r="P8" s="148"/>
      <c r="Q8" s="148"/>
      <c r="R8" s="148"/>
      <c r="S8" s="148"/>
      <c r="T8" s="148"/>
      <c r="U8" s="148"/>
      <c r="V8" s="148"/>
      <c r="W8" s="148"/>
    </row>
    <row r="9" spans="1:23">
      <c r="A9" s="2" t="s">
        <v>14</v>
      </c>
      <c r="B9" s="146">
        <v>44</v>
      </c>
      <c r="C9" s="50">
        <v>-23478900.970244315</v>
      </c>
      <c r="D9" s="50">
        <v>-538220.55698638409</v>
      </c>
      <c r="E9" s="50">
        <v>-3916178.109682675</v>
      </c>
      <c r="F9" s="50">
        <f t="shared" si="0"/>
        <v>-27933299.636913374</v>
      </c>
      <c r="G9" s="148" t="s">
        <v>242</v>
      </c>
      <c r="H9" s="149">
        <v>42522</v>
      </c>
      <c r="I9" s="149"/>
      <c r="J9" s="170"/>
      <c r="K9" s="170"/>
      <c r="L9" s="170"/>
      <c r="M9" s="148"/>
      <c r="N9" s="148"/>
      <c r="O9" s="148"/>
      <c r="P9" s="148"/>
      <c r="Q9" s="148"/>
      <c r="R9" s="148"/>
      <c r="S9" s="148"/>
      <c r="T9" s="148"/>
      <c r="U9" s="148"/>
      <c r="V9" s="148"/>
      <c r="W9" s="148"/>
    </row>
    <row r="10" spans="1:23">
      <c r="A10" s="2" t="s">
        <v>37</v>
      </c>
      <c r="B10" s="146">
        <v>5160</v>
      </c>
      <c r="C10" s="50">
        <v>-39547584.815718897</v>
      </c>
      <c r="D10" s="50">
        <v>2881597.8594157789</v>
      </c>
      <c r="E10" s="50">
        <v>-23096905.365920927</v>
      </c>
      <c r="F10" s="50">
        <f t="shared" si="0"/>
        <v>-59762892.322224051</v>
      </c>
      <c r="G10" s="148" t="s">
        <v>246</v>
      </c>
      <c r="H10" s="149">
        <v>42552</v>
      </c>
      <c r="I10" s="149"/>
      <c r="J10" s="170"/>
      <c r="K10" s="170"/>
      <c r="L10" s="170"/>
      <c r="M10" s="148"/>
      <c r="N10" s="148"/>
      <c r="O10" s="148"/>
      <c r="P10" s="148"/>
      <c r="Q10" s="148"/>
      <c r="R10" s="148"/>
      <c r="S10" s="148"/>
      <c r="T10" s="148"/>
      <c r="U10" s="148"/>
      <c r="V10" s="148"/>
      <c r="W10" s="148"/>
    </row>
    <row r="11" spans="1:23">
      <c r="A11" s="2" t="s">
        <v>39</v>
      </c>
      <c r="B11" s="146">
        <v>5707</v>
      </c>
      <c r="C11" s="50">
        <v>-43225115.905387267</v>
      </c>
      <c r="D11" s="50">
        <v>5979001.0063862037</v>
      </c>
      <c r="E11" s="50">
        <v>-3350436.7192091499</v>
      </c>
      <c r="F11" s="50">
        <f t="shared" si="0"/>
        <v>-40596551.618210211</v>
      </c>
      <c r="G11" s="148" t="s">
        <v>250</v>
      </c>
      <c r="H11" s="149">
        <v>42583</v>
      </c>
      <c r="I11" s="148"/>
      <c r="J11" s="170">
        <v>73012427.806172118</v>
      </c>
      <c r="K11" s="170">
        <v>-6272012.8699999992</v>
      </c>
      <c r="L11" s="170">
        <v>2263202.6948952423</v>
      </c>
      <c r="M11" s="148"/>
      <c r="N11" s="148"/>
      <c r="O11" s="148"/>
      <c r="P11" s="148"/>
      <c r="Q11" s="148"/>
      <c r="R11" s="148"/>
      <c r="S11" s="148"/>
      <c r="T11" s="148"/>
      <c r="U11" s="148"/>
      <c r="V11" s="148"/>
      <c r="W11" s="148"/>
    </row>
    <row r="12" spans="1:23">
      <c r="A12" s="2" t="s">
        <v>40</v>
      </c>
      <c r="B12" s="146">
        <v>5697</v>
      </c>
      <c r="C12" s="50">
        <v>6598025.866567147</v>
      </c>
      <c r="D12" s="50">
        <v>4728558.3814143017</v>
      </c>
      <c r="E12" s="50">
        <v>-57125173.79056634</v>
      </c>
      <c r="F12" s="50">
        <f t="shared" si="0"/>
        <v>-45798589.542584896</v>
      </c>
      <c r="G12" s="148" t="s">
        <v>240</v>
      </c>
      <c r="H12" s="149">
        <v>42491</v>
      </c>
      <c r="I12" s="149"/>
      <c r="J12" s="170"/>
      <c r="K12" s="170"/>
      <c r="L12" s="170"/>
      <c r="M12" s="148"/>
      <c r="N12" s="148"/>
      <c r="O12" s="148"/>
      <c r="P12" s="148"/>
      <c r="Q12" s="148"/>
      <c r="R12" s="148"/>
      <c r="S12" s="148"/>
      <c r="T12" s="148"/>
      <c r="U12" s="148"/>
      <c r="V12" s="148"/>
      <c r="W12" s="148"/>
    </row>
    <row r="13" spans="1:23">
      <c r="A13" s="2" t="s">
        <v>16</v>
      </c>
      <c r="B13" s="146">
        <v>6072</v>
      </c>
      <c r="C13" s="50">
        <v>-80476962.880909175</v>
      </c>
      <c r="D13" s="50">
        <v>6949836.6957736313</v>
      </c>
      <c r="E13" s="50">
        <v>-7671725.373485025</v>
      </c>
      <c r="F13" s="50">
        <f t="shared" si="0"/>
        <v>-81198851.558620572</v>
      </c>
      <c r="G13" s="148" t="s">
        <v>245</v>
      </c>
      <c r="H13" s="149">
        <v>42552</v>
      </c>
      <c r="I13" s="148"/>
      <c r="J13" s="170"/>
      <c r="K13" s="170"/>
      <c r="L13" s="170"/>
      <c r="M13" s="148"/>
      <c r="N13" s="148"/>
      <c r="O13" s="148"/>
      <c r="P13" s="148"/>
      <c r="Q13" s="148"/>
      <c r="R13" s="148"/>
      <c r="S13" s="148"/>
      <c r="T13" s="148"/>
      <c r="U13" s="148"/>
      <c r="V13" s="148"/>
      <c r="W13" s="148"/>
    </row>
    <row r="14" spans="1:23">
      <c r="A14" s="2" t="s">
        <v>28</v>
      </c>
      <c r="B14" s="146">
        <v>371</v>
      </c>
      <c r="C14" s="50">
        <v>-34084343.126653388</v>
      </c>
      <c r="D14" s="50">
        <v>-3645533.114166351</v>
      </c>
      <c r="E14" s="50">
        <v>-29636954.539384164</v>
      </c>
      <c r="F14" s="50">
        <f t="shared" si="0"/>
        <v>-67366830.780203909</v>
      </c>
      <c r="G14" s="148" t="s">
        <v>240</v>
      </c>
      <c r="H14" s="149">
        <v>42461</v>
      </c>
      <c r="I14" s="149"/>
      <c r="J14" s="170"/>
      <c r="K14" s="170"/>
      <c r="L14" s="170"/>
      <c r="M14" s="148"/>
      <c r="N14" s="148"/>
      <c r="O14" s="148"/>
      <c r="P14" s="148"/>
      <c r="Q14" s="148"/>
      <c r="R14" s="148"/>
      <c r="S14" s="148"/>
      <c r="T14" s="148"/>
      <c r="U14" s="148"/>
      <c r="V14" s="148"/>
      <c r="W14" s="148"/>
    </row>
    <row r="15" spans="1:23">
      <c r="A15" s="158" t="s">
        <v>17</v>
      </c>
      <c r="B15" s="160">
        <v>43</v>
      </c>
      <c r="C15" s="80">
        <v>-2583878.1358253211</v>
      </c>
      <c r="D15" s="80">
        <v>12716240.236849938</v>
      </c>
      <c r="E15" s="80">
        <v>-2072601.3821130246</v>
      </c>
      <c r="F15" s="80">
        <f t="shared" si="0"/>
        <v>8059760.7189115919</v>
      </c>
      <c r="G15" s="177" t="s">
        <v>278</v>
      </c>
      <c r="H15" s="188">
        <v>42736</v>
      </c>
      <c r="I15" s="148"/>
      <c r="J15" s="148">
        <v>34053889.337273702</v>
      </c>
      <c r="K15" s="148">
        <v>-14305097.009666389</v>
      </c>
      <c r="L15" s="148">
        <v>27776498.356231086</v>
      </c>
      <c r="M15" s="148"/>
      <c r="N15" s="171"/>
      <c r="O15" s="171"/>
      <c r="P15" s="171"/>
      <c r="Q15" s="148"/>
      <c r="R15" s="148"/>
      <c r="S15" s="148"/>
      <c r="T15" s="148"/>
      <c r="U15" s="148"/>
      <c r="V15" s="148"/>
      <c r="W15" s="148"/>
    </row>
    <row r="16" spans="1:23">
      <c r="A16" s="2" t="s">
        <v>171</v>
      </c>
      <c r="B16" s="146">
        <v>32</v>
      </c>
      <c r="C16" s="50">
        <v>-9748225.945396902</v>
      </c>
      <c r="D16" s="50">
        <v>-295912.76716343407</v>
      </c>
      <c r="E16" s="50">
        <v>-18421259.686799262</v>
      </c>
      <c r="F16" s="50">
        <f t="shared" si="0"/>
        <v>-28465398.399359599</v>
      </c>
      <c r="G16" s="148" t="s">
        <v>237</v>
      </c>
      <c r="H16" s="149">
        <v>42461</v>
      </c>
      <c r="I16" s="149"/>
      <c r="J16" s="170"/>
      <c r="K16" s="170"/>
      <c r="L16" s="170"/>
      <c r="M16" s="148"/>
      <c r="N16" s="148"/>
      <c r="O16" s="148"/>
      <c r="P16" s="148"/>
      <c r="Q16" s="148"/>
      <c r="R16" s="148"/>
      <c r="S16" s="148"/>
      <c r="T16" s="148"/>
      <c r="U16" s="148"/>
      <c r="V16" s="148"/>
      <c r="W16" s="148"/>
    </row>
    <row r="17" spans="1:23">
      <c r="A17" s="2" t="s">
        <v>18</v>
      </c>
      <c r="B17" s="146">
        <v>37</v>
      </c>
      <c r="C17" s="50">
        <v>-50332869.355965197</v>
      </c>
      <c r="D17" s="50">
        <v>-870180.08489299007</v>
      </c>
      <c r="E17" s="50">
        <v>-6352394.0018629925</v>
      </c>
      <c r="F17" s="50">
        <f t="shared" si="0"/>
        <v>-57555443.442721181</v>
      </c>
      <c r="G17" s="148" t="s">
        <v>240</v>
      </c>
      <c r="H17" s="149">
        <v>42491</v>
      </c>
      <c r="I17" s="149"/>
      <c r="J17" s="170"/>
      <c r="K17" s="170"/>
      <c r="L17" s="170"/>
      <c r="M17" s="148"/>
      <c r="N17" s="148"/>
      <c r="O17" s="148"/>
      <c r="P17" s="148"/>
      <c r="Q17" s="148"/>
      <c r="R17" s="148"/>
      <c r="S17" s="148"/>
      <c r="T17" s="148"/>
      <c r="U17" s="148"/>
      <c r="V17" s="148"/>
      <c r="W17" s="148"/>
    </row>
    <row r="18" spans="1:23">
      <c r="A18" s="158" t="s">
        <v>170</v>
      </c>
      <c r="B18" s="160">
        <v>405</v>
      </c>
      <c r="C18" s="80">
        <v>1525075.5749725569</v>
      </c>
      <c r="D18" s="80">
        <v>7876277.5023997333</v>
      </c>
      <c r="E18" s="80">
        <v>-6733938.3794268034</v>
      </c>
      <c r="F18" s="80">
        <f t="shared" si="0"/>
        <v>2667414.6979454868</v>
      </c>
      <c r="G18" s="177" t="s">
        <v>277</v>
      </c>
      <c r="H18" s="188">
        <v>42736</v>
      </c>
      <c r="I18" s="148"/>
      <c r="J18" s="148">
        <v>8645710.6378743052</v>
      </c>
      <c r="K18" s="148">
        <v>16500922.6285292</v>
      </c>
      <c r="L18" s="148">
        <v>-18898731.606638834</v>
      </c>
      <c r="M18" s="148"/>
      <c r="N18" s="171"/>
      <c r="O18" s="171"/>
      <c r="P18" s="171"/>
      <c r="Q18" s="148"/>
      <c r="R18" s="148"/>
      <c r="S18" s="148"/>
      <c r="T18" s="148"/>
      <c r="U18" s="148"/>
      <c r="V18" s="148"/>
      <c r="W18" s="148"/>
    </row>
    <row r="19" spans="1:23">
      <c r="A19" s="2" t="s">
        <v>36</v>
      </c>
      <c r="B19" s="146">
        <v>4950</v>
      </c>
      <c r="C19" s="50">
        <v>-22134595.259242341</v>
      </c>
      <c r="D19" s="50">
        <v>8072201.8249366023</v>
      </c>
      <c r="E19" s="50">
        <v>46646735.947250694</v>
      </c>
      <c r="F19" s="50">
        <f t="shared" si="0"/>
        <v>32584342.512944955</v>
      </c>
      <c r="G19" s="148" t="s">
        <v>234</v>
      </c>
      <c r="H19" s="149">
        <v>42401</v>
      </c>
      <c r="I19" s="148"/>
      <c r="J19" s="170"/>
      <c r="K19" s="170"/>
      <c r="L19" s="170"/>
      <c r="M19" s="148"/>
      <c r="N19" s="148"/>
      <c r="O19" s="148"/>
      <c r="P19" s="148"/>
      <c r="Q19" s="148"/>
      <c r="R19" s="148"/>
      <c r="S19" s="148"/>
      <c r="T19" s="148"/>
      <c r="U19" s="148"/>
      <c r="V19" s="148"/>
      <c r="W19" s="148"/>
    </row>
    <row r="20" spans="1:23">
      <c r="A20" s="2" t="s">
        <v>19</v>
      </c>
      <c r="B20" s="146">
        <v>38</v>
      </c>
      <c r="C20" s="50">
        <v>-28927309.244854234</v>
      </c>
      <c r="D20" s="50">
        <v>-886327.32740398357</v>
      </c>
      <c r="E20" s="50">
        <v>-5646680.4008504702</v>
      </c>
      <c r="F20" s="50">
        <f t="shared" si="0"/>
        <v>-35460316.973108687</v>
      </c>
      <c r="G20" s="148" t="s">
        <v>242</v>
      </c>
      <c r="H20" s="149">
        <v>42522</v>
      </c>
      <c r="I20" s="149"/>
      <c r="J20" s="170"/>
      <c r="K20" s="170"/>
      <c r="L20" s="170"/>
      <c r="M20" s="148"/>
      <c r="N20" s="148"/>
      <c r="O20" s="148"/>
      <c r="P20" s="148"/>
      <c r="Q20" s="148"/>
      <c r="R20" s="148"/>
      <c r="S20" s="148"/>
      <c r="T20" s="148"/>
      <c r="U20" s="148"/>
      <c r="V20" s="148"/>
      <c r="W20" s="148"/>
    </row>
    <row r="21" spans="1:23">
      <c r="A21" s="2" t="s">
        <v>45</v>
      </c>
      <c r="B21" s="146">
        <v>369</v>
      </c>
      <c r="C21" s="50">
        <v>-2298.87</v>
      </c>
      <c r="D21" s="50">
        <v>0</v>
      </c>
      <c r="E21" s="50">
        <v>0</v>
      </c>
      <c r="F21" s="50">
        <f t="shared" si="0"/>
        <v>-2298.87</v>
      </c>
      <c r="G21" s="148" t="s">
        <v>251</v>
      </c>
      <c r="H21" s="149">
        <v>42583</v>
      </c>
      <c r="I21" s="148"/>
      <c r="J21" s="170">
        <v>34226983.318302162</v>
      </c>
      <c r="K21" s="170">
        <v>-2237665.0700000003</v>
      </c>
      <c r="L21" s="170">
        <v>-15723001.366543602</v>
      </c>
      <c r="M21" s="148"/>
      <c r="N21" s="148"/>
      <c r="O21" s="148"/>
      <c r="P21" s="148"/>
      <c r="Q21" s="148"/>
      <c r="R21" s="148"/>
      <c r="S21" s="148"/>
      <c r="T21" s="148"/>
      <c r="U21" s="148"/>
      <c r="V21" s="148"/>
      <c r="W21" s="148"/>
    </row>
    <row r="22" spans="1:23">
      <c r="A22" s="2" t="s">
        <v>11</v>
      </c>
      <c r="B22" s="146">
        <v>75</v>
      </c>
      <c r="C22" s="50">
        <v>363997.99041548441</v>
      </c>
      <c r="D22" s="50">
        <v>22249.269136204617</v>
      </c>
      <c r="E22" s="50">
        <v>212279.9071404617</v>
      </c>
      <c r="F22" s="50">
        <f t="shared" si="0"/>
        <v>598527.16669215076</v>
      </c>
      <c r="G22" s="148" t="s">
        <v>234</v>
      </c>
      <c r="H22" s="149">
        <v>42339</v>
      </c>
      <c r="I22" s="148"/>
      <c r="J22" s="170"/>
      <c r="K22" s="170"/>
      <c r="L22" s="170"/>
      <c r="M22" s="148"/>
      <c r="N22" s="148"/>
      <c r="O22" s="148"/>
      <c r="P22" s="148"/>
      <c r="Q22" s="148"/>
      <c r="R22" s="148"/>
      <c r="S22" s="148"/>
      <c r="T22" s="148"/>
      <c r="U22" s="148"/>
      <c r="V22" s="148"/>
      <c r="W22" s="148"/>
    </row>
    <row r="23" spans="1:23">
      <c r="A23" s="158" t="s">
        <v>4</v>
      </c>
      <c r="B23" s="160">
        <v>47</v>
      </c>
      <c r="C23" s="80">
        <v>-7045376.0802692771</v>
      </c>
      <c r="D23" s="80">
        <v>18372850.863018848</v>
      </c>
      <c r="E23" s="80">
        <v>55119.065421879292</v>
      </c>
      <c r="F23" s="80">
        <f t="shared" si="0"/>
        <v>11382593.84817145</v>
      </c>
      <c r="G23" s="177" t="s">
        <v>277</v>
      </c>
      <c r="H23" s="188">
        <v>42736</v>
      </c>
      <c r="I23" s="148"/>
      <c r="J23" s="148">
        <v>-86513387.96044232</v>
      </c>
      <c r="K23" s="148">
        <v>15197959.813478328</v>
      </c>
      <c r="L23" s="148">
        <v>73326957.036247984</v>
      </c>
      <c r="M23" s="148"/>
      <c r="N23" s="171"/>
      <c r="O23" s="171"/>
      <c r="P23" s="171"/>
      <c r="Q23" s="148"/>
      <c r="R23" s="148"/>
      <c r="S23" s="148"/>
      <c r="T23" s="148"/>
      <c r="U23" s="148"/>
      <c r="V23" s="148"/>
      <c r="W23" s="148"/>
    </row>
    <row r="24" spans="1:23">
      <c r="A24" s="158" t="s">
        <v>20</v>
      </c>
      <c r="B24" s="160">
        <v>39</v>
      </c>
      <c r="C24" s="80">
        <v>-1706533.7777905613</v>
      </c>
      <c r="D24" s="80">
        <v>20806111.108038124</v>
      </c>
      <c r="E24" s="80">
        <v>-5534455.4536742382</v>
      </c>
      <c r="F24" s="80">
        <f t="shared" si="0"/>
        <v>13565121.876573324</v>
      </c>
      <c r="G24" s="177" t="s">
        <v>277</v>
      </c>
      <c r="H24" s="188">
        <v>42705</v>
      </c>
      <c r="I24" s="148"/>
      <c r="J24" s="148">
        <v>27966492.32692232</v>
      </c>
      <c r="K24" s="148">
        <v>-21351417.591709517</v>
      </c>
      <c r="L24" s="148">
        <v>22283771.587379187</v>
      </c>
      <c r="M24" s="148"/>
      <c r="N24" s="171"/>
      <c r="O24" s="171"/>
      <c r="P24" s="171"/>
      <c r="Q24" s="148"/>
      <c r="R24" s="148"/>
      <c r="S24" s="148"/>
      <c r="T24" s="148"/>
      <c r="U24" s="148"/>
      <c r="V24" s="148"/>
      <c r="W24" s="148"/>
    </row>
    <row r="25" spans="1:23">
      <c r="A25" s="2" t="s">
        <v>31</v>
      </c>
      <c r="B25" s="146">
        <v>2866</v>
      </c>
      <c r="C25" s="50">
        <v>-28629660.261617016</v>
      </c>
      <c r="D25" s="50">
        <v>4347393.7678382695</v>
      </c>
      <c r="E25" s="50">
        <v>-124421512.83133045</v>
      </c>
      <c r="F25" s="50">
        <f t="shared" si="0"/>
        <v>-148703779.32510918</v>
      </c>
      <c r="G25" s="148" t="s">
        <v>235</v>
      </c>
      <c r="H25" s="149">
        <v>42430</v>
      </c>
      <c r="I25" s="148"/>
      <c r="J25" s="148"/>
      <c r="K25" s="148"/>
      <c r="L25" s="148"/>
      <c r="M25" s="148"/>
      <c r="N25" s="148"/>
      <c r="O25" s="148"/>
      <c r="P25" s="148"/>
      <c r="Q25" s="148"/>
      <c r="R25" s="148"/>
      <c r="S25" s="148"/>
      <c r="T25" s="148"/>
      <c r="U25" s="148"/>
      <c r="V25" s="148"/>
      <c r="W25" s="148"/>
    </row>
    <row r="26" spans="1:23">
      <c r="A26" s="158" t="s">
        <v>21</v>
      </c>
      <c r="B26" s="160">
        <v>40</v>
      </c>
      <c r="C26" s="80">
        <v>45086.972118213773</v>
      </c>
      <c r="D26" s="80">
        <v>5239666.0538242953</v>
      </c>
      <c r="E26" s="80">
        <v>-612966.27778082341</v>
      </c>
      <c r="F26" s="80">
        <f t="shared" si="0"/>
        <v>4671786.7481616857</v>
      </c>
      <c r="G26" s="177" t="s">
        <v>277</v>
      </c>
      <c r="H26" s="188">
        <v>42736</v>
      </c>
      <c r="I26" s="148"/>
      <c r="J26" s="148">
        <v>20509977.832492691</v>
      </c>
      <c r="K26" s="148">
        <v>-352029.1044729437</v>
      </c>
      <c r="L26" s="148">
        <v>24050187.501385186</v>
      </c>
      <c r="M26" s="148"/>
      <c r="N26" s="171"/>
      <c r="O26" s="171"/>
      <c r="P26" s="171"/>
      <c r="Q26" s="148"/>
      <c r="R26" s="148"/>
      <c r="S26" s="148"/>
      <c r="T26" s="148"/>
      <c r="U26" s="148"/>
      <c r="V26" s="148"/>
      <c r="W26" s="148"/>
    </row>
    <row r="27" spans="1:23">
      <c r="A27" s="2" t="s">
        <v>30</v>
      </c>
      <c r="B27" s="146">
        <v>69</v>
      </c>
      <c r="C27" s="50">
        <v>-74544.767181732692</v>
      </c>
      <c r="D27" s="50">
        <v>1075131.2823949642</v>
      </c>
      <c r="E27" s="50">
        <v>-97748.137109687028</v>
      </c>
      <c r="F27" s="50">
        <f t="shared" si="0"/>
        <v>902838.37810354447</v>
      </c>
      <c r="G27" s="148" t="s">
        <v>270</v>
      </c>
      <c r="H27" s="149">
        <v>42705</v>
      </c>
      <c r="I27" s="148"/>
      <c r="J27" s="170">
        <v>1513188.2082985174</v>
      </c>
      <c r="K27" s="170">
        <v>-851253.14176519797</v>
      </c>
      <c r="L27" s="170">
        <v>603331.26239237166</v>
      </c>
      <c r="M27" s="148"/>
      <c r="N27" s="171"/>
      <c r="O27" s="171"/>
      <c r="P27" s="171"/>
      <c r="Q27" s="148"/>
      <c r="R27" s="148"/>
      <c r="S27" s="148"/>
      <c r="T27" s="148"/>
      <c r="U27" s="148"/>
      <c r="V27" s="148"/>
      <c r="W27" s="148"/>
    </row>
    <row r="28" spans="1:23">
      <c r="A28" s="2" t="s">
        <v>34</v>
      </c>
      <c r="B28" s="146">
        <v>71</v>
      </c>
      <c r="C28" s="50">
        <v>-109217.81388114531</v>
      </c>
      <c r="D28" s="50">
        <v>606223.05161240487</v>
      </c>
      <c r="E28" s="50">
        <v>-69280.501766758956</v>
      </c>
      <c r="F28" s="50">
        <f t="shared" si="0"/>
        <v>427724.73596450058</v>
      </c>
      <c r="G28" s="148" t="s">
        <v>270</v>
      </c>
      <c r="H28" s="149">
        <v>42705</v>
      </c>
      <c r="I28" s="148"/>
      <c r="J28" s="170">
        <v>-188094.72876117803</v>
      </c>
      <c r="K28" s="170">
        <v>-538813.68064316409</v>
      </c>
      <c r="L28" s="170">
        <v>-180141.97771152612</v>
      </c>
      <c r="M28" s="148"/>
      <c r="N28" s="171"/>
      <c r="O28" s="171"/>
      <c r="P28" s="171"/>
      <c r="Q28" s="148"/>
      <c r="R28" s="148"/>
      <c r="S28" s="148"/>
      <c r="T28" s="148"/>
      <c r="U28" s="148"/>
      <c r="V28" s="148"/>
      <c r="W28" s="148"/>
    </row>
    <row r="29" spans="1:23">
      <c r="A29" s="2" t="s">
        <v>38</v>
      </c>
      <c r="B29" s="146">
        <v>70</v>
      </c>
      <c r="C29" s="50">
        <v>-48543.697912574942</v>
      </c>
      <c r="D29" s="50">
        <v>433723.01765958237</v>
      </c>
      <c r="E29" s="50">
        <v>-19854.079869171761</v>
      </c>
      <c r="F29" s="50">
        <f t="shared" si="0"/>
        <v>365325.23987783567</v>
      </c>
      <c r="G29" s="148" t="s">
        <v>270</v>
      </c>
      <c r="H29" s="149">
        <v>42705</v>
      </c>
      <c r="I29" s="148"/>
      <c r="J29" s="170">
        <v>0</v>
      </c>
      <c r="K29" s="170">
        <v>-314302.73959248996</v>
      </c>
      <c r="L29" s="170">
        <v>-75483.622812161208</v>
      </c>
      <c r="M29" s="148"/>
      <c r="N29" s="171"/>
      <c r="O29" s="171"/>
      <c r="P29" s="171"/>
      <c r="Q29" s="148"/>
      <c r="R29" s="148"/>
      <c r="S29" s="148"/>
      <c r="T29" s="148"/>
      <c r="U29" s="148"/>
      <c r="V29" s="148"/>
      <c r="W29" s="148"/>
    </row>
    <row r="30" spans="1:23">
      <c r="A30" s="158" t="s">
        <v>5</v>
      </c>
      <c r="B30" s="160">
        <v>63</v>
      </c>
      <c r="C30" s="80">
        <v>5429485.722600013</v>
      </c>
      <c r="D30" s="80">
        <v>25016830.929662168</v>
      </c>
      <c r="E30" s="80">
        <v>-8328482.1397282034</v>
      </c>
      <c r="F30" s="80">
        <f t="shared" si="0"/>
        <v>22117834.512533978</v>
      </c>
      <c r="G30" s="177" t="s">
        <v>277</v>
      </c>
      <c r="H30" s="188">
        <v>42736</v>
      </c>
      <c r="I30" s="148"/>
      <c r="J30" s="148">
        <v>90553894.653838217</v>
      </c>
      <c r="K30" s="148">
        <v>14500414.367771819</v>
      </c>
      <c r="L30" s="148">
        <v>-43123215.005352467</v>
      </c>
      <c r="M30" s="148"/>
      <c r="N30" s="171"/>
      <c r="O30" s="171"/>
      <c r="P30" s="171"/>
      <c r="Q30" s="148"/>
      <c r="R30" s="148"/>
      <c r="S30" s="148"/>
      <c r="T30" s="148"/>
      <c r="U30" s="148"/>
      <c r="V30" s="148"/>
      <c r="W30" s="148"/>
    </row>
    <row r="31" spans="1:23">
      <c r="A31" s="2" t="s">
        <v>32</v>
      </c>
      <c r="B31" s="146">
        <v>2937</v>
      </c>
      <c r="C31" s="50">
        <v>-40794671.918269634</v>
      </c>
      <c r="D31" s="50">
        <v>6696810.0905198492</v>
      </c>
      <c r="E31" s="50">
        <v>-53522641.853068039</v>
      </c>
      <c r="F31" s="50">
        <f t="shared" si="0"/>
        <v>-87620503.680817828</v>
      </c>
      <c r="G31" s="148" t="s">
        <v>245</v>
      </c>
      <c r="H31" s="149">
        <v>42552</v>
      </c>
      <c r="I31" s="148"/>
      <c r="J31" s="148"/>
      <c r="K31" s="148"/>
      <c r="L31" s="148"/>
      <c r="M31" s="148"/>
      <c r="N31" s="171"/>
      <c r="O31" s="171"/>
      <c r="P31" s="171"/>
      <c r="Q31" s="148"/>
      <c r="R31" s="148"/>
      <c r="S31" s="148"/>
      <c r="T31" s="148"/>
      <c r="U31" s="148"/>
      <c r="V31" s="148"/>
      <c r="W31" s="148"/>
    </row>
    <row r="32" spans="1:23">
      <c r="A32" s="2" t="s">
        <v>12</v>
      </c>
      <c r="B32" s="146">
        <v>72</v>
      </c>
      <c r="C32" s="50">
        <v>822050.2156067912</v>
      </c>
      <c r="D32" s="50">
        <v>1935228.4210735813</v>
      </c>
      <c r="E32" s="50">
        <v>-236011.01100584262</v>
      </c>
      <c r="F32" s="50">
        <f t="shared" si="0"/>
        <v>2521267.6256745299</v>
      </c>
      <c r="G32" s="148" t="s">
        <v>270</v>
      </c>
      <c r="H32" s="149">
        <v>42705</v>
      </c>
      <c r="I32" s="148"/>
      <c r="J32" s="170">
        <v>7854619.7115447773</v>
      </c>
      <c r="K32" s="170">
        <v>-1982772.215961338</v>
      </c>
      <c r="L32" s="170">
        <v>1288291.6293140273</v>
      </c>
      <c r="M32" s="148"/>
      <c r="N32" s="171"/>
      <c r="O32" s="171"/>
      <c r="P32" s="171"/>
      <c r="Q32" s="148"/>
      <c r="R32" s="148"/>
      <c r="S32" s="148"/>
      <c r="T32" s="148"/>
      <c r="U32" s="148"/>
      <c r="V32" s="148"/>
      <c r="W32" s="148"/>
    </row>
    <row r="33" spans="1:23">
      <c r="A33" s="2" t="s">
        <v>29</v>
      </c>
      <c r="B33" s="146">
        <v>73</v>
      </c>
      <c r="C33" s="50">
        <v>-253482.11692148753</v>
      </c>
      <c r="D33" s="50">
        <v>822188.8150889487</v>
      </c>
      <c r="E33" s="50">
        <v>-60557.925226457548</v>
      </c>
      <c r="F33" s="50">
        <f t="shared" si="0"/>
        <v>508148.77294100367</v>
      </c>
      <c r="G33" s="148" t="s">
        <v>270</v>
      </c>
      <c r="H33" s="149">
        <v>42705</v>
      </c>
      <c r="I33" s="148"/>
      <c r="J33" s="170">
        <v>0</v>
      </c>
      <c r="K33" s="170">
        <v>-656034.83225798269</v>
      </c>
      <c r="L33" s="170">
        <v>-76616.336926627759</v>
      </c>
      <c r="M33" s="148"/>
      <c r="N33" s="171"/>
      <c r="O33" s="171"/>
      <c r="P33" s="171"/>
      <c r="Q33" s="148"/>
      <c r="R33" s="148"/>
      <c r="S33" s="148"/>
      <c r="T33" s="148"/>
      <c r="U33" s="148"/>
      <c r="V33" s="148"/>
      <c r="W33" s="148"/>
    </row>
    <row r="34" spans="1:23">
      <c r="A34" s="2" t="s">
        <v>33</v>
      </c>
      <c r="B34" s="146">
        <v>51</v>
      </c>
      <c r="C34" s="50">
        <v>-1859490.1303968178</v>
      </c>
      <c r="D34" s="50">
        <v>568739.44803527696</v>
      </c>
      <c r="E34" s="50">
        <v>314163.42168177478</v>
      </c>
      <c r="F34" s="50">
        <f t="shared" si="0"/>
        <v>-976587.26067976607</v>
      </c>
      <c r="G34" s="148" t="s">
        <v>251</v>
      </c>
      <c r="H34" s="149">
        <v>42583</v>
      </c>
      <c r="I34" s="148"/>
      <c r="J34" s="170">
        <v>3376296.0284669213</v>
      </c>
      <c r="K34" s="170">
        <v>-208186.56</v>
      </c>
      <c r="L34" s="170">
        <v>1833454.7033459763</v>
      </c>
      <c r="M34" s="148"/>
      <c r="N34" s="171"/>
      <c r="O34" s="171"/>
      <c r="P34" s="171"/>
      <c r="Q34" s="148"/>
      <c r="R34" s="148"/>
      <c r="S34" s="148"/>
      <c r="T34" s="148"/>
      <c r="U34" s="148"/>
      <c r="V34" s="148"/>
      <c r="W34" s="148"/>
    </row>
    <row r="35" spans="1:23">
      <c r="A35" s="2" t="s">
        <v>10</v>
      </c>
      <c r="B35" s="146">
        <v>386</v>
      </c>
      <c r="C35" s="50">
        <v>-1153988.6375993912</v>
      </c>
      <c r="D35" s="50">
        <v>330535.95033408399</v>
      </c>
      <c r="E35" s="50">
        <v>-6124725.5636361297</v>
      </c>
      <c r="F35" s="50">
        <f t="shared" si="0"/>
        <v>-6948178.2509014364</v>
      </c>
      <c r="G35" s="148" t="s">
        <v>234</v>
      </c>
      <c r="H35" s="149">
        <v>42401</v>
      </c>
      <c r="I35" s="148"/>
      <c r="J35" s="170"/>
      <c r="K35" s="170"/>
      <c r="L35" s="170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</row>
    <row r="36" spans="1:23">
      <c r="A36" s="2" t="s">
        <v>7</v>
      </c>
      <c r="B36" s="146">
        <v>385</v>
      </c>
      <c r="C36" s="50">
        <v>-21833270.73022506</v>
      </c>
      <c r="D36" s="50">
        <v>3614531.8969797567</v>
      </c>
      <c r="E36" s="50">
        <v>-83012631.720100254</v>
      </c>
      <c r="F36" s="50">
        <f t="shared" si="0"/>
        <v>-101231370.55334556</v>
      </c>
      <c r="G36" s="148" t="s">
        <v>240</v>
      </c>
      <c r="H36" s="149">
        <v>42491</v>
      </c>
      <c r="I36" s="149"/>
      <c r="J36" s="170"/>
      <c r="K36" s="170"/>
      <c r="L36" s="170"/>
      <c r="M36" s="148"/>
      <c r="N36" s="148"/>
      <c r="O36" s="148"/>
      <c r="P36" s="148"/>
      <c r="Q36" s="148"/>
      <c r="R36" s="148"/>
      <c r="S36" s="148"/>
      <c r="T36" s="148"/>
      <c r="U36" s="148"/>
      <c r="V36" s="148"/>
      <c r="W36" s="148"/>
    </row>
    <row r="37" spans="1:23">
      <c r="A37" s="2" t="s">
        <v>43</v>
      </c>
      <c r="B37" s="146">
        <v>26</v>
      </c>
      <c r="C37" s="50">
        <v>-9824232.9735325743</v>
      </c>
      <c r="D37" s="50">
        <v>-77850.929277565214</v>
      </c>
      <c r="E37" s="50">
        <v>9928263.1576552782</v>
      </c>
      <c r="F37" s="50">
        <f t="shared" si="0"/>
        <v>26179.254845138639</v>
      </c>
      <c r="G37" s="148" t="s">
        <v>251</v>
      </c>
      <c r="H37" s="149">
        <v>42583</v>
      </c>
      <c r="I37" s="148"/>
      <c r="J37" s="170">
        <v>1603200.9494988217</v>
      </c>
      <c r="K37" s="170">
        <v>-966512.17999999993</v>
      </c>
      <c r="L37" s="170">
        <v>6073662.4308547983</v>
      </c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</row>
    <row r="38" spans="1:23">
      <c r="A38" s="2" t="s">
        <v>6</v>
      </c>
      <c r="B38" s="146">
        <v>390</v>
      </c>
      <c r="C38" s="50">
        <v>-102253529.24176045</v>
      </c>
      <c r="D38" s="50">
        <v>1920503.0628173277</v>
      </c>
      <c r="E38" s="50">
        <v>-86326177.74795188</v>
      </c>
      <c r="F38" s="50">
        <f t="shared" si="0"/>
        <v>-186659203.92689502</v>
      </c>
      <c r="G38" s="148" t="s">
        <v>236</v>
      </c>
      <c r="H38" s="149">
        <v>42430</v>
      </c>
      <c r="I38" s="149"/>
      <c r="J38" s="170"/>
      <c r="K38" s="170"/>
      <c r="L38" s="170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</row>
    <row r="39" spans="1:23">
      <c r="A39" s="2" t="s">
        <v>15</v>
      </c>
      <c r="B39" s="146">
        <v>6611</v>
      </c>
      <c r="C39" s="50">
        <v>-1830892.6735970147</v>
      </c>
      <c r="D39" s="50">
        <v>790068.52960625733</v>
      </c>
      <c r="E39" s="50">
        <v>-800384.75515392423</v>
      </c>
      <c r="F39" s="50">
        <f t="shared" si="0"/>
        <v>-1841208.8991446816</v>
      </c>
      <c r="G39" s="148" t="s">
        <v>268</v>
      </c>
      <c r="H39" s="149">
        <v>42644</v>
      </c>
      <c r="I39" s="148"/>
      <c r="J39" s="148"/>
      <c r="K39" s="148"/>
      <c r="L39" s="148"/>
      <c r="M39" s="148"/>
      <c r="N39" s="148"/>
      <c r="O39" s="148"/>
      <c r="P39" s="148"/>
      <c r="Q39" s="148"/>
      <c r="R39" s="148"/>
      <c r="S39" s="148"/>
      <c r="T39" s="148"/>
      <c r="U39" s="148"/>
      <c r="V39" s="148"/>
      <c r="W39" s="148"/>
    </row>
    <row r="40" spans="1:23">
      <c r="A40" s="2" t="s">
        <v>3</v>
      </c>
      <c r="B40" s="146">
        <v>6585</v>
      </c>
      <c r="C40" s="50">
        <v>-8457924.7057013661</v>
      </c>
      <c r="D40" s="50">
        <v>288794.20241231425</v>
      </c>
      <c r="E40" s="50">
        <v>-5841502.1250664899</v>
      </c>
      <c r="F40" s="50">
        <f t="shared" si="0"/>
        <v>-14010632.62835554</v>
      </c>
      <c r="G40" s="148" t="s">
        <v>235</v>
      </c>
      <c r="H40" s="149">
        <v>42430</v>
      </c>
      <c r="I40" s="149"/>
      <c r="J40" s="148"/>
      <c r="K40" s="148"/>
      <c r="L40" s="148"/>
      <c r="M40" s="148"/>
      <c r="N40" s="148"/>
      <c r="O40" s="148"/>
      <c r="P40" s="148"/>
      <c r="Q40" s="148"/>
      <c r="R40" s="148"/>
      <c r="S40" s="148"/>
      <c r="T40" s="148"/>
      <c r="U40" s="148"/>
      <c r="V40" s="148"/>
      <c r="W40" s="148"/>
    </row>
    <row r="41" spans="1:23">
      <c r="A41" s="2" t="s">
        <v>24</v>
      </c>
      <c r="B41" s="146">
        <v>6600</v>
      </c>
      <c r="C41" s="50">
        <v>-33727365.908757091</v>
      </c>
      <c r="D41" s="50">
        <v>-202869.78421576181</v>
      </c>
      <c r="E41" s="50">
        <v>-1960777.9730490411</v>
      </c>
      <c r="F41" s="50">
        <f t="shared" si="0"/>
        <v>-35891013.666021898</v>
      </c>
      <c r="G41" s="148" t="s">
        <v>240</v>
      </c>
      <c r="H41" s="149">
        <v>42491</v>
      </c>
      <c r="I41" s="149"/>
      <c r="J41" s="170"/>
      <c r="K41" s="170"/>
      <c r="L41" s="170"/>
      <c r="M41" s="148"/>
      <c r="N41" s="148"/>
      <c r="O41" s="148"/>
      <c r="P41" s="148"/>
      <c r="Q41" s="148"/>
      <c r="R41" s="148"/>
      <c r="S41" s="148"/>
      <c r="T41" s="148"/>
      <c r="U41" s="148"/>
      <c r="V41" s="148"/>
      <c r="W41" s="148"/>
    </row>
    <row r="42" spans="1:23">
      <c r="A42" s="158" t="s">
        <v>22</v>
      </c>
      <c r="B42" s="160">
        <v>6587</v>
      </c>
      <c r="C42" s="80">
        <v>-1859182.7897092104</v>
      </c>
      <c r="D42" s="80">
        <v>3082385.6809370467</v>
      </c>
      <c r="E42" s="80">
        <v>-527096.62158448994</v>
      </c>
      <c r="F42" s="80">
        <f t="shared" si="0"/>
        <v>696106.26964334631</v>
      </c>
      <c r="G42" s="177" t="s">
        <v>277</v>
      </c>
      <c r="H42" s="188">
        <v>42736</v>
      </c>
      <c r="I42" s="148"/>
      <c r="J42" s="148">
        <v>-20506456.870719507</v>
      </c>
      <c r="K42" s="148">
        <v>-906660.10806218721</v>
      </c>
      <c r="L42" s="148">
        <v>23920255.400688816</v>
      </c>
      <c r="M42" s="148"/>
      <c r="N42" s="171"/>
      <c r="O42" s="171"/>
      <c r="P42" s="171"/>
      <c r="Q42" s="148"/>
      <c r="R42" s="148"/>
      <c r="S42" s="148"/>
      <c r="T42" s="148"/>
      <c r="U42" s="148"/>
      <c r="V42" s="148"/>
      <c r="W42" s="148"/>
    </row>
    <row r="43" spans="1:23">
      <c r="A43" s="158" t="s">
        <v>166</v>
      </c>
      <c r="B43" s="160">
        <v>404</v>
      </c>
      <c r="C43" s="80">
        <v>-969819.99498331081</v>
      </c>
      <c r="D43" s="80">
        <v>5066412.5993657634</v>
      </c>
      <c r="E43" s="80">
        <v>766447.13123940304</v>
      </c>
      <c r="F43" s="80">
        <f t="shared" si="0"/>
        <v>4863039.7356218556</v>
      </c>
      <c r="G43" s="177" t="s">
        <v>277</v>
      </c>
      <c r="H43" s="188">
        <v>42736</v>
      </c>
      <c r="I43" s="148"/>
      <c r="J43" s="148">
        <v>7434596.3432239527</v>
      </c>
      <c r="K43" s="148">
        <v>-1595851.6131646584</v>
      </c>
      <c r="L43" s="148">
        <v>-20126168.607429732</v>
      </c>
      <c r="M43" s="148"/>
      <c r="N43" s="171"/>
      <c r="O43" s="171"/>
      <c r="P43" s="171"/>
      <c r="Q43" s="148"/>
      <c r="R43" s="148"/>
      <c r="S43" s="148"/>
      <c r="T43" s="148"/>
      <c r="U43" s="148"/>
      <c r="V43" s="148"/>
      <c r="W43" s="148"/>
    </row>
    <row r="44" spans="1:23">
      <c r="A44" s="2" t="s">
        <v>8</v>
      </c>
      <c r="B44" s="146">
        <v>380</v>
      </c>
      <c r="C44" s="50">
        <v>-28521963.437229197</v>
      </c>
      <c r="D44" s="50">
        <v>1773846.2805338241</v>
      </c>
      <c r="E44" s="50">
        <v>-19898071.97698231</v>
      </c>
      <c r="F44" s="50">
        <f t="shared" si="0"/>
        <v>-46646189.133677684</v>
      </c>
      <c r="G44" s="148" t="s">
        <v>240</v>
      </c>
      <c r="H44" s="149">
        <v>42491</v>
      </c>
      <c r="I44" s="149"/>
      <c r="J44" s="170"/>
      <c r="K44" s="170"/>
      <c r="L44" s="170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</row>
    <row r="45" spans="1:23">
      <c r="A45" s="2" t="s">
        <v>35</v>
      </c>
      <c r="B45" s="146">
        <v>87</v>
      </c>
      <c r="C45" s="50">
        <v>-946605.5994200462</v>
      </c>
      <c r="D45" s="50">
        <v>125754.25511451322</v>
      </c>
      <c r="E45" s="50">
        <v>-231212.58958607138</v>
      </c>
      <c r="F45" s="50">
        <f t="shared" si="0"/>
        <v>-1052063.9338916044</v>
      </c>
      <c r="G45" s="148" t="s">
        <v>240</v>
      </c>
      <c r="H45" s="149">
        <v>42491</v>
      </c>
      <c r="I45" s="149"/>
      <c r="J45" s="170"/>
      <c r="K45" s="170"/>
      <c r="L45" s="170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</row>
    <row r="46" spans="1:23">
      <c r="A46" s="2" t="s">
        <v>2</v>
      </c>
      <c r="B46" s="146">
        <v>382</v>
      </c>
      <c r="C46" s="50">
        <v>11649632.033725025</v>
      </c>
      <c r="D46" s="50">
        <v>42825881.434353113</v>
      </c>
      <c r="E46" s="50">
        <v>42206415.846442148</v>
      </c>
      <c r="F46" s="50">
        <f t="shared" si="0"/>
        <v>96681929.314520285</v>
      </c>
      <c r="G46" s="148" t="s">
        <v>269</v>
      </c>
      <c r="H46" s="149">
        <v>43070</v>
      </c>
      <c r="I46" s="148"/>
      <c r="J46" s="170">
        <v>-179005379.59106836</v>
      </c>
      <c r="K46" s="170">
        <v>-32424669.68</v>
      </c>
      <c r="L46" s="170">
        <v>-13481762.60569169</v>
      </c>
      <c r="M46" s="148"/>
      <c r="N46" s="171"/>
      <c r="O46" s="171"/>
      <c r="P46" s="171"/>
      <c r="Q46" s="148"/>
      <c r="R46" s="148"/>
      <c r="S46" s="148"/>
      <c r="T46" s="148"/>
      <c r="U46" s="148"/>
      <c r="V46" s="148"/>
      <c r="W46" s="148"/>
    </row>
    <row r="47" spans="1:23">
      <c r="A47" s="2" t="s">
        <v>42</v>
      </c>
      <c r="B47" s="146">
        <v>5217</v>
      </c>
      <c r="C47" s="50">
        <v>3728188.0349533833</v>
      </c>
      <c r="D47" s="50">
        <v>504084.24621976062</v>
      </c>
      <c r="E47" s="50">
        <v>-5041081.1042487416</v>
      </c>
      <c r="F47" s="50">
        <f t="shared" si="0"/>
        <v>-808808.82307559811</v>
      </c>
      <c r="G47" s="148" t="s">
        <v>234</v>
      </c>
      <c r="H47" s="149">
        <v>42339</v>
      </c>
      <c r="I47" s="148"/>
      <c r="J47" s="170"/>
      <c r="K47" s="170"/>
      <c r="L47" s="170"/>
      <c r="M47" s="148"/>
      <c r="N47" s="148"/>
      <c r="O47" s="148"/>
      <c r="P47" s="148"/>
      <c r="Q47" s="148"/>
      <c r="R47" s="148"/>
      <c r="S47" s="148"/>
      <c r="T47" s="148"/>
      <c r="U47" s="148"/>
      <c r="V47" s="148"/>
      <c r="W47" s="148"/>
    </row>
    <row r="48" spans="1:23">
      <c r="A48" s="2" t="s">
        <v>23</v>
      </c>
      <c r="B48" s="146">
        <v>397</v>
      </c>
      <c r="C48" s="50">
        <v>-43782836.278501838</v>
      </c>
      <c r="D48" s="50">
        <v>-2081266.423881175</v>
      </c>
      <c r="E48" s="50">
        <v>-9827815.0368020274</v>
      </c>
      <c r="F48" s="50">
        <f t="shared" si="0"/>
        <v>-55691917.739185035</v>
      </c>
      <c r="G48" s="148" t="s">
        <v>235</v>
      </c>
      <c r="H48" s="149">
        <v>42430</v>
      </c>
      <c r="I48" s="149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</row>
    <row r="49" spans="1:23">
      <c r="A49" s="2" t="s">
        <v>82</v>
      </c>
      <c r="B49" s="146">
        <v>82</v>
      </c>
      <c r="C49" s="50">
        <v>132580.32835899509</v>
      </c>
      <c r="D49" s="50">
        <v>0</v>
      </c>
      <c r="E49" s="50">
        <v>0</v>
      </c>
      <c r="F49" s="50">
        <f t="shared" si="0"/>
        <v>132580.32835899509</v>
      </c>
      <c r="G49" s="148" t="s">
        <v>235</v>
      </c>
      <c r="H49" s="149">
        <v>42430</v>
      </c>
      <c r="I49" s="149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</row>
    <row r="50" spans="1:23">
      <c r="A50" s="2" t="s">
        <v>258</v>
      </c>
      <c r="B50" s="146">
        <v>103</v>
      </c>
      <c r="C50" s="50">
        <v>0</v>
      </c>
      <c r="D50" s="50">
        <v>-412.42999999999995</v>
      </c>
      <c r="E50" s="50">
        <v>0</v>
      </c>
      <c r="F50" s="50">
        <f t="shared" si="0"/>
        <v>-412.42999999999995</v>
      </c>
      <c r="G50" s="148" t="s">
        <v>248</v>
      </c>
      <c r="H50" s="149">
        <v>42583</v>
      </c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</row>
    <row r="51" spans="1:23">
      <c r="A51" s="2" t="s">
        <v>83</v>
      </c>
      <c r="B51" s="146">
        <v>2904</v>
      </c>
      <c r="C51" s="50">
        <v>-866.96294249485913</v>
      </c>
      <c r="D51" s="50">
        <v>0</v>
      </c>
      <c r="E51" s="50">
        <v>0</v>
      </c>
      <c r="F51" s="50">
        <f t="shared" si="0"/>
        <v>-866.96294249485913</v>
      </c>
      <c r="G51" s="148" t="s">
        <v>240</v>
      </c>
      <c r="H51" s="149">
        <v>42491</v>
      </c>
      <c r="I51" s="149"/>
      <c r="J51" s="170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</row>
    <row r="52" spans="1:23">
      <c r="A52" s="2" t="s">
        <v>84</v>
      </c>
      <c r="B52" s="146">
        <v>95</v>
      </c>
      <c r="C52" s="50">
        <v>-3262.2589745776768</v>
      </c>
      <c r="D52" s="50">
        <v>0</v>
      </c>
      <c r="E52" s="50">
        <v>0</v>
      </c>
      <c r="F52" s="50">
        <f t="shared" si="0"/>
        <v>-3262.2589745776768</v>
      </c>
      <c r="G52" s="148" t="s">
        <v>235</v>
      </c>
      <c r="H52" s="149">
        <v>42461</v>
      </c>
      <c r="I52" s="148"/>
      <c r="J52" s="170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</row>
    <row r="53" spans="1:23">
      <c r="A53" s="2" t="s">
        <v>85</v>
      </c>
      <c r="B53" s="146">
        <v>88</v>
      </c>
      <c r="C53" s="50">
        <v>-44.223105893310532</v>
      </c>
      <c r="D53" s="50">
        <v>0</v>
      </c>
      <c r="E53" s="50">
        <v>0</v>
      </c>
      <c r="F53" s="50">
        <f t="shared" si="0"/>
        <v>-44.223105893310532</v>
      </c>
      <c r="G53" s="148" t="s">
        <v>240</v>
      </c>
      <c r="H53" s="149">
        <v>42491</v>
      </c>
      <c r="I53" s="149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</row>
    <row r="54" spans="1:23">
      <c r="A54" s="2" t="s">
        <v>86</v>
      </c>
      <c r="B54" s="146">
        <v>86</v>
      </c>
      <c r="C54" s="50">
        <v>-120.17079366194733</v>
      </c>
      <c r="D54" s="50">
        <v>0</v>
      </c>
      <c r="E54" s="50">
        <v>0</v>
      </c>
      <c r="F54" s="50">
        <f t="shared" si="0"/>
        <v>-120.17079366194733</v>
      </c>
      <c r="G54" s="148" t="s">
        <v>240</v>
      </c>
      <c r="H54" s="149">
        <v>42491</v>
      </c>
      <c r="I54" s="149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</row>
    <row r="55" spans="1:23">
      <c r="A55" s="2" t="s">
        <v>87</v>
      </c>
      <c r="B55" s="146">
        <v>398</v>
      </c>
      <c r="C55" s="50">
        <v>-703.71306690310166</v>
      </c>
      <c r="D55" s="50">
        <v>0</v>
      </c>
      <c r="E55" s="50">
        <v>0</v>
      </c>
      <c r="F55" s="50">
        <f t="shared" si="0"/>
        <v>-703.71306690310166</v>
      </c>
      <c r="G55" s="148" t="s">
        <v>235</v>
      </c>
      <c r="H55" s="149">
        <v>42461</v>
      </c>
      <c r="I55" s="148"/>
      <c r="J55" s="170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</row>
    <row r="56" spans="1:23">
      <c r="A56" s="2" t="s">
        <v>88</v>
      </c>
      <c r="B56" s="146">
        <v>381</v>
      </c>
      <c r="C56" s="50">
        <v>30905.006432323764</v>
      </c>
      <c r="D56" s="50">
        <v>-869697.73032309511</v>
      </c>
      <c r="E56" s="50">
        <v>-3081531.8363975999</v>
      </c>
      <c r="F56" s="50">
        <f t="shared" si="0"/>
        <v>-3920324.5602883715</v>
      </c>
      <c r="G56" s="148" t="s">
        <v>240</v>
      </c>
      <c r="H56" s="149">
        <v>42491</v>
      </c>
      <c r="I56" s="149"/>
      <c r="J56" s="170"/>
      <c r="K56" s="170"/>
      <c r="L56" s="170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</row>
    <row r="57" spans="1:23">
      <c r="A57" s="2" t="s">
        <v>89</v>
      </c>
      <c r="B57" s="146">
        <v>6612</v>
      </c>
      <c r="C57" s="50">
        <v>148751.20392573997</v>
      </c>
      <c r="D57" s="50">
        <v>0</v>
      </c>
      <c r="E57" s="50">
        <v>0</v>
      </c>
      <c r="F57" s="50">
        <f t="shared" si="0"/>
        <v>148751.20392573997</v>
      </c>
      <c r="G57" s="148" t="s">
        <v>235</v>
      </c>
      <c r="H57" s="149">
        <v>42430</v>
      </c>
      <c r="I57" s="149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</row>
    <row r="58" spans="1:23">
      <c r="A58" s="2" t="s">
        <v>90</v>
      </c>
      <c r="B58" s="146">
        <v>83</v>
      </c>
      <c r="C58" s="50">
        <v>-131.33812974003808</v>
      </c>
      <c r="D58" s="50">
        <v>0</v>
      </c>
      <c r="E58" s="50">
        <v>0</v>
      </c>
      <c r="F58" s="50">
        <f t="shared" si="0"/>
        <v>-131.33812974003808</v>
      </c>
      <c r="G58" s="148" t="s">
        <v>240</v>
      </c>
      <c r="H58" s="150">
        <v>42491</v>
      </c>
      <c r="I58" s="149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</row>
    <row r="59" spans="1:23">
      <c r="A59" s="2" t="s">
        <v>91</v>
      </c>
      <c r="B59" s="146">
        <v>399</v>
      </c>
      <c r="C59" s="50">
        <v>-299.08061230611884</v>
      </c>
      <c r="D59" s="50">
        <v>0</v>
      </c>
      <c r="E59" s="50">
        <v>0</v>
      </c>
      <c r="F59" s="50">
        <f t="shared" si="0"/>
        <v>-299.08061230611884</v>
      </c>
      <c r="G59" s="148" t="s">
        <v>235</v>
      </c>
      <c r="H59" s="150">
        <v>42461</v>
      </c>
      <c r="I59" s="148"/>
      <c r="J59" s="170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</row>
    <row r="60" spans="1:23">
      <c r="A60" s="2" t="s">
        <v>92</v>
      </c>
      <c r="B60" s="146">
        <v>401</v>
      </c>
      <c r="C60" s="50">
        <v>-187.83210546148942</v>
      </c>
      <c r="D60" s="50">
        <v>0</v>
      </c>
      <c r="E60" s="50">
        <v>0</v>
      </c>
      <c r="F60" s="50">
        <f t="shared" si="0"/>
        <v>-187.83210546148942</v>
      </c>
      <c r="G60" s="148" t="s">
        <v>235</v>
      </c>
      <c r="H60" s="150">
        <v>42461</v>
      </c>
      <c r="I60" s="149"/>
      <c r="J60" s="170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</row>
    <row r="61" spans="1:23">
      <c r="A61" s="2" t="s">
        <v>93</v>
      </c>
      <c r="B61" s="146">
        <v>46</v>
      </c>
      <c r="C61" s="50">
        <v>8633341.3509229012</v>
      </c>
      <c r="D61" s="50">
        <v>0</v>
      </c>
      <c r="E61" s="50">
        <v>0</v>
      </c>
      <c r="F61" s="50">
        <f t="shared" si="0"/>
        <v>8633341.3509229012</v>
      </c>
      <c r="G61" s="148" t="s">
        <v>218</v>
      </c>
      <c r="H61" s="150">
        <v>42248</v>
      </c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</row>
    <row r="62" spans="1:23">
      <c r="A62" s="2" t="s">
        <v>94</v>
      </c>
      <c r="B62" s="146">
        <v>400</v>
      </c>
      <c r="C62" s="50">
        <v>152120.85531097199</v>
      </c>
      <c r="D62" s="50">
        <v>0</v>
      </c>
      <c r="E62" s="50">
        <v>0</v>
      </c>
      <c r="F62" s="50">
        <f t="shared" si="0"/>
        <v>152120.85531097199</v>
      </c>
      <c r="G62" s="148" t="s">
        <v>234</v>
      </c>
      <c r="H62" s="150">
        <v>42401</v>
      </c>
      <c r="I62" s="148"/>
      <c r="J62" s="170"/>
      <c r="K62" s="170"/>
      <c r="L62" s="170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</row>
    <row r="63" spans="1:23">
      <c r="A63" s="2" t="s">
        <v>122</v>
      </c>
      <c r="B63" s="146">
        <v>84</v>
      </c>
      <c r="C63" s="50">
        <v>116107.71723740168</v>
      </c>
      <c r="D63" s="50">
        <v>0</v>
      </c>
      <c r="E63" s="50">
        <v>0</v>
      </c>
      <c r="F63" s="50">
        <f t="shared" si="0"/>
        <v>116107.71723740168</v>
      </c>
      <c r="G63" s="148" t="s">
        <v>235</v>
      </c>
      <c r="H63" s="149">
        <v>42430</v>
      </c>
      <c r="I63" s="149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</row>
    <row r="64" spans="1:23">
      <c r="A64" s="2" t="s">
        <v>174</v>
      </c>
      <c r="B64" s="146">
        <v>5381</v>
      </c>
      <c r="C64" s="50">
        <v>-267.9957379644527</v>
      </c>
      <c r="D64" s="50">
        <v>0</v>
      </c>
      <c r="E64" s="50">
        <v>0</v>
      </c>
      <c r="F64" s="50">
        <f t="shared" si="0"/>
        <v>-267.9957379644527</v>
      </c>
      <c r="G64" s="148" t="s">
        <v>243</v>
      </c>
      <c r="H64" s="149">
        <v>42522</v>
      </c>
      <c r="I64" s="149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</row>
    <row r="65" spans="1:23">
      <c r="A65" s="2" t="s">
        <v>175</v>
      </c>
      <c r="B65" s="146">
        <v>5366</v>
      </c>
      <c r="C65" s="50">
        <v>-52.999362576247862</v>
      </c>
      <c r="D65" s="50">
        <v>0</v>
      </c>
      <c r="E65" s="50">
        <v>0</v>
      </c>
      <c r="F65" s="50">
        <f t="shared" si="0"/>
        <v>-52.999362576247862</v>
      </c>
      <c r="G65" s="148" t="s">
        <v>244</v>
      </c>
      <c r="H65" s="149">
        <v>42522</v>
      </c>
      <c r="I65" s="149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</row>
    <row r="66" spans="1:23">
      <c r="A66" s="2" t="s">
        <v>176</v>
      </c>
      <c r="B66" s="146">
        <v>5386</v>
      </c>
      <c r="C66" s="50">
        <v>-359.77255418320914</v>
      </c>
      <c r="D66" s="50">
        <v>0</v>
      </c>
      <c r="E66" s="50">
        <v>0</v>
      </c>
      <c r="F66" s="50">
        <f t="shared" si="0"/>
        <v>-359.77255418320914</v>
      </c>
      <c r="G66" s="148" t="s">
        <v>246</v>
      </c>
      <c r="H66" s="149">
        <v>42552</v>
      </c>
      <c r="I66" s="149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</row>
    <row r="67" spans="1:23">
      <c r="A67" s="158" t="s">
        <v>177</v>
      </c>
      <c r="B67" s="160">
        <v>5378</v>
      </c>
      <c r="C67" s="80">
        <v>-8</v>
      </c>
      <c r="D67" s="80">
        <v>0</v>
      </c>
      <c r="E67" s="80">
        <v>0</v>
      </c>
      <c r="F67" s="80">
        <f t="shared" si="0"/>
        <v>-8</v>
      </c>
      <c r="G67" s="177" t="s">
        <v>277</v>
      </c>
      <c r="H67" s="188">
        <v>42736</v>
      </c>
      <c r="I67" s="149"/>
      <c r="J67" s="148">
        <v>2799836.7021077806</v>
      </c>
      <c r="K67" s="148">
        <v>0</v>
      </c>
      <c r="L67" s="148">
        <v>0</v>
      </c>
      <c r="M67" s="148"/>
      <c r="N67" s="171"/>
      <c r="O67" s="171"/>
      <c r="P67" s="171"/>
      <c r="Q67" s="148"/>
      <c r="R67" s="148"/>
      <c r="S67" s="148"/>
      <c r="T67" s="148"/>
      <c r="U67" s="148"/>
      <c r="V67" s="148"/>
      <c r="W67" s="148"/>
    </row>
    <row r="68" spans="1:23">
      <c r="A68" s="2" t="s">
        <v>178</v>
      </c>
      <c r="B68" s="146">
        <v>5382</v>
      </c>
      <c r="C68" s="50">
        <v>417949.51265146409</v>
      </c>
      <c r="D68" s="50">
        <v>0</v>
      </c>
      <c r="E68" s="50">
        <v>0</v>
      </c>
      <c r="F68" s="50">
        <f t="shared" ref="F68:F101" si="1">C68+D68+E68</f>
        <v>417949.51265146409</v>
      </c>
      <c r="G68" s="148"/>
      <c r="H68" s="149"/>
      <c r="I68" s="149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</row>
    <row r="69" spans="1:23">
      <c r="A69" s="2" t="s">
        <v>179</v>
      </c>
      <c r="B69" s="146">
        <v>6610</v>
      </c>
      <c r="C69" s="50">
        <v>-61.755816685719793</v>
      </c>
      <c r="D69" s="50">
        <v>0</v>
      </c>
      <c r="E69" s="50">
        <v>0</v>
      </c>
      <c r="F69" s="50">
        <f t="shared" si="1"/>
        <v>-61.755816685719793</v>
      </c>
      <c r="G69" s="148" t="s">
        <v>260</v>
      </c>
      <c r="H69" s="149">
        <v>42614</v>
      </c>
      <c r="I69" s="149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</row>
    <row r="70" spans="1:23">
      <c r="A70" s="2" t="s">
        <v>180</v>
      </c>
      <c r="B70" s="146">
        <v>6609</v>
      </c>
      <c r="C70" s="50">
        <v>355622.59541846265</v>
      </c>
      <c r="D70" s="50">
        <v>0</v>
      </c>
      <c r="E70" s="50">
        <v>0</v>
      </c>
      <c r="F70" s="50">
        <f t="shared" si="1"/>
        <v>355622.59541846265</v>
      </c>
      <c r="G70" s="148"/>
      <c r="H70" s="149"/>
      <c r="I70" s="149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</row>
    <row r="71" spans="1:23">
      <c r="A71" s="2" t="s">
        <v>181</v>
      </c>
      <c r="B71" s="146">
        <v>5384</v>
      </c>
      <c r="C71" s="50">
        <v>580799.17612456786</v>
      </c>
      <c r="D71" s="50">
        <v>0</v>
      </c>
      <c r="E71" s="50">
        <v>0</v>
      </c>
      <c r="F71" s="50">
        <f t="shared" si="1"/>
        <v>580799.17612456786</v>
      </c>
      <c r="G71" s="148"/>
      <c r="H71" s="149"/>
      <c r="I71" s="149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</row>
    <row r="72" spans="1:23">
      <c r="A72" s="158" t="s">
        <v>182</v>
      </c>
      <c r="B72" s="160">
        <v>5385</v>
      </c>
      <c r="C72" s="80">
        <v>-0.37999999988824129</v>
      </c>
      <c r="D72" s="80">
        <v>0</v>
      </c>
      <c r="E72" s="80">
        <v>0</v>
      </c>
      <c r="F72" s="80">
        <f t="shared" si="1"/>
        <v>-0.37999999988824129</v>
      </c>
      <c r="G72" s="177" t="s">
        <v>277</v>
      </c>
      <c r="H72" s="188">
        <v>42736</v>
      </c>
      <c r="I72" s="149"/>
      <c r="J72" s="148">
        <v>1271518.2528424277</v>
      </c>
      <c r="K72" s="148">
        <v>0</v>
      </c>
      <c r="L72" s="148">
        <v>0</v>
      </c>
      <c r="M72" s="148"/>
      <c r="N72" s="171"/>
      <c r="O72" s="171"/>
      <c r="P72" s="171"/>
      <c r="Q72" s="148"/>
      <c r="R72" s="148"/>
      <c r="S72" s="148"/>
      <c r="T72" s="148"/>
      <c r="U72" s="148"/>
      <c r="V72" s="148"/>
      <c r="W72" s="148"/>
    </row>
    <row r="73" spans="1:23">
      <c r="A73" s="2" t="s">
        <v>183</v>
      </c>
      <c r="B73" s="146">
        <v>5379</v>
      </c>
      <c r="C73" s="50">
        <v>-212.39715591541682</v>
      </c>
      <c r="D73" s="50">
        <v>0</v>
      </c>
      <c r="E73" s="50">
        <v>0</v>
      </c>
      <c r="F73" s="50">
        <f t="shared" si="1"/>
        <v>-212.39715591541682</v>
      </c>
      <c r="G73" s="148" t="s">
        <v>246</v>
      </c>
      <c r="H73" s="149">
        <v>42552</v>
      </c>
      <c r="I73" s="149"/>
      <c r="J73" s="148"/>
      <c r="K73" s="148"/>
      <c r="L73" s="148"/>
      <c r="M73" s="148"/>
      <c r="N73" s="148"/>
      <c r="O73" s="148"/>
      <c r="P73" s="148"/>
      <c r="Q73" s="148"/>
      <c r="R73" s="148"/>
      <c r="S73" s="148"/>
      <c r="T73" s="148"/>
      <c r="U73" s="148"/>
      <c r="V73" s="148"/>
      <c r="W73" s="148"/>
    </row>
    <row r="74" spans="1:23">
      <c r="A74" s="48" t="s">
        <v>184</v>
      </c>
      <c r="B74" s="146">
        <v>6896</v>
      </c>
      <c r="C74" s="50">
        <v>-100.44808888738936</v>
      </c>
      <c r="D74" s="50">
        <v>0</v>
      </c>
      <c r="E74" s="50">
        <v>0</v>
      </c>
      <c r="F74" s="50">
        <f t="shared" si="1"/>
        <v>-100.44808888738936</v>
      </c>
      <c r="G74" s="148" t="s">
        <v>244</v>
      </c>
      <c r="H74" s="149">
        <v>42522</v>
      </c>
      <c r="I74" s="149"/>
      <c r="J74" s="148"/>
      <c r="K74" s="148"/>
      <c r="L74" s="148"/>
      <c r="M74" s="148"/>
      <c r="N74" s="148"/>
      <c r="O74" s="148"/>
      <c r="P74" s="148"/>
      <c r="Q74" s="148"/>
      <c r="R74" s="148"/>
      <c r="S74" s="148"/>
      <c r="T74" s="148"/>
      <c r="U74" s="148"/>
      <c r="V74" s="148"/>
      <c r="W74" s="148"/>
    </row>
    <row r="75" spans="1:23">
      <c r="A75" s="48" t="s">
        <v>185</v>
      </c>
      <c r="B75" s="146">
        <v>5367</v>
      </c>
      <c r="C75" s="50">
        <v>-1162.2819258535944</v>
      </c>
      <c r="D75" s="50">
        <v>0</v>
      </c>
      <c r="E75" s="50">
        <v>0</v>
      </c>
      <c r="F75" s="50">
        <f t="shared" si="1"/>
        <v>-1162.2819258535944</v>
      </c>
      <c r="G75" s="148" t="s">
        <v>259</v>
      </c>
      <c r="H75" s="149">
        <v>42614</v>
      </c>
      <c r="I75" s="149"/>
      <c r="J75" s="148"/>
      <c r="K75" s="148"/>
      <c r="L75" s="148"/>
      <c r="M75" s="148"/>
      <c r="N75" s="148"/>
      <c r="O75" s="148"/>
      <c r="P75" s="148"/>
      <c r="Q75" s="148"/>
      <c r="R75" s="148"/>
      <c r="S75" s="148"/>
      <c r="T75" s="148"/>
      <c r="U75" s="148"/>
      <c r="V75" s="148"/>
      <c r="W75" s="148"/>
    </row>
    <row r="76" spans="1:23">
      <c r="A76" s="48" t="s">
        <v>186</v>
      </c>
      <c r="B76" s="146">
        <v>6897</v>
      </c>
      <c r="C76" s="50">
        <v>-281.86071957626353</v>
      </c>
      <c r="D76" s="50">
        <v>0</v>
      </c>
      <c r="E76" s="50">
        <v>0</v>
      </c>
      <c r="F76" s="50">
        <f t="shared" si="1"/>
        <v>-281.86071957626353</v>
      </c>
      <c r="G76" s="148" t="s">
        <v>244</v>
      </c>
      <c r="H76" s="149">
        <v>42522</v>
      </c>
      <c r="I76" s="149"/>
      <c r="J76" s="148"/>
      <c r="K76" s="148"/>
      <c r="L76" s="148"/>
      <c r="M76" s="148"/>
      <c r="N76" s="148"/>
      <c r="O76" s="148"/>
      <c r="P76" s="148"/>
      <c r="Q76" s="148"/>
      <c r="R76" s="148"/>
      <c r="S76" s="148"/>
      <c r="T76" s="148"/>
      <c r="U76" s="148"/>
      <c r="V76" s="148"/>
      <c r="W76" s="148"/>
    </row>
    <row r="77" spans="1:23">
      <c r="A77" s="48" t="s">
        <v>187</v>
      </c>
      <c r="B77" s="146">
        <v>5351</v>
      </c>
      <c r="C77" s="50">
        <v>-26.35785398202038</v>
      </c>
      <c r="D77" s="50">
        <v>0</v>
      </c>
      <c r="E77" s="50">
        <v>0</v>
      </c>
      <c r="F77" s="50">
        <f t="shared" si="1"/>
        <v>-26.35785398202038</v>
      </c>
      <c r="G77" s="148" t="s">
        <v>246</v>
      </c>
      <c r="H77" s="149">
        <v>42552</v>
      </c>
      <c r="I77" s="149"/>
      <c r="J77" s="148"/>
      <c r="K77" s="148"/>
      <c r="L77" s="148"/>
      <c r="M77" s="148"/>
      <c r="N77" s="148"/>
      <c r="O77" s="148"/>
      <c r="P77" s="148"/>
      <c r="Q77" s="148"/>
      <c r="R77" s="148"/>
      <c r="S77" s="148"/>
      <c r="T77" s="148"/>
      <c r="U77" s="148"/>
      <c r="V77" s="148"/>
      <c r="W77" s="148"/>
    </row>
    <row r="78" spans="1:23">
      <c r="A78" s="48" t="s">
        <v>188</v>
      </c>
      <c r="B78" s="146">
        <v>6898</v>
      </c>
      <c r="C78" s="50">
        <v>-395.39433058164593</v>
      </c>
      <c r="D78" s="50">
        <v>0</v>
      </c>
      <c r="E78" s="50">
        <v>0</v>
      </c>
      <c r="F78" s="50">
        <f t="shared" si="1"/>
        <v>-395.39433058164593</v>
      </c>
      <c r="G78" s="148" t="s">
        <v>244</v>
      </c>
      <c r="H78" s="149">
        <v>42522</v>
      </c>
      <c r="I78" s="149"/>
      <c r="J78" s="148"/>
      <c r="K78" s="148"/>
      <c r="L78" s="148"/>
      <c r="M78" s="148"/>
      <c r="N78" s="148"/>
      <c r="O78" s="148"/>
      <c r="P78" s="148"/>
      <c r="Q78" s="148"/>
      <c r="R78" s="148"/>
      <c r="S78" s="148"/>
      <c r="T78" s="148"/>
      <c r="U78" s="148"/>
      <c r="V78" s="148"/>
      <c r="W78" s="148"/>
    </row>
    <row r="79" spans="1:23">
      <c r="A79" s="48" t="s">
        <v>189</v>
      </c>
      <c r="B79" s="146">
        <v>5352</v>
      </c>
      <c r="C79" s="50">
        <v>-111.59312468332882</v>
      </c>
      <c r="D79" s="50">
        <v>0</v>
      </c>
      <c r="E79" s="50">
        <v>0</v>
      </c>
      <c r="F79" s="50">
        <f t="shared" si="1"/>
        <v>-111.59312468332882</v>
      </c>
      <c r="G79" s="148" t="s">
        <v>244</v>
      </c>
      <c r="H79" s="149">
        <v>42522</v>
      </c>
      <c r="I79" s="149"/>
      <c r="J79" s="148"/>
      <c r="K79" s="148"/>
      <c r="L79" s="148"/>
      <c r="M79" s="148"/>
      <c r="N79" s="148"/>
      <c r="O79" s="148"/>
      <c r="P79" s="148"/>
      <c r="Q79" s="148"/>
      <c r="R79" s="148"/>
      <c r="S79" s="148"/>
      <c r="T79" s="148"/>
      <c r="U79" s="148"/>
      <c r="V79" s="148"/>
      <c r="W79" s="148"/>
    </row>
    <row r="80" spans="1:23">
      <c r="A80" s="48" t="s">
        <v>190</v>
      </c>
      <c r="B80" s="146">
        <v>5353</v>
      </c>
      <c r="C80" s="50">
        <v>-185.98935064461321</v>
      </c>
      <c r="D80" s="50">
        <v>0</v>
      </c>
      <c r="E80" s="50">
        <v>0</v>
      </c>
      <c r="F80" s="50">
        <f t="shared" si="1"/>
        <v>-185.98935064461321</v>
      </c>
      <c r="G80" s="148" t="s">
        <v>244</v>
      </c>
      <c r="H80" s="149">
        <v>42522</v>
      </c>
      <c r="I80" s="149"/>
      <c r="J80" s="148"/>
      <c r="K80" s="148"/>
      <c r="L80" s="148"/>
      <c r="M80" s="148"/>
      <c r="N80" s="148"/>
      <c r="O80" s="148"/>
      <c r="P80" s="148"/>
      <c r="Q80" s="148"/>
      <c r="R80" s="148"/>
      <c r="S80" s="148"/>
      <c r="T80" s="148"/>
      <c r="U80" s="148"/>
      <c r="V80" s="148"/>
      <c r="W80" s="148"/>
    </row>
    <row r="81" spans="1:23">
      <c r="A81" s="48" t="s">
        <v>191</v>
      </c>
      <c r="B81" s="146">
        <v>5355</v>
      </c>
      <c r="C81" s="50">
        <v>-104.49547301119247</v>
      </c>
      <c r="D81" s="50">
        <v>0</v>
      </c>
      <c r="E81" s="50">
        <v>0</v>
      </c>
      <c r="F81" s="50">
        <f t="shared" si="1"/>
        <v>-104.49547301119247</v>
      </c>
      <c r="G81" s="148" t="s">
        <v>244</v>
      </c>
      <c r="H81" s="149">
        <v>42522</v>
      </c>
      <c r="I81" s="149"/>
      <c r="J81" s="148"/>
      <c r="K81" s="148"/>
      <c r="L81" s="148"/>
      <c r="M81" s="148"/>
      <c r="N81" s="148"/>
      <c r="O81" s="148"/>
      <c r="P81" s="148"/>
      <c r="Q81" s="148"/>
      <c r="R81" s="148"/>
      <c r="S81" s="148"/>
      <c r="T81" s="148"/>
      <c r="U81" s="148"/>
      <c r="V81" s="148"/>
      <c r="W81" s="148"/>
    </row>
    <row r="82" spans="1:23">
      <c r="A82" s="48" t="s">
        <v>192</v>
      </c>
      <c r="B82" s="146">
        <v>5363</v>
      </c>
      <c r="C82" s="50">
        <v>-212.1495341500115</v>
      </c>
      <c r="D82" s="50">
        <v>0</v>
      </c>
      <c r="E82" s="50">
        <v>0</v>
      </c>
      <c r="F82" s="50">
        <f t="shared" si="1"/>
        <v>-212.1495341500115</v>
      </c>
      <c r="G82" s="148" t="s">
        <v>244</v>
      </c>
      <c r="H82" s="149">
        <v>42522</v>
      </c>
      <c r="I82" s="149"/>
      <c r="J82" s="148"/>
      <c r="K82" s="148"/>
      <c r="L82" s="148"/>
      <c r="M82" s="148"/>
      <c r="N82" s="148"/>
      <c r="O82" s="148"/>
      <c r="P82" s="148"/>
      <c r="Q82" s="148"/>
      <c r="R82" s="148"/>
      <c r="S82" s="148"/>
      <c r="T82" s="148"/>
      <c r="U82" s="148"/>
      <c r="V82" s="148"/>
      <c r="W82" s="148"/>
    </row>
    <row r="83" spans="1:23">
      <c r="A83" s="48" t="s">
        <v>193</v>
      </c>
      <c r="B83" s="146">
        <v>5364</v>
      </c>
      <c r="C83" s="50">
        <v>-393.4736161120112</v>
      </c>
      <c r="D83" s="50">
        <v>0</v>
      </c>
      <c r="E83" s="50">
        <v>0</v>
      </c>
      <c r="F83" s="50">
        <f t="shared" si="1"/>
        <v>-393.4736161120112</v>
      </c>
      <c r="G83" s="148" t="s">
        <v>244</v>
      </c>
      <c r="H83" s="149">
        <v>42522</v>
      </c>
      <c r="I83" s="149"/>
      <c r="J83" s="170"/>
      <c r="K83" s="171"/>
      <c r="L83" s="148"/>
      <c r="M83" s="148"/>
      <c r="N83" s="148"/>
      <c r="O83" s="148"/>
      <c r="P83" s="148"/>
      <c r="Q83" s="148"/>
      <c r="R83" s="148"/>
      <c r="S83" s="148"/>
      <c r="T83" s="148"/>
      <c r="U83" s="148"/>
      <c r="V83" s="148"/>
      <c r="W83" s="148"/>
    </row>
    <row r="84" spans="1:23">
      <c r="A84" s="48" t="s">
        <v>194</v>
      </c>
      <c r="B84" s="146">
        <v>5365</v>
      </c>
      <c r="C84" s="50">
        <v>-131.68819841729933</v>
      </c>
      <c r="D84" s="50">
        <v>0</v>
      </c>
      <c r="E84" s="50">
        <v>0</v>
      </c>
      <c r="F84" s="50">
        <f t="shared" si="1"/>
        <v>-131.68819841729933</v>
      </c>
      <c r="G84" s="148" t="s">
        <v>244</v>
      </c>
      <c r="H84" s="149">
        <v>42522</v>
      </c>
      <c r="I84" s="149"/>
      <c r="J84" s="170"/>
      <c r="K84" s="171"/>
      <c r="L84" s="148"/>
      <c r="M84" s="148"/>
      <c r="N84" s="148"/>
      <c r="O84" s="148"/>
      <c r="P84" s="148"/>
      <c r="Q84" s="148"/>
      <c r="R84" s="148"/>
      <c r="S84" s="148"/>
      <c r="T84" s="148"/>
      <c r="U84" s="148"/>
      <c r="V84" s="148"/>
      <c r="W84" s="148"/>
    </row>
    <row r="85" spans="1:23">
      <c r="A85" s="48" t="s">
        <v>195</v>
      </c>
      <c r="B85" s="146">
        <v>5368</v>
      </c>
      <c r="C85" s="50">
        <v>-416.50434911034114</v>
      </c>
      <c r="D85" s="50">
        <v>0</v>
      </c>
      <c r="E85" s="50">
        <v>0</v>
      </c>
      <c r="F85" s="50">
        <f t="shared" si="1"/>
        <v>-416.50434911034114</v>
      </c>
      <c r="G85" s="148" t="s">
        <v>244</v>
      </c>
      <c r="H85" s="149">
        <v>42522</v>
      </c>
      <c r="I85" s="149"/>
      <c r="J85" s="170"/>
      <c r="K85" s="171"/>
      <c r="L85" s="148"/>
      <c r="M85" s="148"/>
      <c r="N85" s="148"/>
      <c r="O85" s="148"/>
      <c r="P85" s="148"/>
      <c r="Q85" s="148"/>
      <c r="R85" s="148"/>
      <c r="S85" s="148"/>
      <c r="T85" s="148"/>
      <c r="U85" s="148"/>
      <c r="V85" s="148"/>
      <c r="W85" s="148"/>
    </row>
    <row r="86" spans="1:23">
      <c r="A86" s="48" t="s">
        <v>196</v>
      </c>
      <c r="B86" s="146">
        <v>5369</v>
      </c>
      <c r="C86" s="50">
        <v>337917.2723491207</v>
      </c>
      <c r="D86" s="50">
        <v>0</v>
      </c>
      <c r="E86" s="50">
        <v>0</v>
      </c>
      <c r="F86" s="50">
        <f t="shared" si="1"/>
        <v>337917.2723491207</v>
      </c>
      <c r="G86" s="148" t="s">
        <v>244</v>
      </c>
      <c r="H86" s="149">
        <v>42401</v>
      </c>
      <c r="I86" s="149"/>
      <c r="J86" s="170"/>
      <c r="K86" s="171"/>
      <c r="L86" s="148"/>
      <c r="M86" s="148"/>
      <c r="N86" s="148"/>
      <c r="O86" s="148"/>
      <c r="P86" s="148"/>
      <c r="Q86" s="148"/>
      <c r="R86" s="148"/>
      <c r="S86" s="148"/>
      <c r="T86" s="148"/>
      <c r="U86" s="148"/>
      <c r="V86" s="148"/>
      <c r="W86" s="148"/>
    </row>
    <row r="87" spans="1:23">
      <c r="A87" s="48" t="s">
        <v>197</v>
      </c>
      <c r="B87" s="146">
        <v>5370</v>
      </c>
      <c r="C87" s="50">
        <v>-812.34265355974333</v>
      </c>
      <c r="D87" s="50">
        <v>0</v>
      </c>
      <c r="E87" s="50">
        <v>0</v>
      </c>
      <c r="F87" s="50">
        <f t="shared" si="1"/>
        <v>-812.34265355974333</v>
      </c>
      <c r="G87" s="148" t="s">
        <v>244</v>
      </c>
      <c r="H87" s="149">
        <v>42522</v>
      </c>
      <c r="I87" s="149"/>
      <c r="J87" s="170"/>
      <c r="K87" s="171"/>
      <c r="L87" s="148"/>
      <c r="M87" s="148"/>
      <c r="N87" s="148"/>
      <c r="O87" s="148"/>
      <c r="P87" s="148"/>
      <c r="Q87" s="148"/>
      <c r="R87" s="148"/>
      <c r="S87" s="148"/>
      <c r="T87" s="148"/>
      <c r="U87" s="148"/>
      <c r="V87" s="148"/>
      <c r="W87" s="148"/>
    </row>
    <row r="88" spans="1:23">
      <c r="A88" s="48" t="s">
        <v>198</v>
      </c>
      <c r="B88" s="146">
        <v>5371</v>
      </c>
      <c r="C88" s="50">
        <v>-232.56426407350955</v>
      </c>
      <c r="D88" s="50">
        <v>0</v>
      </c>
      <c r="E88" s="50">
        <v>0</v>
      </c>
      <c r="F88" s="50">
        <f t="shared" si="1"/>
        <v>-232.56426407350955</v>
      </c>
      <c r="G88" s="148" t="s">
        <v>244</v>
      </c>
      <c r="H88" s="149">
        <v>42522</v>
      </c>
      <c r="I88" s="149"/>
      <c r="J88" s="170"/>
      <c r="K88" s="171"/>
      <c r="L88" s="148"/>
      <c r="M88" s="148"/>
      <c r="N88" s="148"/>
      <c r="O88" s="148"/>
      <c r="P88" s="148"/>
      <c r="Q88" s="148"/>
      <c r="R88" s="148"/>
      <c r="S88" s="148"/>
      <c r="T88" s="148"/>
      <c r="U88" s="148"/>
      <c r="V88" s="148"/>
      <c r="W88" s="148"/>
    </row>
    <row r="89" spans="1:23">
      <c r="A89" s="48" t="s">
        <v>199</v>
      </c>
      <c r="B89" s="146">
        <v>5373</v>
      </c>
      <c r="C89" s="50">
        <v>-38.720362512521582</v>
      </c>
      <c r="D89" s="50">
        <v>0</v>
      </c>
      <c r="E89" s="50">
        <v>0</v>
      </c>
      <c r="F89" s="50">
        <f t="shared" si="1"/>
        <v>-38.720362512521582</v>
      </c>
      <c r="G89" s="148" t="s">
        <v>244</v>
      </c>
      <c r="H89" s="149">
        <v>42522</v>
      </c>
      <c r="I89" s="149"/>
      <c r="J89" s="170"/>
      <c r="K89" s="171"/>
      <c r="L89" s="148"/>
      <c r="M89" s="148"/>
      <c r="N89" s="148"/>
      <c r="O89" s="148"/>
      <c r="P89" s="148"/>
      <c r="Q89" s="148"/>
      <c r="R89" s="148"/>
      <c r="S89" s="148"/>
      <c r="T89" s="148"/>
      <c r="U89" s="148"/>
      <c r="V89" s="148"/>
      <c r="W89" s="148"/>
    </row>
    <row r="90" spans="1:23">
      <c r="A90" s="48" t="s">
        <v>200</v>
      </c>
      <c r="B90" s="146">
        <v>7016</v>
      </c>
      <c r="C90" s="50">
        <v>-213.75491363354774</v>
      </c>
      <c r="D90" s="50">
        <v>0</v>
      </c>
      <c r="E90" s="50">
        <v>0</v>
      </c>
      <c r="F90" s="50">
        <f t="shared" si="1"/>
        <v>-213.75491363354774</v>
      </c>
      <c r="G90" s="148" t="s">
        <v>244</v>
      </c>
      <c r="H90" s="149">
        <v>42522</v>
      </c>
      <c r="I90" s="149"/>
      <c r="J90" s="170"/>
      <c r="K90" s="171"/>
      <c r="L90" s="148"/>
      <c r="M90" s="148"/>
      <c r="N90" s="148"/>
      <c r="O90" s="148"/>
      <c r="P90" s="148"/>
      <c r="Q90" s="148"/>
      <c r="R90" s="148"/>
      <c r="S90" s="148"/>
      <c r="T90" s="148"/>
      <c r="U90" s="148"/>
      <c r="V90" s="148"/>
      <c r="W90" s="148"/>
    </row>
    <row r="91" spans="1:23">
      <c r="A91" s="48" t="s">
        <v>201</v>
      </c>
      <c r="B91" s="146">
        <v>2763</v>
      </c>
      <c r="C91" s="50">
        <v>-387.83732108819686</v>
      </c>
      <c r="D91" s="50">
        <v>0</v>
      </c>
      <c r="E91" s="50">
        <v>0</v>
      </c>
      <c r="F91" s="50">
        <f t="shared" si="1"/>
        <v>-387.83732108819686</v>
      </c>
      <c r="G91" s="148" t="s">
        <v>236</v>
      </c>
      <c r="H91" s="149">
        <v>42491</v>
      </c>
      <c r="I91" s="149"/>
      <c r="J91" s="170"/>
      <c r="K91" s="171"/>
      <c r="L91" s="148"/>
      <c r="M91" s="148"/>
      <c r="N91" s="148"/>
      <c r="O91" s="148"/>
      <c r="P91" s="148"/>
      <c r="Q91" s="148"/>
      <c r="R91" s="148"/>
      <c r="S91" s="148"/>
      <c r="T91" s="148"/>
      <c r="U91" s="148"/>
      <c r="V91" s="148"/>
      <c r="W91" s="148"/>
    </row>
    <row r="92" spans="1:23">
      <c r="A92" s="48" t="s">
        <v>202</v>
      </c>
      <c r="B92" s="146">
        <v>2381</v>
      </c>
      <c r="C92" s="50">
        <v>-346.84474419968086</v>
      </c>
      <c r="D92" s="50">
        <v>0</v>
      </c>
      <c r="E92" s="50">
        <v>0</v>
      </c>
      <c r="F92" s="50">
        <f t="shared" si="1"/>
        <v>-346.84474419968086</v>
      </c>
      <c r="G92" s="148" t="s">
        <v>236</v>
      </c>
      <c r="H92" s="149">
        <v>42491</v>
      </c>
      <c r="I92" s="149"/>
      <c r="J92" s="148"/>
      <c r="K92" s="148"/>
      <c r="L92" s="148"/>
      <c r="M92" s="148"/>
      <c r="N92" s="148"/>
      <c r="O92" s="148"/>
      <c r="P92" s="148"/>
      <c r="Q92" s="148"/>
      <c r="R92" s="148"/>
      <c r="S92" s="148"/>
      <c r="T92" s="148"/>
      <c r="U92" s="148"/>
      <c r="V92" s="148"/>
      <c r="W92" s="148"/>
    </row>
    <row r="93" spans="1:23">
      <c r="A93" s="48" t="s">
        <v>203</v>
      </c>
      <c r="B93" s="146">
        <v>3223</v>
      </c>
      <c r="C93" s="50">
        <v>2611915.7526631434</v>
      </c>
      <c r="D93" s="50">
        <v>0</v>
      </c>
      <c r="E93" s="50">
        <v>0</v>
      </c>
      <c r="F93" s="50">
        <f t="shared" si="1"/>
        <v>2611915.7526631434</v>
      </c>
      <c r="G93" s="148"/>
      <c r="H93" s="149"/>
      <c r="I93" s="149"/>
      <c r="J93" s="148"/>
      <c r="K93" s="148"/>
      <c r="L93" s="148"/>
      <c r="M93" s="148"/>
      <c r="N93" s="148"/>
      <c r="O93" s="148"/>
      <c r="P93" s="148"/>
      <c r="Q93" s="148"/>
      <c r="R93" s="148"/>
      <c r="S93" s="148"/>
      <c r="T93" s="148"/>
      <c r="U93" s="148"/>
      <c r="V93" s="148"/>
      <c r="W93" s="148"/>
    </row>
    <row r="94" spans="1:23">
      <c r="A94" s="48" t="s">
        <v>204</v>
      </c>
      <c r="B94" s="146">
        <v>7371</v>
      </c>
      <c r="C94" s="50">
        <v>-1966.7620712397597</v>
      </c>
      <c r="D94" s="50">
        <v>0</v>
      </c>
      <c r="E94" s="50">
        <v>0</v>
      </c>
      <c r="F94" s="50">
        <f t="shared" si="1"/>
        <v>-1966.7620712397597</v>
      </c>
      <c r="G94" s="148" t="s">
        <v>236</v>
      </c>
      <c r="H94" s="150">
        <v>42491</v>
      </c>
      <c r="I94" s="149"/>
      <c r="J94" s="148"/>
      <c r="K94" s="148"/>
      <c r="L94" s="148"/>
      <c r="M94" s="148"/>
      <c r="N94" s="148"/>
      <c r="O94" s="148"/>
      <c r="P94" s="148"/>
      <c r="Q94" s="148"/>
      <c r="R94" s="148"/>
      <c r="S94" s="148"/>
      <c r="T94" s="148"/>
      <c r="U94" s="148"/>
      <c r="V94" s="148"/>
      <c r="W94" s="148"/>
    </row>
    <row r="95" spans="1:23">
      <c r="A95" s="48" t="s">
        <v>205</v>
      </c>
      <c r="B95" s="146">
        <v>3627</v>
      </c>
      <c r="C95" s="50">
        <v>39480.935967824633</v>
      </c>
      <c r="D95" s="50">
        <v>0</v>
      </c>
      <c r="E95" s="50">
        <v>0</v>
      </c>
      <c r="F95" s="50">
        <f t="shared" si="1"/>
        <v>39480.935967824633</v>
      </c>
      <c r="G95" s="148" t="s">
        <v>235</v>
      </c>
      <c r="H95" s="149">
        <v>42430</v>
      </c>
      <c r="I95" s="149"/>
      <c r="J95" s="148"/>
      <c r="K95" s="148"/>
      <c r="L95" s="148"/>
      <c r="M95" s="148"/>
      <c r="N95" s="148"/>
      <c r="O95" s="148"/>
      <c r="P95" s="148"/>
      <c r="Q95" s="148"/>
      <c r="R95" s="148"/>
      <c r="S95" s="148"/>
      <c r="T95" s="148"/>
      <c r="U95" s="148"/>
      <c r="V95" s="148"/>
      <c r="W95" s="148"/>
    </row>
    <row r="96" spans="1:23">
      <c r="A96" s="48" t="s">
        <v>206</v>
      </c>
      <c r="B96" s="146">
        <v>2351</v>
      </c>
      <c r="C96" s="50">
        <v>-1105.562140297227</v>
      </c>
      <c r="D96" s="50">
        <v>0</v>
      </c>
      <c r="E96" s="50">
        <v>0</v>
      </c>
      <c r="F96" s="50">
        <f t="shared" si="1"/>
        <v>-1105.562140297227</v>
      </c>
      <c r="G96" s="148" t="s">
        <v>236</v>
      </c>
      <c r="H96" s="150">
        <v>42491</v>
      </c>
      <c r="I96" s="149"/>
      <c r="J96" s="148"/>
      <c r="K96" s="148"/>
      <c r="L96" s="148"/>
      <c r="M96" s="148"/>
      <c r="N96" s="148"/>
      <c r="O96" s="148"/>
      <c r="P96" s="148"/>
      <c r="Q96" s="148"/>
      <c r="R96" s="148"/>
      <c r="S96" s="148"/>
      <c r="T96" s="148"/>
      <c r="U96" s="148"/>
      <c r="V96" s="148"/>
      <c r="W96" s="148"/>
    </row>
    <row r="97" spans="1:23">
      <c r="A97" s="48" t="s">
        <v>207</v>
      </c>
      <c r="B97" s="146">
        <v>598</v>
      </c>
      <c r="C97" s="50">
        <v>70008.138423369557</v>
      </c>
      <c r="D97" s="50">
        <v>0</v>
      </c>
      <c r="E97" s="50">
        <v>0</v>
      </c>
      <c r="F97" s="50">
        <f t="shared" si="1"/>
        <v>70008.138423369557</v>
      </c>
      <c r="G97" s="148" t="s">
        <v>235</v>
      </c>
      <c r="H97" s="149">
        <v>42430</v>
      </c>
      <c r="I97" s="149"/>
      <c r="J97" s="148"/>
      <c r="K97" s="148"/>
      <c r="L97" s="148"/>
      <c r="M97" s="148"/>
      <c r="N97" s="148"/>
      <c r="O97" s="148"/>
      <c r="P97" s="148"/>
      <c r="Q97" s="148"/>
      <c r="R97" s="148"/>
      <c r="S97" s="148"/>
      <c r="T97" s="148"/>
      <c r="U97" s="148"/>
      <c r="V97" s="148"/>
      <c r="W97" s="148"/>
    </row>
    <row r="98" spans="1:23">
      <c r="A98" s="48" t="s">
        <v>208</v>
      </c>
      <c r="B98" s="146">
        <v>2783</v>
      </c>
      <c r="C98" s="50">
        <v>25089.200741108089</v>
      </c>
      <c r="D98" s="50">
        <v>0</v>
      </c>
      <c r="E98" s="50">
        <v>0</v>
      </c>
      <c r="F98" s="50">
        <f t="shared" si="1"/>
        <v>25089.200741108089</v>
      </c>
      <c r="G98" s="148" t="s">
        <v>235</v>
      </c>
      <c r="H98" s="149">
        <v>42430</v>
      </c>
      <c r="I98" s="149"/>
      <c r="J98" s="148"/>
      <c r="K98" s="148"/>
      <c r="L98" s="148"/>
      <c r="M98" s="148"/>
      <c r="N98" s="148"/>
      <c r="O98" s="148"/>
      <c r="P98" s="148"/>
      <c r="Q98" s="148"/>
      <c r="R98" s="148"/>
      <c r="S98" s="148"/>
      <c r="T98" s="148"/>
      <c r="U98" s="148"/>
      <c r="V98" s="148"/>
      <c r="W98" s="148"/>
    </row>
    <row r="99" spans="1:23">
      <c r="A99" s="48" t="s">
        <v>209</v>
      </c>
      <c r="B99" s="146">
        <v>4248</v>
      </c>
      <c r="C99" s="50">
        <v>-70.380557293971108</v>
      </c>
      <c r="D99" s="50">
        <v>0</v>
      </c>
      <c r="E99" s="50">
        <v>0</v>
      </c>
      <c r="F99" s="50">
        <f t="shared" si="1"/>
        <v>-70.380557293971108</v>
      </c>
      <c r="G99" s="148" t="s">
        <v>236</v>
      </c>
      <c r="H99" s="150">
        <v>42491</v>
      </c>
      <c r="I99" s="149"/>
      <c r="J99" s="148"/>
      <c r="K99" s="148"/>
      <c r="L99" s="148"/>
      <c r="M99" s="148"/>
      <c r="N99" s="148"/>
      <c r="O99" s="148"/>
      <c r="P99" s="148"/>
      <c r="Q99" s="148"/>
      <c r="R99" s="148"/>
      <c r="S99" s="148"/>
      <c r="T99" s="148"/>
      <c r="U99" s="148"/>
      <c r="V99" s="148"/>
      <c r="W99" s="148"/>
    </row>
    <row r="100" spans="1:23">
      <c r="A100" s="162" t="s">
        <v>210</v>
      </c>
      <c r="B100" s="160">
        <v>5274</v>
      </c>
      <c r="C100" s="80">
        <v>0.16999999998370185</v>
      </c>
      <c r="D100" s="80">
        <v>0</v>
      </c>
      <c r="E100" s="80">
        <v>0</v>
      </c>
      <c r="F100" s="80">
        <f t="shared" si="1"/>
        <v>0.16999999998370185</v>
      </c>
      <c r="G100" s="177" t="s">
        <v>277</v>
      </c>
      <c r="H100" s="188">
        <v>42736</v>
      </c>
      <c r="I100" s="149"/>
      <c r="J100" s="148">
        <v>479424.28668549651</v>
      </c>
      <c r="K100" s="148">
        <v>0</v>
      </c>
      <c r="L100" s="148">
        <v>0</v>
      </c>
      <c r="M100" s="148"/>
      <c r="N100" s="171"/>
      <c r="O100" s="171"/>
      <c r="P100" s="171"/>
      <c r="Q100" s="148"/>
      <c r="R100" s="148"/>
      <c r="S100" s="148"/>
      <c r="T100" s="148"/>
      <c r="U100" s="148"/>
      <c r="V100" s="148"/>
      <c r="W100" s="148"/>
    </row>
    <row r="101" spans="1:23">
      <c r="A101" s="162" t="s">
        <v>211</v>
      </c>
      <c r="B101" s="160">
        <v>5377</v>
      </c>
      <c r="C101" s="80">
        <v>0</v>
      </c>
      <c r="D101" s="80">
        <v>0</v>
      </c>
      <c r="E101" s="80">
        <v>0</v>
      </c>
      <c r="F101" s="80">
        <f t="shared" si="1"/>
        <v>0</v>
      </c>
      <c r="G101" s="177" t="s">
        <v>277</v>
      </c>
      <c r="H101" s="188">
        <v>42736</v>
      </c>
      <c r="I101" s="149"/>
      <c r="J101" s="148">
        <v>230861.11985477761</v>
      </c>
      <c r="K101" s="148">
        <v>0</v>
      </c>
      <c r="L101" s="148">
        <v>0</v>
      </c>
      <c r="M101" s="148"/>
      <c r="N101" s="171"/>
      <c r="O101" s="171"/>
      <c r="P101" s="171"/>
      <c r="Q101" s="148"/>
      <c r="R101" s="148"/>
      <c r="S101" s="148"/>
      <c r="T101" s="148"/>
      <c r="U101" s="148"/>
      <c r="V101" s="148"/>
      <c r="W101" s="148"/>
    </row>
    <row r="102" spans="1:23">
      <c r="A102" s="23" t="s">
        <v>63</v>
      </c>
      <c r="B102" s="23"/>
      <c r="C102" s="34">
        <f>SUMIF(C3:C101,"&gt;0")</f>
        <v>121148773.95755905</v>
      </c>
      <c r="D102" s="34">
        <f>SUMIF(D3:D101,"&gt;0")</f>
        <v>225477198.98188698</v>
      </c>
      <c r="E102" s="34">
        <f>SUMIF(E3:E101,"&gt;0")</f>
        <v>110235338.74296276</v>
      </c>
      <c r="F102" s="34">
        <f>SUMIF(F3:F101,"&gt;0")</f>
        <v>318434469.1491769</v>
      </c>
      <c r="G102" s="148"/>
      <c r="H102" s="148"/>
      <c r="I102" s="148"/>
      <c r="J102" s="148"/>
      <c r="K102" s="148"/>
      <c r="L102" s="148"/>
      <c r="M102" s="148"/>
      <c r="N102" s="148"/>
      <c r="O102" s="148"/>
      <c r="P102" s="148"/>
      <c r="Q102" s="148"/>
      <c r="R102" s="148"/>
      <c r="S102" s="148"/>
      <c r="T102" s="148"/>
      <c r="U102" s="148"/>
      <c r="V102" s="148"/>
      <c r="W102" s="148"/>
    </row>
    <row r="103" spans="1:23">
      <c r="A103" s="23" t="s">
        <v>64</v>
      </c>
      <c r="B103" s="23"/>
      <c r="C103" s="34">
        <f>SUMIF(C3:C101,"&lt;0")</f>
        <v>-744672682.11271524</v>
      </c>
      <c r="D103" s="34">
        <f>SUMIF(D3:D101,"&lt;0")</f>
        <v>-12493193.48411149</v>
      </c>
      <c r="E103" s="34">
        <f>SUMIF(E3:E101,"&lt;0")</f>
        <v>-626240113.30261552</v>
      </c>
      <c r="F103" s="34">
        <f>SUMIF(F3:F101,"&lt;0")</f>
        <v>-1244979146.3662097</v>
      </c>
      <c r="G103" s="148"/>
      <c r="H103" s="148"/>
      <c r="I103" s="148"/>
      <c r="J103" s="148"/>
      <c r="K103" s="148"/>
      <c r="L103" s="148"/>
      <c r="M103" s="148"/>
      <c r="N103" s="148"/>
      <c r="O103" s="148"/>
      <c r="P103" s="148"/>
      <c r="Q103" s="148"/>
      <c r="R103" s="148"/>
      <c r="S103" s="148"/>
      <c r="T103" s="148"/>
      <c r="U103" s="148"/>
      <c r="V103" s="148"/>
      <c r="W103" s="148"/>
    </row>
    <row r="104" spans="1:23">
      <c r="A104" s="23" t="s">
        <v>58</v>
      </c>
      <c r="B104" s="23"/>
      <c r="C104" s="34">
        <f>C102+C103</f>
        <v>-623523908.15515614</v>
      </c>
      <c r="D104" s="34">
        <f t="shared" ref="D104:E104" si="2">D102+D103</f>
        <v>212984005.4977755</v>
      </c>
      <c r="E104" s="34">
        <f t="shared" si="2"/>
        <v>-516004774.55965275</v>
      </c>
      <c r="F104" s="34">
        <f>F102+F103</f>
        <v>-926544677.21703291</v>
      </c>
      <c r="G104" s="148"/>
      <c r="H104" s="148"/>
      <c r="I104" s="148"/>
      <c r="J104" s="148"/>
      <c r="K104" s="148"/>
      <c r="L104" s="148"/>
      <c r="M104" s="148"/>
      <c r="N104" s="148"/>
      <c r="O104" s="148"/>
      <c r="P104" s="148"/>
      <c r="Q104" s="148"/>
      <c r="R104" s="148"/>
      <c r="S104" s="148"/>
      <c r="T104" s="148"/>
      <c r="U104" s="148"/>
      <c r="V104" s="148"/>
      <c r="W104" s="148"/>
    </row>
  </sheetData>
  <autoFilter ref="A2:H104"/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/>
  <dimension ref="A1:I52"/>
  <sheetViews>
    <sheetView workbookViewId="0">
      <selection activeCell="E16" sqref="E16"/>
    </sheetView>
  </sheetViews>
  <sheetFormatPr defaultRowHeight="12.75"/>
  <cols>
    <col min="1" max="1" width="17.7109375" bestFit="1" customWidth="1"/>
    <col min="2" max="2" width="32.28515625" bestFit="1" customWidth="1"/>
    <col min="3" max="3" width="24.5703125" customWidth="1"/>
    <col min="5" max="5" width="24.5703125" customWidth="1"/>
    <col min="6" max="6" width="16.5703125" customWidth="1"/>
    <col min="7" max="7" width="15.28515625" bestFit="1" customWidth="1"/>
    <col min="9" max="9" width="10.28515625" bestFit="1" customWidth="1"/>
  </cols>
  <sheetData>
    <row r="1" spans="1:9" ht="33.75">
      <c r="A1" s="23" t="s">
        <v>0</v>
      </c>
      <c r="B1" s="23" t="s">
        <v>226</v>
      </c>
      <c r="C1" s="23" t="s">
        <v>62</v>
      </c>
      <c r="E1" s="23" t="s">
        <v>221</v>
      </c>
      <c r="F1" s="23" t="s">
        <v>222</v>
      </c>
      <c r="G1" s="23" t="s">
        <v>223</v>
      </c>
    </row>
    <row r="2" spans="1:9">
      <c r="A2" s="158" t="s">
        <v>257</v>
      </c>
      <c r="B2" s="128">
        <f t="shared" ref="B2:B47" si="0">SUM(C2:C2)</f>
        <v>39605.069326192213</v>
      </c>
      <c r="C2" s="147">
        <f>D2*$G$10/(1-$D$3-$D$20)</f>
        <v>39605.069326192213</v>
      </c>
      <c r="D2">
        <v>2.2529658334015892E-2</v>
      </c>
      <c r="E2" s="138" t="s">
        <v>224</v>
      </c>
      <c r="F2" s="139">
        <v>42826</v>
      </c>
      <c r="G2" s="37">
        <v>17709.93</v>
      </c>
      <c r="I2" s="13"/>
    </row>
    <row r="3" spans="1:9">
      <c r="A3" s="158" t="s">
        <v>44</v>
      </c>
      <c r="B3" s="129">
        <f t="shared" si="0"/>
        <v>0</v>
      </c>
      <c r="C3" s="164"/>
      <c r="E3" s="138" t="s">
        <v>254</v>
      </c>
      <c r="F3" s="139">
        <v>42826</v>
      </c>
      <c r="G3" s="37">
        <v>79218.44</v>
      </c>
      <c r="I3" s="13"/>
    </row>
    <row r="4" spans="1:9" ht="22.5">
      <c r="A4" s="2" t="s">
        <v>1</v>
      </c>
      <c r="B4" s="128">
        <f t="shared" si="0"/>
        <v>60486.084435846882</v>
      </c>
      <c r="C4" s="147">
        <f t="shared" ref="C4:C48" si="1">D4*$G$10/(1-$D$3-$D$20)</f>
        <v>60486.084435846882</v>
      </c>
      <c r="D4">
        <v>3.440798967118195E-2</v>
      </c>
      <c r="E4" s="138" t="s">
        <v>255</v>
      </c>
      <c r="F4" s="139">
        <v>42826</v>
      </c>
      <c r="G4" s="37">
        <v>6453.86</v>
      </c>
      <c r="I4" s="13"/>
    </row>
    <row r="5" spans="1:9">
      <c r="A5" s="2" t="s">
        <v>9</v>
      </c>
      <c r="B5" s="128">
        <f t="shared" si="0"/>
        <v>44602.407543070673</v>
      </c>
      <c r="C5" s="147">
        <f t="shared" si="1"/>
        <v>44602.407543070673</v>
      </c>
      <c r="D5">
        <v>2.5372433880714237E-2</v>
      </c>
      <c r="E5" s="138" t="s">
        <v>256</v>
      </c>
      <c r="F5" s="139">
        <v>42826</v>
      </c>
      <c r="G5" s="37">
        <v>13242.24</v>
      </c>
      <c r="I5" s="13"/>
    </row>
    <row r="6" spans="1:9">
      <c r="A6" s="2" t="s">
        <v>41</v>
      </c>
      <c r="B6" s="128">
        <f t="shared" si="0"/>
        <v>6027.3418190425382</v>
      </c>
      <c r="C6" s="147">
        <f t="shared" si="1"/>
        <v>6027.3418190425382</v>
      </c>
      <c r="D6">
        <v>3.4287012787918279E-3</v>
      </c>
      <c r="E6" s="138" t="s">
        <v>261</v>
      </c>
      <c r="F6" s="139">
        <v>42826</v>
      </c>
      <c r="G6" s="37">
        <v>1641268.8</v>
      </c>
      <c r="I6" s="13"/>
    </row>
    <row r="7" spans="1:9">
      <c r="A7" s="2" t="s">
        <v>75</v>
      </c>
      <c r="B7" s="128">
        <f t="shared" si="0"/>
        <v>7096.7778228582974</v>
      </c>
      <c r="C7" s="147">
        <f t="shared" si="1"/>
        <v>7096.7778228582974</v>
      </c>
      <c r="D7">
        <v>4.0370584458408994E-3</v>
      </c>
      <c r="E7" s="138" t="s">
        <v>276</v>
      </c>
      <c r="F7" s="139">
        <v>42795</v>
      </c>
      <c r="G7" s="37">
        <v>14.85</v>
      </c>
      <c r="I7" s="13"/>
    </row>
    <row r="8" spans="1:9">
      <c r="A8" s="2" t="s">
        <v>14</v>
      </c>
      <c r="B8" s="128">
        <f t="shared" si="0"/>
        <v>23890.576815464239</v>
      </c>
      <c r="C8" s="147">
        <f t="shared" si="1"/>
        <v>23890.576815464239</v>
      </c>
      <c r="D8">
        <v>1.3590344423384446E-2</v>
      </c>
      <c r="E8" s="138"/>
      <c r="F8" s="139"/>
      <c r="G8" s="37"/>
      <c r="I8" s="13"/>
    </row>
    <row r="9" spans="1:9">
      <c r="A9" s="2" t="s">
        <v>37</v>
      </c>
      <c r="B9" s="128">
        <f t="shared" si="0"/>
        <v>31438.383785854381</v>
      </c>
      <c r="C9" s="147">
        <f t="shared" si="1"/>
        <v>31438.383785854381</v>
      </c>
      <c r="D9">
        <v>1.7883974383060691E-2</v>
      </c>
      <c r="I9" s="13"/>
    </row>
    <row r="10" spans="1:9">
      <c r="A10" s="2" t="s">
        <v>39</v>
      </c>
      <c r="B10" s="128">
        <f t="shared" si="0"/>
        <v>42810.075771056756</v>
      </c>
      <c r="C10" s="147">
        <f t="shared" si="1"/>
        <v>42810.075771056756</v>
      </c>
      <c r="D10">
        <v>2.4352851712782779E-2</v>
      </c>
      <c r="E10" s="189" t="s">
        <v>225</v>
      </c>
      <c r="F10" s="189"/>
      <c r="G10" s="130">
        <f>SUM(G2:G8)</f>
        <v>1757908.12</v>
      </c>
      <c r="I10" s="13"/>
    </row>
    <row r="11" spans="1:9">
      <c r="A11" s="2" t="s">
        <v>40</v>
      </c>
      <c r="B11" s="128">
        <f t="shared" si="0"/>
        <v>88184.322601750537</v>
      </c>
      <c r="C11" s="147">
        <f t="shared" si="1"/>
        <v>88184.322601750537</v>
      </c>
      <c r="D11">
        <v>5.0164352504242678E-2</v>
      </c>
      <c r="G11" s="13"/>
      <c r="I11" s="13"/>
    </row>
    <row r="12" spans="1:9">
      <c r="A12" s="2" t="s">
        <v>16</v>
      </c>
      <c r="B12" s="128">
        <f t="shared" si="0"/>
        <v>58518.983767017657</v>
      </c>
      <c r="C12" s="147">
        <f t="shared" si="1"/>
        <v>58518.983767017657</v>
      </c>
      <c r="D12">
        <v>3.3288988827822046E-2</v>
      </c>
      <c r="G12" s="27"/>
      <c r="I12" s="13"/>
    </row>
    <row r="13" spans="1:9">
      <c r="A13" s="2" t="s">
        <v>28</v>
      </c>
      <c r="B13" s="128">
        <f t="shared" si="0"/>
        <v>44644.159909549933</v>
      </c>
      <c r="C13" s="147">
        <f t="shared" si="1"/>
        <v>44644.159909549933</v>
      </c>
      <c r="D13">
        <v>2.539618504609327E-2</v>
      </c>
      <c r="G13" s="13"/>
      <c r="I13" s="13"/>
    </row>
    <row r="14" spans="1:9">
      <c r="A14" s="2" t="s">
        <v>17</v>
      </c>
      <c r="B14" s="128">
        <f t="shared" si="0"/>
        <v>67047.286983858168</v>
      </c>
      <c r="C14" s="147">
        <f t="shared" si="1"/>
        <v>67047.286983858168</v>
      </c>
      <c r="D14">
        <v>3.8140381866976165E-2</v>
      </c>
      <c r="E14" s="13"/>
      <c r="G14" s="155"/>
      <c r="I14" s="13"/>
    </row>
    <row r="15" spans="1:9">
      <c r="A15" s="101" t="s">
        <v>171</v>
      </c>
      <c r="B15" s="128">
        <f t="shared" si="0"/>
        <v>9333.1363884830025</v>
      </c>
      <c r="C15" s="147">
        <f t="shared" si="1"/>
        <v>9333.1363884830025</v>
      </c>
      <c r="D15">
        <v>5.3092287829485663E-3</v>
      </c>
      <c r="I15" s="13"/>
    </row>
    <row r="16" spans="1:9">
      <c r="A16" s="2" t="s">
        <v>18</v>
      </c>
      <c r="B16" s="128">
        <f t="shared" si="0"/>
        <v>30312.513095777216</v>
      </c>
      <c r="C16" s="147">
        <f t="shared" si="1"/>
        <v>30312.513095777216</v>
      </c>
      <c r="D16">
        <v>1.7243513896378848E-2</v>
      </c>
      <c r="G16" s="156"/>
      <c r="I16" s="13"/>
    </row>
    <row r="17" spans="1:9">
      <c r="A17" s="101" t="s">
        <v>170</v>
      </c>
      <c r="B17" s="128">
        <f t="shared" si="0"/>
        <v>29801.002959632086</v>
      </c>
      <c r="C17" s="147">
        <f t="shared" si="1"/>
        <v>29801.002959632086</v>
      </c>
      <c r="D17">
        <v>1.6952537291671468E-2</v>
      </c>
      <c r="I17" s="13"/>
    </row>
    <row r="18" spans="1:9">
      <c r="A18" s="2" t="s">
        <v>36</v>
      </c>
      <c r="B18" s="128">
        <f t="shared" si="0"/>
        <v>147538.79376054578</v>
      </c>
      <c r="C18" s="147">
        <f t="shared" si="1"/>
        <v>147538.79376054578</v>
      </c>
      <c r="D18">
        <v>8.3928614972519591E-2</v>
      </c>
      <c r="I18" s="13"/>
    </row>
    <row r="19" spans="1:9">
      <c r="A19" s="2" t="s">
        <v>19</v>
      </c>
      <c r="B19" s="128">
        <f t="shared" si="0"/>
        <v>19283.721245477296</v>
      </c>
      <c r="C19" s="147">
        <f t="shared" si="1"/>
        <v>19283.721245477296</v>
      </c>
      <c r="D19">
        <v>1.0969698032612361E-2</v>
      </c>
      <c r="I19" s="13"/>
    </row>
    <row r="20" spans="1:9">
      <c r="A20" s="158" t="s">
        <v>45</v>
      </c>
      <c r="B20" s="129">
        <f t="shared" si="0"/>
        <v>0</v>
      </c>
      <c r="C20" s="164"/>
      <c r="I20" s="13"/>
    </row>
    <row r="21" spans="1:9">
      <c r="A21" s="2" t="s">
        <v>11</v>
      </c>
      <c r="B21" s="128">
        <f t="shared" si="0"/>
        <v>3162.6871122653288</v>
      </c>
      <c r="C21" s="147">
        <f t="shared" si="1"/>
        <v>3162.6871122653288</v>
      </c>
      <c r="D21">
        <v>1.79911969020618E-3</v>
      </c>
      <c r="I21" s="13"/>
    </row>
    <row r="22" spans="1:9">
      <c r="A22" s="2" t="s">
        <v>4</v>
      </c>
      <c r="B22" s="128">
        <f t="shared" si="0"/>
        <v>94546.4279842041</v>
      </c>
      <c r="C22" s="147">
        <f t="shared" si="1"/>
        <v>94546.4279842041</v>
      </c>
      <c r="D22">
        <v>5.3783486695655115E-2</v>
      </c>
      <c r="I22" s="13"/>
    </row>
    <row r="23" spans="1:9">
      <c r="A23" s="2" t="s">
        <v>20</v>
      </c>
      <c r="B23" s="128">
        <f t="shared" si="0"/>
        <v>48817.352570219256</v>
      </c>
      <c r="C23" s="147">
        <f t="shared" si="1"/>
        <v>48817.352570219256</v>
      </c>
      <c r="D23">
        <v>2.7770138845606591E-2</v>
      </c>
      <c r="I23" s="13"/>
    </row>
    <row r="24" spans="1:9">
      <c r="A24" s="2" t="s">
        <v>31</v>
      </c>
      <c r="B24" s="128">
        <f t="shared" si="0"/>
        <v>111817.95862274955</v>
      </c>
      <c r="C24" s="147">
        <f t="shared" si="1"/>
        <v>111817.95862274955</v>
      </c>
      <c r="D24">
        <v>6.3608534115394799E-2</v>
      </c>
      <c r="I24" s="13"/>
    </row>
    <row r="25" spans="1:9">
      <c r="A25" s="2" t="s">
        <v>21</v>
      </c>
      <c r="B25" s="128">
        <f t="shared" si="0"/>
        <v>24168.556795259159</v>
      </c>
      <c r="C25" s="147">
        <f t="shared" si="1"/>
        <v>24168.556795259159</v>
      </c>
      <c r="D25">
        <v>1.3748475543340204E-2</v>
      </c>
      <c r="I25" s="13"/>
    </row>
    <row r="26" spans="1:9">
      <c r="A26" s="2" t="s">
        <v>30</v>
      </c>
      <c r="B26" s="128">
        <f t="shared" si="0"/>
        <v>2039.1431868628574</v>
      </c>
      <c r="C26" s="147">
        <f t="shared" si="1"/>
        <v>2039.1431868628574</v>
      </c>
      <c r="D26">
        <v>1.1599828020948315E-3</v>
      </c>
      <c r="I26" s="13"/>
    </row>
    <row r="27" spans="1:9">
      <c r="A27" s="2" t="s">
        <v>34</v>
      </c>
      <c r="B27" s="128">
        <f t="shared" si="0"/>
        <v>1489.7874047053506</v>
      </c>
      <c r="C27" s="147">
        <f t="shared" si="1"/>
        <v>1489.7874047053506</v>
      </c>
      <c r="D27">
        <v>8.4747740098347713E-4</v>
      </c>
      <c r="I27" s="13"/>
    </row>
    <row r="28" spans="1:9">
      <c r="A28" s="2" t="s">
        <v>38</v>
      </c>
      <c r="B28" s="128">
        <f t="shared" si="0"/>
        <v>1071.2361068524622</v>
      </c>
      <c r="C28" s="147">
        <f t="shared" si="1"/>
        <v>1071.2361068524622</v>
      </c>
      <c r="D28">
        <v>6.0938116996266112E-4</v>
      </c>
      <c r="I28" s="13"/>
    </row>
    <row r="29" spans="1:9">
      <c r="A29" s="2" t="s">
        <v>5</v>
      </c>
      <c r="B29" s="128">
        <f t="shared" si="0"/>
        <v>113909.57861935358</v>
      </c>
      <c r="C29" s="147">
        <f t="shared" si="1"/>
        <v>113909.57861935358</v>
      </c>
      <c r="D29">
        <v>6.479836876761999E-2</v>
      </c>
      <c r="I29" s="13"/>
    </row>
    <row r="30" spans="1:9">
      <c r="A30" s="2" t="s">
        <v>32</v>
      </c>
      <c r="B30" s="128">
        <f t="shared" si="0"/>
        <v>44679.220470669483</v>
      </c>
      <c r="C30" s="147">
        <f t="shared" si="1"/>
        <v>44679.220470669483</v>
      </c>
      <c r="D30">
        <v>2.5416129524829478E-2</v>
      </c>
      <c r="I30" s="13"/>
    </row>
    <row r="31" spans="1:9">
      <c r="A31" s="2" t="s">
        <v>12</v>
      </c>
      <c r="B31" s="128">
        <f t="shared" si="0"/>
        <v>5302.4946168913202</v>
      </c>
      <c r="C31" s="147">
        <f t="shared" si="1"/>
        <v>5302.4946168913202</v>
      </c>
      <c r="D31">
        <v>3.0163661892018108E-3</v>
      </c>
      <c r="I31" s="13"/>
    </row>
    <row r="32" spans="1:9">
      <c r="A32" s="2" t="s">
        <v>29</v>
      </c>
      <c r="B32" s="128">
        <f t="shared" si="0"/>
        <v>2174.9446428859578</v>
      </c>
      <c r="C32" s="147">
        <f t="shared" si="1"/>
        <v>2174.9446428859578</v>
      </c>
      <c r="D32">
        <v>1.2372345392465435E-3</v>
      </c>
      <c r="I32" s="13"/>
    </row>
    <row r="33" spans="1:9">
      <c r="A33" s="2" t="s">
        <v>33</v>
      </c>
      <c r="B33" s="128">
        <f t="shared" si="0"/>
        <v>1377.3735163395886</v>
      </c>
      <c r="C33" s="147">
        <f t="shared" si="1"/>
        <v>1377.3735163395886</v>
      </c>
      <c r="D33">
        <v>7.8352986749932556E-4</v>
      </c>
      <c r="I33" s="13"/>
    </row>
    <row r="34" spans="1:9">
      <c r="A34" s="2" t="s">
        <v>10</v>
      </c>
      <c r="B34" s="128">
        <f t="shared" si="0"/>
        <v>3229.0034500101669</v>
      </c>
      <c r="C34" s="147">
        <f t="shared" si="1"/>
        <v>3229.0034500101669</v>
      </c>
      <c r="D34">
        <v>1.8368442657914152E-3</v>
      </c>
      <c r="I34" s="13"/>
    </row>
    <row r="35" spans="1:9">
      <c r="A35" s="2" t="s">
        <v>7</v>
      </c>
      <c r="B35" s="128">
        <f t="shared" si="0"/>
        <v>59670.111825843967</v>
      </c>
      <c r="C35" s="147">
        <f t="shared" si="1"/>
        <v>59670.111825843967</v>
      </c>
      <c r="D35">
        <v>3.3943817169377409E-2</v>
      </c>
      <c r="I35" s="13"/>
    </row>
    <row r="36" spans="1:9">
      <c r="A36" s="2" t="s">
        <v>43</v>
      </c>
      <c r="B36" s="128">
        <f t="shared" si="0"/>
        <v>4769.7409501258262</v>
      </c>
      <c r="C36" s="147">
        <f t="shared" si="1"/>
        <v>4769.7409501258262</v>
      </c>
      <c r="D36">
        <v>2.7133050333289464E-3</v>
      </c>
      <c r="I36" s="13"/>
    </row>
    <row r="37" spans="1:9">
      <c r="A37" s="2" t="s">
        <v>6</v>
      </c>
      <c r="B37" s="128">
        <f t="shared" si="0"/>
        <v>179013.63819064622</v>
      </c>
      <c r="C37" s="147">
        <f t="shared" si="1"/>
        <v>179013.63819064622</v>
      </c>
      <c r="D37">
        <v>0.10183333028272616</v>
      </c>
      <c r="I37" s="13"/>
    </row>
    <row r="38" spans="1:9">
      <c r="A38" s="2" t="s">
        <v>15</v>
      </c>
      <c r="B38" s="128">
        <f t="shared" si="0"/>
        <v>2880.0811475942</v>
      </c>
      <c r="C38" s="147">
        <f t="shared" si="1"/>
        <v>2880.0811475942</v>
      </c>
      <c r="D38">
        <v>1.6383570420018311E-3</v>
      </c>
      <c r="I38" s="13"/>
    </row>
    <row r="39" spans="1:9">
      <c r="A39" s="2" t="s">
        <v>3</v>
      </c>
      <c r="B39" s="128">
        <f t="shared" si="0"/>
        <v>6426.4315208392391</v>
      </c>
      <c r="C39" s="147">
        <f t="shared" si="1"/>
        <v>6426.4315208392391</v>
      </c>
      <c r="D39">
        <v>3.6557266262808087E-3</v>
      </c>
      <c r="I39" s="13"/>
    </row>
    <row r="40" spans="1:9">
      <c r="A40" s="2" t="s">
        <v>24</v>
      </c>
      <c r="B40" s="128">
        <f t="shared" si="0"/>
        <v>20238.143911157076</v>
      </c>
      <c r="C40" s="147">
        <f t="shared" si="1"/>
        <v>20238.143911157076</v>
      </c>
      <c r="D40">
        <v>1.1512628948523814E-2</v>
      </c>
      <c r="I40" s="13"/>
    </row>
    <row r="41" spans="1:9">
      <c r="A41" s="2" t="s">
        <v>22</v>
      </c>
      <c r="B41" s="128">
        <f t="shared" si="0"/>
        <v>15558.678086150137</v>
      </c>
      <c r="C41" s="147">
        <f t="shared" si="1"/>
        <v>15558.678086150137</v>
      </c>
      <c r="D41">
        <v>8.8506776373216463E-3</v>
      </c>
      <c r="I41" s="13"/>
    </row>
    <row r="42" spans="1:9">
      <c r="A42" s="101" t="s">
        <v>166</v>
      </c>
      <c r="B42" s="128">
        <f t="shared" si="0"/>
        <v>25595.817827605653</v>
      </c>
      <c r="C42" s="147">
        <f t="shared" si="1"/>
        <v>25595.817827605653</v>
      </c>
      <c r="D42">
        <v>1.4560384320658154E-2</v>
      </c>
      <c r="I42" s="13"/>
    </row>
    <row r="43" spans="1:9">
      <c r="A43" s="2" t="s">
        <v>88</v>
      </c>
      <c r="B43" s="128">
        <f t="shared" si="0"/>
        <v>2679.8694522179821</v>
      </c>
      <c r="C43" s="147">
        <f t="shared" si="1"/>
        <v>2679.8694522179821</v>
      </c>
      <c r="D43">
        <v>1.5244650284782699E-3</v>
      </c>
      <c r="I43" s="13"/>
    </row>
    <row r="44" spans="1:9">
      <c r="A44" s="2" t="s">
        <v>8</v>
      </c>
      <c r="B44" s="128">
        <f t="shared" si="0"/>
        <v>37070.261591994618</v>
      </c>
      <c r="C44" s="147">
        <f t="shared" si="1"/>
        <v>37070.261591994618</v>
      </c>
      <c r="D44">
        <v>2.1087712816295894E-2</v>
      </c>
      <c r="I44" s="13"/>
    </row>
    <row r="45" spans="1:9">
      <c r="A45" s="2" t="s">
        <v>35</v>
      </c>
      <c r="B45" s="128">
        <f t="shared" si="0"/>
        <v>980.24715496180704</v>
      </c>
      <c r="C45" s="147">
        <f t="shared" si="1"/>
        <v>980.24715496180704</v>
      </c>
      <c r="D45">
        <v>5.5762138180566966E-4</v>
      </c>
      <c r="I45" s="13"/>
    </row>
    <row r="46" spans="1:9">
      <c r="A46" s="2" t="s">
        <v>2</v>
      </c>
      <c r="B46" s="128">
        <f t="shared" si="0"/>
        <v>146709.11192813556</v>
      </c>
      <c r="C46" s="147">
        <f t="shared" si="1"/>
        <v>146709.11192813556</v>
      </c>
      <c r="D46">
        <v>8.3456643870633895E-2</v>
      </c>
      <c r="I46" s="13"/>
    </row>
    <row r="47" spans="1:9">
      <c r="A47" s="2" t="s">
        <v>42</v>
      </c>
      <c r="B47" s="128">
        <f t="shared" si="0"/>
        <v>4448.884066835828</v>
      </c>
      <c r="C47" s="147">
        <f t="shared" si="1"/>
        <v>4448.884066835828</v>
      </c>
      <c r="D47">
        <v>2.530783046178675E-3</v>
      </c>
      <c r="I47" s="13"/>
    </row>
    <row r="48" spans="1:9">
      <c r="A48" s="2" t="s">
        <v>23</v>
      </c>
      <c r="B48" s="128">
        <f t="shared" ref="B48" si="2">SUM(C48:C48)</f>
        <v>43460.699215146269</v>
      </c>
      <c r="C48" s="147">
        <f t="shared" si="1"/>
        <v>43460.699215146269</v>
      </c>
      <c r="D48">
        <v>2.4722964027918744E-2</v>
      </c>
      <c r="I48" s="13"/>
    </row>
    <row r="49" spans="1:9">
      <c r="A49" s="116" t="s">
        <v>60</v>
      </c>
      <c r="B49" s="131">
        <f>SUMIF(B2:B48,"&gt;0")</f>
        <v>1757908.12</v>
      </c>
      <c r="C49" s="131">
        <f>SUMIF(C2:C48,"&gt;0")</f>
        <v>1757908.12</v>
      </c>
      <c r="D49">
        <f>SUM(D2:D48)</f>
        <v>1</v>
      </c>
    </row>
    <row r="50" spans="1:9">
      <c r="A50" s="116" t="s">
        <v>61</v>
      </c>
      <c r="B50" s="131">
        <f>SUMIF(B2:B48,"&lt;0")</f>
        <v>0</v>
      </c>
      <c r="C50" s="131">
        <f>SUMIF(C2:C48,"&lt;0")</f>
        <v>0</v>
      </c>
      <c r="I50" s="36"/>
    </row>
    <row r="51" spans="1:9">
      <c r="A51" s="116" t="s">
        <v>58</v>
      </c>
      <c r="B51" s="131">
        <f t="shared" ref="B51:C51" si="3">B49+B50</f>
        <v>1757908.12</v>
      </c>
      <c r="C51" s="131">
        <f t="shared" si="3"/>
        <v>1757908.12</v>
      </c>
    </row>
    <row r="52" spans="1:9">
      <c r="G52" s="26"/>
    </row>
  </sheetData>
  <mergeCells count="1">
    <mergeCell ref="E10:F10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6" tint="-0.249977111117893"/>
  </sheetPr>
  <dimension ref="A1:AR111"/>
  <sheetViews>
    <sheetView tabSelected="1"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107" sqref="A107"/>
    </sheetView>
  </sheetViews>
  <sheetFormatPr defaultRowHeight="12.75"/>
  <cols>
    <col min="1" max="1" width="31.85546875" style="7" customWidth="1"/>
    <col min="2" max="2" width="17.85546875" style="7" customWidth="1"/>
    <col min="3" max="3" width="19.7109375" style="7" customWidth="1"/>
    <col min="4" max="5" width="18.85546875" customWidth="1"/>
    <col min="6" max="6" width="20.7109375" customWidth="1"/>
    <col min="7" max="9" width="18.85546875" customWidth="1"/>
    <col min="10" max="10" width="18" customWidth="1"/>
    <col min="11" max="22" width="20.7109375" customWidth="1"/>
    <col min="23" max="24" width="25" customWidth="1"/>
    <col min="25" max="25" width="20.7109375" customWidth="1"/>
    <col min="26" max="35" width="25" customWidth="1"/>
    <col min="36" max="36" width="25" style="13" customWidth="1"/>
    <col min="37" max="37" width="15.7109375" style="13" customWidth="1"/>
    <col min="41" max="41" width="15" customWidth="1"/>
    <col min="43" max="43" width="11.28515625" bestFit="1" customWidth="1"/>
    <col min="44" max="44" width="14" bestFit="1" customWidth="1"/>
  </cols>
  <sheetData>
    <row r="1" spans="1:44">
      <c r="A1" s="49" t="s">
        <v>98</v>
      </c>
      <c r="B1" s="113">
        <v>0</v>
      </c>
      <c r="D1" s="190" t="s">
        <v>163</v>
      </c>
      <c r="E1" s="191"/>
      <c r="F1" s="98">
        <v>42795</v>
      </c>
      <c r="T1" s="26"/>
      <c r="U1" s="117" t="s">
        <v>214</v>
      </c>
      <c r="V1" s="117" t="s">
        <v>215</v>
      </c>
    </row>
    <row r="2" spans="1:44">
      <c r="H2" s="26"/>
      <c r="L2">
        <v>3</v>
      </c>
      <c r="M2">
        <v>4</v>
      </c>
      <c r="N2">
        <v>5</v>
      </c>
      <c r="O2">
        <v>6</v>
      </c>
      <c r="U2" s="117" t="str">
        <f>IF(B1+C105&gt;-S105,"Excedente","Déficit")</f>
        <v>Déficit</v>
      </c>
      <c r="V2" s="121" t="str">
        <f>IFERROR(IF((-U105)/(V105)&gt;1,1,(-U105)/(V105)),"")</f>
        <v/>
      </c>
      <c r="W2" s="13" t="e">
        <f>V2*V105</f>
        <v>#VALUE!</v>
      </c>
      <c r="X2" s="26"/>
    </row>
    <row r="3" spans="1:44" ht="68.25" customHeight="1">
      <c r="A3" s="23" t="s">
        <v>0</v>
      </c>
      <c r="B3" s="23" t="s">
        <v>77</v>
      </c>
      <c r="C3" s="23" t="s">
        <v>74</v>
      </c>
      <c r="D3" s="23" t="s">
        <v>65</v>
      </c>
      <c r="E3" s="23" t="s">
        <v>66</v>
      </c>
      <c r="F3" s="23" t="s">
        <v>230</v>
      </c>
      <c r="G3" s="23" t="s">
        <v>78</v>
      </c>
      <c r="H3" s="23" t="s">
        <v>79</v>
      </c>
      <c r="I3" s="23" t="s">
        <v>220</v>
      </c>
      <c r="J3" s="23" t="s">
        <v>80</v>
      </c>
      <c r="K3" s="23" t="s">
        <v>123</v>
      </c>
      <c r="L3" s="83" t="s">
        <v>133</v>
      </c>
      <c r="M3" s="83" t="s">
        <v>134</v>
      </c>
      <c r="N3" s="83" t="s">
        <v>135</v>
      </c>
      <c r="O3" s="83" t="s">
        <v>125</v>
      </c>
      <c r="P3" s="84" t="s">
        <v>136</v>
      </c>
      <c r="Q3" s="84" t="s">
        <v>137</v>
      </c>
      <c r="R3" s="84" t="s">
        <v>138</v>
      </c>
      <c r="S3" s="84" t="s">
        <v>139</v>
      </c>
      <c r="T3" s="117" t="s">
        <v>217</v>
      </c>
      <c r="U3" s="117" t="s">
        <v>212</v>
      </c>
      <c r="V3" s="117" t="s">
        <v>213</v>
      </c>
      <c r="W3" s="56" t="s">
        <v>127</v>
      </c>
      <c r="X3" s="23" t="s">
        <v>124</v>
      </c>
      <c r="Y3" s="23" t="s">
        <v>99</v>
      </c>
      <c r="Z3" s="119" t="s">
        <v>128</v>
      </c>
      <c r="AA3" s="119" t="s">
        <v>129</v>
      </c>
      <c r="AB3" s="119" t="s">
        <v>126</v>
      </c>
      <c r="AC3" s="120" t="s">
        <v>216</v>
      </c>
      <c r="AD3" s="39" t="s">
        <v>128</v>
      </c>
      <c r="AE3" s="39" t="s">
        <v>129</v>
      </c>
      <c r="AF3" s="39" t="s">
        <v>126</v>
      </c>
      <c r="AG3" s="82" t="s">
        <v>130</v>
      </c>
      <c r="AH3" s="82" t="s">
        <v>131</v>
      </c>
      <c r="AI3" s="82" t="s">
        <v>132</v>
      </c>
      <c r="AK3" s="39" t="s">
        <v>239</v>
      </c>
    </row>
    <row r="4" spans="1:44">
      <c r="A4" s="158" t="s">
        <v>257</v>
      </c>
      <c r="B4" s="46">
        <v>396</v>
      </c>
      <c r="C4" s="43">
        <v>5208082.1099999994</v>
      </c>
      <c r="D4" s="14">
        <f>IFERROR(VLOOKUP(A4,Exposição!$A$2:$M$48,13,FALSE),0)</f>
        <v>-3227908.109817646</v>
      </c>
      <c r="E4" s="14">
        <f>IFERROR(VLOOKUP(A4,CCEAR_D!$A$2:$J$48,10,FALSE),0)</f>
        <v>-4109330.6389260786</v>
      </c>
      <c r="F4" s="14">
        <f>IFERROR(VLOOKUP(A4,'RH Cotas'!$A$2:$C$48,2,FALSE),0)+IFERROR(VLOOKUP(A4,'Efeito RH do ACR'!$A$2:$D$48,3,FALSE),0)</f>
        <v>-5582037.8799999999</v>
      </c>
      <c r="G4" s="14">
        <f>IFERROR(VLOOKUP(A4,'RH Itaipu'!$A$2:$B$48,2,FALSE),0)</f>
        <v>1773587.43</v>
      </c>
      <c r="H4" s="14">
        <f>IFERROR(VLOOKUP(A4,ESS_SE!$A$3:$B$51,2,FALSE),0)</f>
        <v>-1767994.68</v>
      </c>
      <c r="I4" s="14">
        <f>IFERROR(VLOOKUP(A4,'ESS ME'!$A$3:$C$49,3,FALSE),0)</f>
        <v>-64235.08</v>
      </c>
      <c r="J4" s="14">
        <f>IFERROR(VLOOKUP(A4,CONER!$A$2:$B$48,2,FALSE),0)</f>
        <v>18759346.552221343</v>
      </c>
      <c r="K4" s="14">
        <f>SUM(D4:I4)+J4</f>
        <v>5781427.5934776198</v>
      </c>
      <c r="L4" s="14">
        <f>IFERROR(VLOOKUP($A4,'CustoLiqNaoCobertoMesN-1'!$A$3:$F$101,L$2,FALSE),0)</f>
        <v>75744515.59604691</v>
      </c>
      <c r="M4" s="14">
        <f>IFERROR(VLOOKUP($A4,'CustoLiqNaoCobertoMesN-1'!$A$3:$F$101,M$2,FALSE),0)</f>
        <v>3114105.6171029471</v>
      </c>
      <c r="N4" s="14">
        <f>IFERROR(VLOOKUP($A4,'CustoLiqNaoCobertoMesN-1'!$A$3:$F$101,N$2,FALSE),0)</f>
        <v>-9086910.1701375172</v>
      </c>
      <c r="O4" s="14">
        <f>IFERROR(VLOOKUP($A4,'CustoLiqNaoCobertoMesN-1'!$A$3:$F$101,O$2,FALSE),0)</f>
        <v>69771711.043012351</v>
      </c>
      <c r="P4" s="14">
        <f>L4+SUM(E4:G4)</f>
        <v>67826734.507120833</v>
      </c>
      <c r="Q4" s="14">
        <f>M4+SUM(H4:J4)</f>
        <v>20041222.409324288</v>
      </c>
      <c r="R4" s="14">
        <f>N4+D4</f>
        <v>-12314818.279955164</v>
      </c>
      <c r="S4" s="14">
        <f>K4+O4</f>
        <v>75553138.636489972</v>
      </c>
      <c r="T4" s="14">
        <f>IFERROR(VLOOKUP(A4,Prêmio!$A$2:$C$48,3,FALSE),0)</f>
        <v>39605.069326192213</v>
      </c>
      <c r="U4" s="14" t="str">
        <f>IF($U$2="Déficit","",IF(C4+T4&gt;-S4,0,IF((C4+S4+T4)&gt;0,0,C4+S4+T4)))</f>
        <v/>
      </c>
      <c r="V4" s="14" t="str">
        <f>IF($U$2="Déficit","",IF(C4+T4&gt;-S4,IF(S4&lt;0,C4+S4+T4,C4+T4),0))</f>
        <v/>
      </c>
      <c r="W4" s="14">
        <f>IF($U$2="Déficit",IF(S4&lt;0,(MIN($C$105,-$S$104)*S4/$S$104),0)-C4,IF(V4&gt;0,-V4*$V$2,-U4))+T4</f>
        <v>-5168477.0406738073</v>
      </c>
      <c r="X4" s="14">
        <f>Y4+S4+C4</f>
        <v>75592743.705816165</v>
      </c>
      <c r="Y4" s="47">
        <f>W4</f>
        <v>-5168477.0406738073</v>
      </c>
      <c r="Z4" s="81">
        <f>IF(P4&lt;0,IF(C4+Y4&gt;-P4,P4,-C4-Y4),0)</f>
        <v>0</v>
      </c>
      <c r="AA4" s="81">
        <f>IF(Q4&lt;0,IF(C4+Z4+Y4&gt;-Q4,Q4,-C4-Z4-Y4),0)</f>
        <v>0</v>
      </c>
      <c r="AB4" s="81">
        <f>IF(R4&lt;0,IF(C4+Z4+AA4+Y4&gt;-R4,R4,-C4-Z4-AA4-Y4),0)</f>
        <v>-39605.069326192141</v>
      </c>
      <c r="AC4" s="81">
        <f>C4+Y4+Z4+AB4+AA4</f>
        <v>0</v>
      </c>
      <c r="AD4" s="81">
        <f>IF(AC4&gt;0,-AC4+Z4,+Z4)-AK4</f>
        <v>0</v>
      </c>
      <c r="AE4" s="81">
        <f>AA4</f>
        <v>0</v>
      </c>
      <c r="AF4" s="81">
        <f>AB4</f>
        <v>-39605.069326192141</v>
      </c>
      <c r="AG4" s="81">
        <f>P4-AD4</f>
        <v>67826734.507120833</v>
      </c>
      <c r="AH4" s="81">
        <f>Q4-AE4</f>
        <v>20041222.409324288</v>
      </c>
      <c r="AI4" s="81">
        <f>R4-AF4</f>
        <v>-12275213.210628971</v>
      </c>
      <c r="AO4" s="27">
        <f>C4+W4</f>
        <v>39605.069326192141</v>
      </c>
      <c r="AQ4" s="13"/>
      <c r="AR4" s="27"/>
    </row>
    <row r="5" spans="1:44">
      <c r="A5" s="158" t="s">
        <v>44</v>
      </c>
      <c r="B5" s="99">
        <v>7019</v>
      </c>
      <c r="C5" s="43">
        <v>0</v>
      </c>
      <c r="D5" s="80"/>
      <c r="E5" s="80"/>
      <c r="F5" s="80"/>
      <c r="G5" s="80"/>
      <c r="H5" s="80"/>
      <c r="I5" s="80"/>
      <c r="J5" s="80"/>
      <c r="K5" s="80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  <c r="X5" s="80"/>
      <c r="Y5" s="80"/>
      <c r="Z5" s="80"/>
      <c r="AA5" s="80"/>
      <c r="AB5" s="80"/>
      <c r="AC5" s="80"/>
      <c r="AD5" s="81">
        <f t="shared" ref="AD5:AD68" si="0">IF(AC5&gt;0,-AC5+Z5,+Z5)-AK5</f>
        <v>0</v>
      </c>
      <c r="AE5" s="81">
        <f t="shared" ref="AE5:AE68" si="1">AA5</f>
        <v>0</v>
      </c>
      <c r="AF5" s="81">
        <f t="shared" ref="AF5:AF68" si="2">AB5</f>
        <v>0</v>
      </c>
      <c r="AG5" s="81">
        <f t="shared" ref="AG5:AG68" si="3">P5-AD5</f>
        <v>0</v>
      </c>
      <c r="AH5" s="81">
        <f t="shared" ref="AH5:AH68" si="4">Q5-AE5</f>
        <v>0</v>
      </c>
      <c r="AI5" s="81">
        <f t="shared" ref="AI5:AI68" si="5">R5-AF5</f>
        <v>0</v>
      </c>
      <c r="AO5" s="27">
        <f t="shared" ref="AO5:AO68" si="6">C5+W5</f>
        <v>0</v>
      </c>
      <c r="AQ5" s="13"/>
      <c r="AR5" s="27"/>
    </row>
    <row r="6" spans="1:44">
      <c r="A6" s="2" t="s">
        <v>1</v>
      </c>
      <c r="B6" s="46">
        <v>383</v>
      </c>
      <c r="C6" s="43">
        <v>7877392.5557629289</v>
      </c>
      <c r="D6" s="14">
        <f>IFERROR(VLOOKUP(A6,Exposição!$A$2:$M$48,13,FALSE),0)</f>
        <v>-1908285.3928729789</v>
      </c>
      <c r="E6" s="14">
        <f>IFERROR(VLOOKUP(A6,CCEAR_D!$A$2:$J$48,10,FALSE),0)</f>
        <v>-3013544.7047840557</v>
      </c>
      <c r="F6" s="14">
        <f>IFERROR(VLOOKUP(A6,'RH Cotas'!$A$2:$C$48,2,FALSE),0)+IFERROR(VLOOKUP(A6,'Efeito RH do ACR'!$A$2:$D$48,3,FALSE),0)</f>
        <v>-807807.29308559746</v>
      </c>
      <c r="G6" s="14">
        <f>IFERROR(VLOOKUP(A6,'RH Itaipu'!$A$2:$B$48,2,FALSE),0)</f>
        <v>1946982.46</v>
      </c>
      <c r="H6" s="14">
        <f>IFERROR(VLOOKUP(A6,ESS_SE!$A$3:$B$51,2,FALSE),0)</f>
        <v>-2530822.48</v>
      </c>
      <c r="I6" s="14">
        <f>IFERROR(VLOOKUP(A6,'ESS ME'!$A$3:$C$49,3,FALSE),0)</f>
        <v>-102394.08</v>
      </c>
      <c r="J6" s="14">
        <f>IFERROR(VLOOKUP(A6,CONER!$A$2:$B$48,2,FALSE),0)</f>
        <v>24550620.102618136</v>
      </c>
      <c r="K6" s="14">
        <f t="shared" ref="K6:K64" si="7">SUM(D6:I6)+J6</f>
        <v>18134748.611875504</v>
      </c>
      <c r="L6" s="14">
        <f>IFERROR(VLOOKUP($A6,'CustoLiqNaoCobertoMesN-1'!$A$3:$F$101,L$2,FALSE),0)</f>
        <v>1590126.7340261224</v>
      </c>
      <c r="M6" s="14">
        <f>IFERROR(VLOOKUP($A6,'CustoLiqNaoCobertoMesN-1'!$A$3:$F$101,M$2,FALSE),0)</f>
        <v>20705091.486785565</v>
      </c>
      <c r="N6" s="14">
        <f>IFERROR(VLOOKUP($A6,'CustoLiqNaoCobertoMesN-1'!$A$3:$F$101,N$2,FALSE),0)</f>
        <v>10105914.266131125</v>
      </c>
      <c r="O6" s="14">
        <f>IFERROR(VLOOKUP($A6,'CustoLiqNaoCobertoMesN-1'!$A$3:$F$101,O$2,FALSE),0)</f>
        <v>32401132.486942813</v>
      </c>
      <c r="P6" s="14">
        <f t="shared" ref="P6:P64" si="8">L6+SUM(E6:G6)</f>
        <v>-284242.80384353083</v>
      </c>
      <c r="Q6" s="14">
        <f t="shared" ref="Q6:Q64" si="9">M6+SUM(H6:J6)</f>
        <v>42622495.029403701</v>
      </c>
      <c r="R6" s="14">
        <f t="shared" ref="R6:R64" si="10">N6+D6</f>
        <v>8197628.8732581465</v>
      </c>
      <c r="S6" s="14">
        <f t="shared" ref="S6:S64" si="11">K6+O6</f>
        <v>50535881.098818317</v>
      </c>
      <c r="T6" s="14">
        <f>IFERROR(VLOOKUP(A6,Prêmio!$A$2:$C$48,3,FALSE),0)</f>
        <v>60486.084435846882</v>
      </c>
      <c r="U6" s="14" t="str">
        <f t="shared" ref="U6:U68" si="12">IF($U$2="Déficit","",IF(C6+T6&gt;-S6,0,IF((C6+S6+T6)&gt;0,0,C6+S6+T6)))</f>
        <v/>
      </c>
      <c r="V6" s="14" t="str">
        <f t="shared" ref="V6:V68" si="13">IF($U$2="Déficit","",IF(C6+T6&gt;-S6,IF(S6&lt;0,C6+S6+T6,C6+T6),0))</f>
        <v/>
      </c>
      <c r="W6" s="14">
        <f t="shared" ref="W6:W68" si="14">IF($U$2="Déficit",IF(S6&lt;0,(MIN($C$105,-$S$104)*S6/$S$104),0)-C6,IF(V6&gt;0,-V6*$V$2,-U6))+T6</f>
        <v>-7816906.4713270823</v>
      </c>
      <c r="X6" s="14">
        <f>Y6+S6+C6</f>
        <v>50596367.183254167</v>
      </c>
      <c r="Y6" s="47">
        <f t="shared" ref="Y6:Y68" si="15">W6</f>
        <v>-7816906.4713270823</v>
      </c>
      <c r="Z6" s="81">
        <f>IF(P6&lt;0,IF(C6+Y6&gt;-P6,P6,-C6-Y6),0)</f>
        <v>-60486.084435846657</v>
      </c>
      <c r="AA6" s="81">
        <f>IF(Q6&lt;0,IF(C6+Z6+Y6&gt;-Q6,Q6,-C6-Z6-Y6),0)</f>
        <v>0</v>
      </c>
      <c r="AB6" s="81">
        <f>IF(R6&lt;0,IF(C6+Z6+AA6+Y6&gt;-R6,R6,-C6-Z6-AA6-Y6),0)</f>
        <v>0</v>
      </c>
      <c r="AC6" s="81">
        <f>C6+Y6+Z6+AB6+AA6</f>
        <v>0</v>
      </c>
      <c r="AD6" s="81">
        <f t="shared" si="0"/>
        <v>-60486.084435846657</v>
      </c>
      <c r="AE6" s="81">
        <f t="shared" si="1"/>
        <v>0</v>
      </c>
      <c r="AF6" s="81">
        <f t="shared" si="2"/>
        <v>0</v>
      </c>
      <c r="AG6" s="81">
        <f t="shared" si="3"/>
        <v>-223756.71940768417</v>
      </c>
      <c r="AH6" s="81">
        <f t="shared" si="4"/>
        <v>42622495.029403701</v>
      </c>
      <c r="AI6" s="81">
        <f t="shared" si="5"/>
        <v>8197628.8732581465</v>
      </c>
      <c r="AO6" s="27">
        <f t="shared" si="6"/>
        <v>60486.084435846657</v>
      </c>
      <c r="AQ6" s="13"/>
      <c r="AR6" s="27"/>
    </row>
    <row r="7" spans="1:44">
      <c r="A7" s="2" t="s">
        <v>9</v>
      </c>
      <c r="B7" s="45">
        <v>391</v>
      </c>
      <c r="C7" s="43">
        <v>5817189.21</v>
      </c>
      <c r="D7" s="14">
        <f>IFERROR(VLOOKUP(A7,Exposição!$A$2:$M$48,13,FALSE),0)</f>
        <v>5491034.4918537866</v>
      </c>
      <c r="E7" s="14">
        <f>IFERROR(VLOOKUP(A7,CCEAR_D!$A$2:$J$48,10,FALSE),0)</f>
        <v>-6553793.4599353075</v>
      </c>
      <c r="F7" s="14">
        <f>IFERROR(VLOOKUP(A7,'RH Cotas'!$A$2:$C$48,2,FALSE),0)+IFERROR(VLOOKUP(A7,'Efeito RH do ACR'!$A$2:$D$48,3,FALSE),0)</f>
        <v>-7367443.5899999999</v>
      </c>
      <c r="G7" s="14">
        <f>IFERROR(VLOOKUP(A7,'RH Itaipu'!$A$2:$B$48,2,FALSE),0)</f>
        <v>2131488.0299999998</v>
      </c>
      <c r="H7" s="14">
        <f>IFERROR(VLOOKUP(A7,ESS_SE!$A$3:$B$51,2,FALSE),0)</f>
        <v>-2156104.36</v>
      </c>
      <c r="I7" s="14">
        <f>IFERROR(VLOOKUP(A7,'ESS ME'!$A$3:$C$49,3,FALSE),0)</f>
        <v>-78027.839999999997</v>
      </c>
      <c r="J7" s="14">
        <f>IFERROR(VLOOKUP(A7,CONER!$A$2:$B$48,2,FALSE),0)</f>
        <v>22732438.543742608</v>
      </c>
      <c r="K7" s="14">
        <f t="shared" si="7"/>
        <v>14199591.815661088</v>
      </c>
      <c r="L7" s="14">
        <f>IFERROR(VLOOKUP($A7,'CustoLiqNaoCobertoMesN-1'!$A$3:$F$101,L$2,FALSE),0)</f>
        <v>-61029752.719015881</v>
      </c>
      <c r="M7" s="14">
        <f>IFERROR(VLOOKUP($A7,'CustoLiqNaoCobertoMesN-1'!$A$3:$F$101,M$2,FALSE),0)</f>
        <v>6036350.8974852171</v>
      </c>
      <c r="N7" s="14">
        <f>IFERROR(VLOOKUP($A7,'CustoLiqNaoCobertoMesN-1'!$A$3:$F$101,N$2,FALSE),0)</f>
        <v>-23425526.653935608</v>
      </c>
      <c r="O7" s="14">
        <f>IFERROR(VLOOKUP($A7,'CustoLiqNaoCobertoMesN-1'!$A$3:$F$101,O$2,FALSE),0)</f>
        <v>-78418928.475466266</v>
      </c>
      <c r="P7" s="14">
        <f t="shared" si="8"/>
        <v>-72819501.738951191</v>
      </c>
      <c r="Q7" s="14">
        <f t="shared" si="9"/>
        <v>26534657.241227828</v>
      </c>
      <c r="R7" s="14">
        <f t="shared" si="10"/>
        <v>-17934492.162081823</v>
      </c>
      <c r="S7" s="14">
        <f t="shared" si="11"/>
        <v>-64219336.659805179</v>
      </c>
      <c r="T7" s="14">
        <f>IFERROR(VLOOKUP(A7,Prêmio!$A$2:$C$48,3,FALSE),0)</f>
        <v>44602.407543070673</v>
      </c>
      <c r="U7" s="14" t="str">
        <f t="shared" si="12"/>
        <v/>
      </c>
      <c r="V7" s="14" t="str">
        <f t="shared" si="13"/>
        <v/>
      </c>
      <c r="W7" s="14">
        <f t="shared" si="14"/>
        <v>9191408.2832659259</v>
      </c>
      <c r="X7" s="14">
        <f>Y7+S7+C7</f>
        <v>-49210739.166539252</v>
      </c>
      <c r="Y7" s="47">
        <f t="shared" si="15"/>
        <v>9191408.2832659259</v>
      </c>
      <c r="Z7" s="81">
        <f>IF(P7&lt;0,IF(C7+Y7&gt;-P7,P7,-C7-Y7),0)</f>
        <v>-15008597.493265927</v>
      </c>
      <c r="AA7" s="81">
        <f>IF(Q7&lt;0,IF(C7+Z7+Y7&gt;-Q7,Q7,-C7-Z7-Y7),0)</f>
        <v>0</v>
      </c>
      <c r="AB7" s="81">
        <f>IF(R7&lt;0,IF(C7+Z7+AA7+Y7&gt;-R7,R7,-C7-Z7-AA7-Y7),0)</f>
        <v>0</v>
      </c>
      <c r="AC7" s="81">
        <f>C7+Y7+Z7+AB7+AA7</f>
        <v>0</v>
      </c>
      <c r="AD7" s="81">
        <f t="shared" si="0"/>
        <v>-15008597.493265927</v>
      </c>
      <c r="AE7" s="81">
        <f t="shared" si="1"/>
        <v>0</v>
      </c>
      <c r="AF7" s="81">
        <f t="shared" si="2"/>
        <v>0</v>
      </c>
      <c r="AG7" s="81">
        <f t="shared" si="3"/>
        <v>-57810904.245685264</v>
      </c>
      <c r="AH7" s="81">
        <f t="shared" si="4"/>
        <v>26534657.241227828</v>
      </c>
      <c r="AI7" s="81">
        <f t="shared" si="5"/>
        <v>-17934492.162081823</v>
      </c>
      <c r="AO7" s="27">
        <f t="shared" si="6"/>
        <v>15008597.493265927</v>
      </c>
      <c r="AQ7" s="13"/>
      <c r="AR7" s="27"/>
    </row>
    <row r="8" spans="1:44">
      <c r="A8" s="2" t="s">
        <v>41</v>
      </c>
      <c r="B8" s="45">
        <v>5216</v>
      </c>
      <c r="C8" s="43">
        <v>1163266.8199999828</v>
      </c>
      <c r="D8" s="14">
        <f>IFERROR(VLOOKUP(A8,Exposição!$A$2:$M$48,13,FALSE),0)</f>
        <v>-86903.281183869854</v>
      </c>
      <c r="E8" s="14">
        <f>IFERROR(VLOOKUP(A8,CCEAR_D!$A$2:$J$48,10,FALSE),0)</f>
        <v>-387209.7524085606</v>
      </c>
      <c r="F8" s="14">
        <f>IFERROR(VLOOKUP(A8,'RH Cotas'!$A$2:$C$48,2,FALSE),0)+IFERROR(VLOOKUP(A8,'Efeito RH do ACR'!$A$2:$D$48,3,FALSE),0)</f>
        <v>-823114.52</v>
      </c>
      <c r="G8" s="14">
        <f>IFERROR(VLOOKUP(A8,'RH Itaipu'!$A$2:$B$48,2,FALSE),0)</f>
        <v>232315.07</v>
      </c>
      <c r="H8" s="14">
        <f>IFERROR(VLOOKUP(A8,ESS_SE!$A$3:$B$51,2,FALSE),0)</f>
        <v>-248028.47</v>
      </c>
      <c r="I8" s="14">
        <f>IFERROR(VLOOKUP(A8,'ESS ME'!$A$3:$C$49,3,FALSE),0)</f>
        <v>-10500.63</v>
      </c>
      <c r="J8" s="14">
        <f>IFERROR(VLOOKUP(A8,CONER!$A$2:$B$48,2,FALSE),0)</f>
        <v>2672123.9600946242</v>
      </c>
      <c r="K8" s="14">
        <f t="shared" si="7"/>
        <v>1348682.376502194</v>
      </c>
      <c r="L8" s="14">
        <f>IFERROR(VLOOKUP($A8,'CustoLiqNaoCobertoMesN-1'!$A$3:$F$101,L$2,FALSE),0)</f>
        <v>-1005862.6709314976</v>
      </c>
      <c r="M8" s="14">
        <f>IFERROR(VLOOKUP($A8,'CustoLiqNaoCobertoMesN-1'!$A$3:$F$101,M$2,FALSE),0)</f>
        <v>151993.21676077112</v>
      </c>
      <c r="N8" s="14">
        <f>IFERROR(VLOOKUP($A8,'CustoLiqNaoCobertoMesN-1'!$A$3:$F$101,N$2,FALSE),0)</f>
        <v>-4756434.4488672251</v>
      </c>
      <c r="O8" s="14">
        <f>IFERROR(VLOOKUP($A8,'CustoLiqNaoCobertoMesN-1'!$A$3:$F$101,O$2,FALSE),0)</f>
        <v>-5610303.9030379513</v>
      </c>
      <c r="P8" s="14">
        <f t="shared" si="8"/>
        <v>-1983871.8733400581</v>
      </c>
      <c r="Q8" s="14">
        <f t="shared" si="9"/>
        <v>2565588.076855395</v>
      </c>
      <c r="R8" s="14">
        <f t="shared" si="10"/>
        <v>-4843337.7300510947</v>
      </c>
      <c r="S8" s="14">
        <f t="shared" si="11"/>
        <v>-4261621.5265357569</v>
      </c>
      <c r="T8" s="14">
        <f>IFERROR(VLOOKUP(A8,Prêmio!$A$2:$C$48,3,FALSE),0)</f>
        <v>6027.3418190425382</v>
      </c>
      <c r="U8" s="14" t="str">
        <f t="shared" si="12"/>
        <v/>
      </c>
      <c r="V8" s="14" t="str">
        <f t="shared" si="13"/>
        <v/>
      </c>
      <c r="W8" s="14">
        <f t="shared" si="14"/>
        <v>-164222.62535807493</v>
      </c>
      <c r="X8" s="14">
        <f>Y8+S8+C8</f>
        <v>-3262577.3318938492</v>
      </c>
      <c r="Y8" s="47">
        <f t="shared" si="15"/>
        <v>-164222.62535807493</v>
      </c>
      <c r="Z8" s="81">
        <f>IF(P8&lt;0,IF(C8+Y8&gt;-P8,P8,-C8-Y8),0)</f>
        <v>-999044.19464190793</v>
      </c>
      <c r="AA8" s="81">
        <f>IF(Q8&lt;0,IF(C8+Z8+Y8&gt;-Q8,Q8,-C8-Z8-Y8),0)</f>
        <v>0</v>
      </c>
      <c r="AB8" s="81">
        <f>IF(R8&lt;0,IF(C8+Z8+AA8+Y8&gt;-R8,R8,-C8-Z8-AA8-Y8),0)</f>
        <v>2.9103830456733704E-11</v>
      </c>
      <c r="AC8" s="81">
        <f>C8+Y8+Z8+AB8+AA8</f>
        <v>2.9103830456733704E-11</v>
      </c>
      <c r="AD8" s="81">
        <f t="shared" si="0"/>
        <v>-999044.19464190793</v>
      </c>
      <c r="AE8" s="81">
        <f t="shared" si="1"/>
        <v>0</v>
      </c>
      <c r="AF8" s="81">
        <f t="shared" si="2"/>
        <v>2.9103830456733704E-11</v>
      </c>
      <c r="AG8" s="81">
        <f t="shared" si="3"/>
        <v>-984827.67869815021</v>
      </c>
      <c r="AH8" s="81">
        <f t="shared" si="4"/>
        <v>2565588.076855395</v>
      </c>
      <c r="AI8" s="81">
        <f t="shared" si="5"/>
        <v>-4843337.7300510947</v>
      </c>
      <c r="AO8" s="27">
        <f t="shared" si="6"/>
        <v>999044.19464190793</v>
      </c>
      <c r="AQ8" s="13"/>
      <c r="AR8" s="27"/>
    </row>
    <row r="9" spans="1:44">
      <c r="A9" s="2" t="s">
        <v>75</v>
      </c>
      <c r="B9" s="45">
        <v>31</v>
      </c>
      <c r="C9" s="43">
        <v>1011611.62</v>
      </c>
      <c r="D9" s="14">
        <f>IFERROR(VLOOKUP(A9,Exposição!$A$2:$M$48,13,FALSE),0)</f>
        <v>-8898865.2726145778</v>
      </c>
      <c r="E9" s="14">
        <f>IFERROR(VLOOKUP(A9,CCEAR_D!$A$2:$J$48,10,FALSE),0)</f>
        <v>-3710985.3306289068</v>
      </c>
      <c r="F9" s="14">
        <f>IFERROR(VLOOKUP(A9,'RH Cotas'!$A$2:$C$48,2,FALSE),0)+IFERROR(VLOOKUP(A9,'Efeito RH do ACR'!$A$2:$D$48,3,FALSE),0)</f>
        <v>-1152355.99</v>
      </c>
      <c r="G9" s="14">
        <f>IFERROR(VLOOKUP(A9,'RH Itaipu'!$A$2:$B$48,2,FALSE),0)</f>
        <v>0</v>
      </c>
      <c r="H9" s="14">
        <f>IFERROR(VLOOKUP(A9,ESS_SE!$A$3:$B$51,2,FALSE),0)</f>
        <v>-390625.24</v>
      </c>
      <c r="I9" s="14">
        <f>IFERROR(VLOOKUP(A9,'ESS ME'!$A$3:$C$49,3,FALSE),0)</f>
        <v>-10797.67</v>
      </c>
      <c r="J9" s="14">
        <f>IFERROR(VLOOKUP(A9,CONER!$A$2:$B$48,2,FALSE),0)</f>
        <v>0</v>
      </c>
      <c r="K9" s="14">
        <f t="shared" si="7"/>
        <v>-14163629.503243485</v>
      </c>
      <c r="L9" s="14">
        <f>IFERROR(VLOOKUP($A9,'CustoLiqNaoCobertoMesN-1'!$A$3:$F$101,L$2,FALSE),0)</f>
        <v>-12396572.791362647</v>
      </c>
      <c r="M9" s="14">
        <f>IFERROR(VLOOKUP($A9,'CustoLiqNaoCobertoMesN-1'!$A$3:$F$101,M$2,FALSE),0)</f>
        <v>-3024922.3358007502</v>
      </c>
      <c r="N9" s="14">
        <f>IFERROR(VLOOKUP($A9,'CustoLiqNaoCobertoMesN-1'!$A$3:$F$101,N$2,FALSE),0)</f>
        <v>-9370475.0192557052</v>
      </c>
      <c r="O9" s="14">
        <f>IFERROR(VLOOKUP($A9,'CustoLiqNaoCobertoMesN-1'!$A$3:$F$101,O$2,FALSE),0)</f>
        <v>-24791970.1464191</v>
      </c>
      <c r="P9" s="14">
        <f t="shared" ref="P9" si="16">L9+SUM(E9:G9)</f>
        <v>-17259914.111991554</v>
      </c>
      <c r="Q9" s="14">
        <f t="shared" ref="Q9" si="17">M9+SUM(H9:J9)</f>
        <v>-3426345.2458007503</v>
      </c>
      <c r="R9" s="14">
        <f t="shared" ref="R9" si="18">N9+D9</f>
        <v>-18269340.291870281</v>
      </c>
      <c r="S9" s="14">
        <f t="shared" ref="S9" si="19">K9+O9</f>
        <v>-38955599.649662584</v>
      </c>
      <c r="T9" s="14">
        <f>IFERROR(VLOOKUP(A9,Prêmio!$A$2:$C$48,3,FALSE),0)</f>
        <v>7096.7778228582974</v>
      </c>
      <c r="U9" s="14" t="str">
        <f t="shared" si="12"/>
        <v/>
      </c>
      <c r="V9" s="14" t="str">
        <f t="shared" si="13"/>
        <v/>
      </c>
      <c r="W9" s="14">
        <f t="shared" si="14"/>
        <v>8072679.5363159347</v>
      </c>
      <c r="X9" s="14">
        <f>Y9+S9+C9</f>
        <v>-29871308.49334665</v>
      </c>
      <c r="Y9" s="47">
        <f t="shared" si="15"/>
        <v>8072679.5363159347</v>
      </c>
      <c r="Z9" s="81">
        <f>IF(P9&lt;0,IF(C9+Y9&gt;-P9,P9,-C9-Y9),0)</f>
        <v>-9084291.1563159339</v>
      </c>
      <c r="AA9" s="81">
        <f>IF(Q9&lt;0,IF(C9+Z9+Y9&gt;-Q9,Q9,-C9-Z9-Y9),0)</f>
        <v>-9.3132257461547852E-10</v>
      </c>
      <c r="AB9" s="81">
        <f>IF(R9&lt;0,IF(C9+Z9+AA9+Y9&gt;-R9,R9,-C9-Z9-AA9-Y9),0)</f>
        <v>0</v>
      </c>
      <c r="AC9" s="81">
        <f>C9+Y9+Z9+AB9+AA9</f>
        <v>-9.3132257461547852E-10</v>
      </c>
      <c r="AD9" s="81">
        <f t="shared" si="0"/>
        <v>-9084291.1563159339</v>
      </c>
      <c r="AE9" s="81">
        <f t="shared" si="1"/>
        <v>-9.3132257461547852E-10</v>
      </c>
      <c r="AF9" s="81">
        <f t="shared" si="2"/>
        <v>0</v>
      </c>
      <c r="AG9" s="81">
        <f t="shared" si="3"/>
        <v>-8175622.9556756206</v>
      </c>
      <c r="AH9" s="81">
        <f t="shared" si="4"/>
        <v>-3426345.2458007494</v>
      </c>
      <c r="AI9" s="81">
        <f t="shared" si="5"/>
        <v>-18269340.291870281</v>
      </c>
      <c r="AO9" s="27">
        <f t="shared" si="6"/>
        <v>9084291.1563159339</v>
      </c>
      <c r="AQ9" s="13"/>
      <c r="AR9" s="27"/>
    </row>
    <row r="10" spans="1:44">
      <c r="A10" s="2" t="s">
        <v>14</v>
      </c>
      <c r="B10" s="45">
        <v>44</v>
      </c>
      <c r="C10" s="43">
        <v>4589576.3100000005</v>
      </c>
      <c r="D10" s="14">
        <f>IFERROR(VLOOKUP(A10,Exposição!$A$2:$M$48,13,FALSE),0)</f>
        <v>-9363599.0282077938</v>
      </c>
      <c r="E10" s="14">
        <f>IFERROR(VLOOKUP(A10,CCEAR_D!$A$2:$J$48,10,FALSE),0)</f>
        <v>-9035811.460775381</v>
      </c>
      <c r="F10" s="14">
        <f>IFERROR(VLOOKUP(A10,'RH Cotas'!$A$2:$C$48,2,FALSE),0)+IFERROR(VLOOKUP(A10,'Efeito RH do ACR'!$A$2:$D$48,3,FALSE),0)</f>
        <v>-3789822.41</v>
      </c>
      <c r="G10" s="14">
        <f>IFERROR(VLOOKUP(A10,'RH Itaipu'!$A$2:$B$48,2,FALSE),0)</f>
        <v>0</v>
      </c>
      <c r="H10" s="14">
        <f>IFERROR(VLOOKUP(A10,ESS_SE!$A$3:$B$51,2,FALSE),0)</f>
        <v>-973032.74</v>
      </c>
      <c r="I10" s="14">
        <f>IFERROR(VLOOKUP(A10,'ESS ME'!$A$3:$C$49,3,FALSE),0)</f>
        <v>-36603.699999999997</v>
      </c>
      <c r="J10" s="14">
        <f>IFERROR(VLOOKUP(A10,CONER!$A$2:$B$48,2,FALSE),0)</f>
        <v>9272686.2715067919</v>
      </c>
      <c r="K10" s="14">
        <f t="shared" si="7"/>
        <v>-13926183.067476382</v>
      </c>
      <c r="L10" s="14">
        <f>IFERROR(VLOOKUP($A10,'CustoLiqNaoCobertoMesN-1'!$A$3:$F$101,L$2,FALSE),0)</f>
        <v>-23478900.970244315</v>
      </c>
      <c r="M10" s="14">
        <f>IFERROR(VLOOKUP($A10,'CustoLiqNaoCobertoMesN-1'!$A$3:$F$101,M$2,FALSE),0)</f>
        <v>-538220.55698638409</v>
      </c>
      <c r="N10" s="14">
        <f>IFERROR(VLOOKUP($A10,'CustoLiqNaoCobertoMesN-1'!$A$3:$F$101,N$2,FALSE),0)</f>
        <v>-3916178.109682675</v>
      </c>
      <c r="O10" s="14">
        <f>IFERROR(VLOOKUP($A10,'CustoLiqNaoCobertoMesN-1'!$A$3:$F$101,O$2,FALSE),0)</f>
        <v>-27933299.636913374</v>
      </c>
      <c r="P10" s="14">
        <f t="shared" si="8"/>
        <v>-36304534.841019697</v>
      </c>
      <c r="Q10" s="14">
        <f t="shared" si="9"/>
        <v>7724829.2745204084</v>
      </c>
      <c r="R10" s="14">
        <f t="shared" si="10"/>
        <v>-13279777.137890469</v>
      </c>
      <c r="S10" s="14">
        <f t="shared" si="11"/>
        <v>-41859482.704389758</v>
      </c>
      <c r="T10" s="14">
        <f>IFERROR(VLOOKUP(A10,Prêmio!$A$2:$C$48,3,FALSE),0)</f>
        <v>23890.576815464239</v>
      </c>
      <c r="U10" s="14" t="str">
        <f t="shared" si="12"/>
        <v/>
      </c>
      <c r="V10" s="14" t="str">
        <f t="shared" si="13"/>
        <v/>
      </c>
      <c r="W10" s="14">
        <f t="shared" si="14"/>
        <v>5188153.6251631668</v>
      </c>
      <c r="X10" s="14">
        <f t="shared" ref="X10:X41" si="20">Y10+S10+C10</f>
        <v>-32081752.769226588</v>
      </c>
      <c r="Y10" s="47">
        <f t="shared" si="15"/>
        <v>5188153.6251631668</v>
      </c>
      <c r="Z10" s="81">
        <f t="shared" ref="Z10:Z41" si="21">IF(P10&lt;0,IF(C10+Y10&gt;-P10,P10,-C10-Y10),0)</f>
        <v>-9777729.9351631664</v>
      </c>
      <c r="AA10" s="81">
        <f t="shared" ref="AA10:AA41" si="22">IF(Q10&lt;0,IF(C10+Z10+Y10&gt;-Q10,Q10,-C10-Z10-Y10),0)</f>
        <v>0</v>
      </c>
      <c r="AB10" s="81">
        <f t="shared" ref="AB10:AB41" si="23">IF(R10&lt;0,IF(C10+Z10+AA10+Y10&gt;-R10,R10,-C10-Z10-AA10-Y10),0)</f>
        <v>-9.3132257461547852E-10</v>
      </c>
      <c r="AC10" s="81">
        <f t="shared" ref="AC10:AC41" si="24">C10+Y10+Z10+AB10+AA10</f>
        <v>-9.3132257461547852E-10</v>
      </c>
      <c r="AD10" s="81">
        <f t="shared" si="0"/>
        <v>-9777729.9351631664</v>
      </c>
      <c r="AE10" s="81">
        <f t="shared" si="1"/>
        <v>0</v>
      </c>
      <c r="AF10" s="81">
        <f t="shared" si="2"/>
        <v>-9.3132257461547852E-10</v>
      </c>
      <c r="AG10" s="81">
        <f t="shared" si="3"/>
        <v>-26526804.905856531</v>
      </c>
      <c r="AH10" s="81">
        <f t="shared" si="4"/>
        <v>7724829.2745204084</v>
      </c>
      <c r="AI10" s="81">
        <f t="shared" si="5"/>
        <v>-13279777.137890469</v>
      </c>
      <c r="AO10" s="27">
        <f>C10+W10</f>
        <v>9777729.9351631664</v>
      </c>
      <c r="AQ10" s="13"/>
      <c r="AR10" s="27"/>
    </row>
    <row r="11" spans="1:44">
      <c r="A11" s="2" t="s">
        <v>37</v>
      </c>
      <c r="B11" s="45">
        <v>5160</v>
      </c>
      <c r="C11" s="43">
        <v>4041038.2</v>
      </c>
      <c r="D11" s="14">
        <f>IFERROR(VLOOKUP(A11,Exposição!$A$2:$M$48,13,FALSE),0)</f>
        <v>5928441.7665451216</v>
      </c>
      <c r="E11" s="14">
        <f>IFERROR(VLOOKUP(A11,CCEAR_D!$A$2:$J$48,10,FALSE),0)</f>
        <v>-4082598.7307961411</v>
      </c>
      <c r="F11" s="14">
        <f>IFERROR(VLOOKUP(A11,'RH Cotas'!$A$2:$C$48,2,FALSE),0)+IFERROR(VLOOKUP(A11,'Efeito RH do ACR'!$A$2:$D$48,3,FALSE),0)</f>
        <v>-4329510.0999999996</v>
      </c>
      <c r="G11" s="14">
        <f>IFERROR(VLOOKUP(A11,'RH Itaipu'!$A$2:$B$48,2,FALSE),0)</f>
        <v>1265301.95</v>
      </c>
      <c r="H11" s="14">
        <f>IFERROR(VLOOKUP(A11,ESS_SE!$A$3:$B$51,2,FALSE),0)</f>
        <v>-1550402.01</v>
      </c>
      <c r="I11" s="14">
        <f>IFERROR(VLOOKUP(A11,'ESS ME'!$A$3:$C$49,3,FALSE),0)</f>
        <v>-54499.32</v>
      </c>
      <c r="J11" s="14">
        <f>IFERROR(VLOOKUP(A11,CONER!$A$2:$B$48,2,FALSE),0)</f>
        <v>15232764.069707889</v>
      </c>
      <c r="K11" s="14">
        <f t="shared" si="7"/>
        <v>12409497.62545687</v>
      </c>
      <c r="L11" s="14">
        <f>IFERROR(VLOOKUP($A11,'CustoLiqNaoCobertoMesN-1'!$A$3:$F$101,L$2,FALSE),0)</f>
        <v>-39547584.815718897</v>
      </c>
      <c r="M11" s="14">
        <f>IFERROR(VLOOKUP($A11,'CustoLiqNaoCobertoMesN-1'!$A$3:$F$101,M$2,FALSE),0)</f>
        <v>2881597.8594157789</v>
      </c>
      <c r="N11" s="14">
        <f>IFERROR(VLOOKUP($A11,'CustoLiqNaoCobertoMesN-1'!$A$3:$F$101,N$2,FALSE),0)</f>
        <v>-23096905.365920927</v>
      </c>
      <c r="O11" s="14">
        <f>IFERROR(VLOOKUP($A11,'CustoLiqNaoCobertoMesN-1'!$A$3:$F$101,O$2,FALSE),0)</f>
        <v>-59762892.322224051</v>
      </c>
      <c r="P11" s="14">
        <f t="shared" si="8"/>
        <v>-46694391.696515039</v>
      </c>
      <c r="Q11" s="14">
        <f t="shared" si="9"/>
        <v>16509460.599123668</v>
      </c>
      <c r="R11" s="14">
        <f t="shared" si="10"/>
        <v>-17168463.599375807</v>
      </c>
      <c r="S11" s="14">
        <f t="shared" si="11"/>
        <v>-47353394.696767181</v>
      </c>
      <c r="T11" s="14">
        <f>IFERROR(VLOOKUP(A11,Prêmio!$A$2:$C$48,3,FALSE),0)</f>
        <v>31438.383785854381</v>
      </c>
      <c r="U11" s="14" t="str">
        <f t="shared" si="12"/>
        <v/>
      </c>
      <c r="V11" s="14" t="str">
        <f t="shared" si="13"/>
        <v/>
      </c>
      <c r="W11" s="14">
        <f t="shared" si="14"/>
        <v>7024397.1446767356</v>
      </c>
      <c r="X11" s="14">
        <f t="shared" si="20"/>
        <v>-36287959.352090441</v>
      </c>
      <c r="Y11" s="47">
        <f t="shared" si="15"/>
        <v>7024397.1446767356</v>
      </c>
      <c r="Z11" s="81">
        <f t="shared" si="21"/>
        <v>-11065435.344676737</v>
      </c>
      <c r="AA11" s="81">
        <f t="shared" si="22"/>
        <v>0</v>
      </c>
      <c r="AB11" s="81">
        <f t="shared" si="23"/>
        <v>9.3132257461547852E-10</v>
      </c>
      <c r="AC11" s="81">
        <f t="shared" si="24"/>
        <v>9.3132257461547852E-10</v>
      </c>
      <c r="AD11" s="81">
        <f t="shared" si="0"/>
        <v>-11065435.344676737</v>
      </c>
      <c r="AE11" s="81">
        <f t="shared" si="1"/>
        <v>0</v>
      </c>
      <c r="AF11" s="81">
        <f t="shared" si="2"/>
        <v>9.3132257461547852E-10</v>
      </c>
      <c r="AG11" s="81">
        <f t="shared" si="3"/>
        <v>-35628956.351838306</v>
      </c>
      <c r="AH11" s="81">
        <f t="shared" si="4"/>
        <v>16509460.599123668</v>
      </c>
      <c r="AI11" s="81">
        <f t="shared" si="5"/>
        <v>-17168463.599375807</v>
      </c>
      <c r="AO11" s="27">
        <f t="shared" si="6"/>
        <v>11065435.344676737</v>
      </c>
      <c r="AQ11" s="13"/>
      <c r="AR11" s="27"/>
    </row>
    <row r="12" spans="1:44">
      <c r="A12" s="2" t="s">
        <v>39</v>
      </c>
      <c r="B12" s="45">
        <v>5707</v>
      </c>
      <c r="C12" s="43">
        <v>6531211.54</v>
      </c>
      <c r="D12" s="14">
        <f>IFERROR(VLOOKUP(A12,Exposição!$A$2:$M$48,13,FALSE),0)</f>
        <v>-3043314.3722858517</v>
      </c>
      <c r="E12" s="14">
        <f>IFERROR(VLOOKUP(A12,CCEAR_D!$A$2:$J$48,10,FALSE),0)</f>
        <v>-4471538.4651670801</v>
      </c>
      <c r="F12" s="14">
        <f>IFERROR(VLOOKUP(A12,'RH Cotas'!$A$2:$C$48,2,FALSE),0)+IFERROR(VLOOKUP(A12,'Efeito RH do ACR'!$A$2:$D$48,3,FALSE),0)</f>
        <v>-6303597.3700000001</v>
      </c>
      <c r="G12" s="14">
        <f>IFERROR(VLOOKUP(A12,'RH Itaipu'!$A$2:$B$48,2,FALSE),0)</f>
        <v>1737168.06</v>
      </c>
      <c r="H12" s="14">
        <f>IFERROR(VLOOKUP(A12,ESS_SE!$A$3:$B$51,2,FALSE),0)</f>
        <v>-1884487.53</v>
      </c>
      <c r="I12" s="14">
        <f>IFERROR(VLOOKUP(A12,'ESS ME'!$A$3:$C$49,3,FALSE),0)</f>
        <v>-69732.66</v>
      </c>
      <c r="J12" s="14">
        <f>IFERROR(VLOOKUP(A12,CONER!$A$2:$B$48,2,FALSE),0)</f>
        <v>19847271.088193104</v>
      </c>
      <c r="K12" s="14">
        <f t="shared" si="7"/>
        <v>5811768.7507401742</v>
      </c>
      <c r="L12" s="14">
        <f>IFERROR(VLOOKUP($A12,'CustoLiqNaoCobertoMesN-1'!$A$3:$F$101,L$2,FALSE),0)</f>
        <v>-43225115.905387267</v>
      </c>
      <c r="M12" s="14">
        <f>IFERROR(VLOOKUP($A12,'CustoLiqNaoCobertoMesN-1'!$A$3:$F$101,M$2,FALSE),0)</f>
        <v>5979001.0063862037</v>
      </c>
      <c r="N12" s="14">
        <f>IFERROR(VLOOKUP($A12,'CustoLiqNaoCobertoMesN-1'!$A$3:$F$101,N$2,FALSE),0)</f>
        <v>-3350436.7192091499</v>
      </c>
      <c r="O12" s="14">
        <f>IFERROR(VLOOKUP($A12,'CustoLiqNaoCobertoMesN-1'!$A$3:$F$101,O$2,FALSE),0)</f>
        <v>-40596551.618210211</v>
      </c>
      <c r="P12" s="14">
        <f t="shared" si="8"/>
        <v>-52263083.680554345</v>
      </c>
      <c r="Q12" s="14">
        <f t="shared" si="9"/>
        <v>23872051.904579304</v>
      </c>
      <c r="R12" s="14">
        <f t="shared" si="10"/>
        <v>-6393751.0914950017</v>
      </c>
      <c r="S12" s="14">
        <f t="shared" si="11"/>
        <v>-34784782.867470041</v>
      </c>
      <c r="T12" s="14">
        <f>IFERROR(VLOOKUP(A12,Prêmio!$A$2:$C$48,3,FALSE),0)</f>
        <v>42810.075771056756</v>
      </c>
      <c r="U12" s="14" t="str">
        <f t="shared" si="12"/>
        <v/>
      </c>
      <c r="V12" s="14" t="str">
        <f t="shared" si="13"/>
        <v/>
      </c>
      <c r="W12" s="14">
        <f t="shared" si="14"/>
        <v>1616934.824810473</v>
      </c>
      <c r="X12" s="14">
        <f t="shared" si="20"/>
        <v>-26636636.50265957</v>
      </c>
      <c r="Y12" s="47">
        <f t="shared" si="15"/>
        <v>1616934.824810473</v>
      </c>
      <c r="Z12" s="81">
        <f t="shared" si="21"/>
        <v>-8148146.3648104733</v>
      </c>
      <c r="AA12" s="81">
        <f t="shared" si="22"/>
        <v>0</v>
      </c>
      <c r="AB12" s="81">
        <f t="shared" si="23"/>
        <v>2.3283064365386963E-10</v>
      </c>
      <c r="AC12" s="81">
        <f t="shared" si="24"/>
        <v>2.3283064365386963E-10</v>
      </c>
      <c r="AD12" s="81">
        <f t="shared" si="0"/>
        <v>-8148146.3648104733</v>
      </c>
      <c r="AE12" s="81">
        <f t="shared" si="1"/>
        <v>0</v>
      </c>
      <c r="AF12" s="81">
        <f t="shared" si="2"/>
        <v>2.3283064365386963E-10</v>
      </c>
      <c r="AG12" s="81">
        <f t="shared" si="3"/>
        <v>-44114937.315743871</v>
      </c>
      <c r="AH12" s="81">
        <f t="shared" si="4"/>
        <v>23872051.904579304</v>
      </c>
      <c r="AI12" s="81">
        <f t="shared" si="5"/>
        <v>-6393751.0914950017</v>
      </c>
      <c r="AO12" s="27">
        <f t="shared" si="6"/>
        <v>8148146.3648104733</v>
      </c>
      <c r="AQ12" s="13"/>
      <c r="AR12" s="27"/>
    </row>
    <row r="13" spans="1:44">
      <c r="A13" s="2" t="s">
        <v>40</v>
      </c>
      <c r="B13" s="45">
        <v>5697</v>
      </c>
      <c r="C13" s="43">
        <v>11531680.909999998</v>
      </c>
      <c r="D13" s="14">
        <f>IFERROR(VLOOKUP(A13,Exposição!$A$2:$M$48,13,FALSE),0)</f>
        <v>-10055804.137433346</v>
      </c>
      <c r="E13" s="14">
        <f>IFERROR(VLOOKUP(A13,CCEAR_D!$A$2:$J$48,10,FALSE),0)</f>
        <v>-18644918.929510135</v>
      </c>
      <c r="F13" s="14">
        <f>IFERROR(VLOOKUP(A13,'RH Cotas'!$A$2:$C$48,2,FALSE),0)+IFERROR(VLOOKUP(A13,'Efeito RH do ACR'!$A$2:$D$48,3,FALSE),0)</f>
        <v>-8082330.1799999997</v>
      </c>
      <c r="G13" s="14">
        <f>IFERROR(VLOOKUP(A13,'RH Itaipu'!$A$2:$B$48,2,FALSE),0)</f>
        <v>3343779.82</v>
      </c>
      <c r="H13" s="14">
        <f>IFERROR(VLOOKUP(A13,ESS_SE!$A$3:$B$51,2,FALSE),0)</f>
        <v>-3676944.29</v>
      </c>
      <c r="I13" s="14">
        <f>IFERROR(VLOOKUP(A13,'ESS ME'!$A$3:$C$49,3,FALSE),0)</f>
        <v>-152187.57</v>
      </c>
      <c r="J13" s="14">
        <f>IFERROR(VLOOKUP(A13,CONER!$A$2:$B$48,2,FALSE),0)</f>
        <v>41078766.848494202</v>
      </c>
      <c r="K13" s="14">
        <f t="shared" si="7"/>
        <v>3810361.5615507215</v>
      </c>
      <c r="L13" s="14">
        <f>IFERROR(VLOOKUP($A13,'CustoLiqNaoCobertoMesN-1'!$A$3:$F$101,L$2,FALSE),0)</f>
        <v>6598025.866567147</v>
      </c>
      <c r="M13" s="14">
        <f>IFERROR(VLOOKUP($A13,'CustoLiqNaoCobertoMesN-1'!$A$3:$F$101,M$2,FALSE),0)</f>
        <v>4728558.3814143017</v>
      </c>
      <c r="N13" s="14">
        <f>IFERROR(VLOOKUP($A13,'CustoLiqNaoCobertoMesN-1'!$A$3:$F$101,N$2,FALSE),0)</f>
        <v>-57125173.79056634</v>
      </c>
      <c r="O13" s="14">
        <f>IFERROR(VLOOKUP($A13,'CustoLiqNaoCobertoMesN-1'!$A$3:$F$101,O$2,FALSE),0)</f>
        <v>-45798589.542584896</v>
      </c>
      <c r="P13" s="14">
        <f t="shared" si="8"/>
        <v>-16785443.422942989</v>
      </c>
      <c r="Q13" s="14">
        <f t="shared" si="9"/>
        <v>41978193.369908504</v>
      </c>
      <c r="R13" s="14">
        <f t="shared" si="10"/>
        <v>-67180977.92799969</v>
      </c>
      <c r="S13" s="14">
        <f t="shared" si="11"/>
        <v>-41988227.981034175</v>
      </c>
      <c r="T13" s="14">
        <f>IFERROR(VLOOKUP(A13,Prêmio!$A$2:$C$48,3,FALSE),0)</f>
        <v>88184.322601750537</v>
      </c>
      <c r="U13" s="14" t="str">
        <f t="shared" si="12"/>
        <v/>
      </c>
      <c r="V13" s="14" t="str">
        <f t="shared" si="13"/>
        <v/>
      </c>
      <c r="W13" s="14">
        <f t="shared" si="14"/>
        <v>-1659657.7960569803</v>
      </c>
      <c r="X13" s="14">
        <f t="shared" si="20"/>
        <v>-32116204.867091157</v>
      </c>
      <c r="Y13" s="47">
        <f t="shared" si="15"/>
        <v>-1659657.7960569803</v>
      </c>
      <c r="Z13" s="81">
        <f t="shared" si="21"/>
        <v>-9872023.113943018</v>
      </c>
      <c r="AA13" s="81">
        <f t="shared" si="22"/>
        <v>0</v>
      </c>
      <c r="AB13" s="81">
        <f t="shared" si="23"/>
        <v>0</v>
      </c>
      <c r="AC13" s="81">
        <f t="shared" si="24"/>
        <v>0</v>
      </c>
      <c r="AD13" s="81">
        <f t="shared" si="0"/>
        <v>-9872023.113943018</v>
      </c>
      <c r="AE13" s="81">
        <f t="shared" si="1"/>
        <v>0</v>
      </c>
      <c r="AF13" s="81">
        <f t="shared" si="2"/>
        <v>0</v>
      </c>
      <c r="AG13" s="81">
        <f t="shared" si="3"/>
        <v>-6913420.3089999706</v>
      </c>
      <c r="AH13" s="81">
        <f t="shared" si="4"/>
        <v>41978193.369908504</v>
      </c>
      <c r="AI13" s="81">
        <f t="shared" si="5"/>
        <v>-67180977.92799969</v>
      </c>
      <c r="AO13" s="27">
        <f t="shared" si="6"/>
        <v>9872023.113943018</v>
      </c>
      <c r="AQ13" s="13"/>
      <c r="AR13" s="27"/>
    </row>
    <row r="14" spans="1:44">
      <c r="A14" s="2" t="s">
        <v>16</v>
      </c>
      <c r="B14" s="45">
        <v>6072</v>
      </c>
      <c r="C14" s="43">
        <v>8137887.0299999993</v>
      </c>
      <c r="D14" s="14">
        <f>IFERROR(VLOOKUP(A14,Exposição!$A$2:$M$48,13,FALSE),0)</f>
        <v>184917.43227785372</v>
      </c>
      <c r="E14" s="14">
        <f>IFERROR(VLOOKUP(A14,CCEAR_D!$A$2:$J$48,10,FALSE),0)</f>
        <v>-11765836.634087965</v>
      </c>
      <c r="F14" s="14">
        <f>IFERROR(VLOOKUP(A14,'RH Cotas'!$A$2:$C$48,2,FALSE),0)+IFERROR(VLOOKUP(A14,'Efeito RH do ACR'!$A$2:$D$48,3,FALSE),0)</f>
        <v>-9250041.7300000004</v>
      </c>
      <c r="G14" s="14">
        <f>IFERROR(VLOOKUP(A14,'RH Itaipu'!$A$2:$B$48,2,FALSE),0)</f>
        <v>2241032.19</v>
      </c>
      <c r="H14" s="14">
        <f>IFERROR(VLOOKUP(A14,ESS_SE!$A$3:$B$51,2,FALSE),0)</f>
        <v>-2858271.2199999997</v>
      </c>
      <c r="I14" s="14">
        <f>IFERROR(VLOOKUP(A14,'ESS ME'!$A$3:$C$49,3,FALSE),0)</f>
        <v>-99832.89</v>
      </c>
      <c r="J14" s="14">
        <f>IFERROR(VLOOKUP(A14,CONER!$A$2:$B$48,2,FALSE),0)</f>
        <v>30073633.477886818</v>
      </c>
      <c r="K14" s="14">
        <f t="shared" si="7"/>
        <v>8525600.6260767095</v>
      </c>
      <c r="L14" s="14">
        <f>IFERROR(VLOOKUP($A14,'CustoLiqNaoCobertoMesN-1'!$A$3:$F$101,L$2,FALSE),0)</f>
        <v>-80476962.880909175</v>
      </c>
      <c r="M14" s="14">
        <f>IFERROR(VLOOKUP($A14,'CustoLiqNaoCobertoMesN-1'!$A$3:$F$101,M$2,FALSE),0)</f>
        <v>6949836.6957736313</v>
      </c>
      <c r="N14" s="14">
        <f>IFERROR(VLOOKUP($A14,'CustoLiqNaoCobertoMesN-1'!$A$3:$F$101,N$2,FALSE),0)</f>
        <v>-7671725.373485025</v>
      </c>
      <c r="O14" s="14">
        <f>IFERROR(VLOOKUP($A14,'CustoLiqNaoCobertoMesN-1'!$A$3:$F$101,O$2,FALSE),0)</f>
        <v>-81198851.558620572</v>
      </c>
      <c r="P14" s="14">
        <f t="shared" si="8"/>
        <v>-99251809.054997146</v>
      </c>
      <c r="Q14" s="14">
        <f t="shared" si="9"/>
        <v>34065366.06366045</v>
      </c>
      <c r="R14" s="14">
        <f t="shared" si="10"/>
        <v>-7486807.9412071714</v>
      </c>
      <c r="S14" s="14">
        <f t="shared" si="11"/>
        <v>-72673250.932543859</v>
      </c>
      <c r="T14" s="14">
        <f>IFERROR(VLOOKUP(A14,Prêmio!$A$2:$C$48,3,FALSE),0)</f>
        <v>58518.983767017657</v>
      </c>
      <c r="U14" s="14" t="str">
        <f t="shared" si="12"/>
        <v/>
      </c>
      <c r="V14" s="14" t="str">
        <f t="shared" si="13"/>
        <v/>
      </c>
      <c r="W14" s="14">
        <f t="shared" si="14"/>
        <v>8854506.1788918693</v>
      </c>
      <c r="X14" s="14">
        <f t="shared" si="20"/>
        <v>-55680857.72365199</v>
      </c>
      <c r="Y14" s="47">
        <f t="shared" si="15"/>
        <v>8854506.1788918693</v>
      </c>
      <c r="Z14" s="81">
        <f t="shared" si="21"/>
        <v>-16992393.208891869</v>
      </c>
      <c r="AA14" s="81">
        <f t="shared" si="22"/>
        <v>0</v>
      </c>
      <c r="AB14" s="81">
        <f t="shared" si="23"/>
        <v>0</v>
      </c>
      <c r="AC14" s="81">
        <f t="shared" si="24"/>
        <v>0</v>
      </c>
      <c r="AD14" s="81">
        <f t="shared" si="0"/>
        <v>-16992393.208891869</v>
      </c>
      <c r="AE14" s="81">
        <f t="shared" si="1"/>
        <v>0</v>
      </c>
      <c r="AF14" s="81">
        <f t="shared" si="2"/>
        <v>0</v>
      </c>
      <c r="AG14" s="81">
        <f t="shared" si="3"/>
        <v>-82259415.846105278</v>
      </c>
      <c r="AH14" s="81">
        <f t="shared" si="4"/>
        <v>34065366.06366045</v>
      </c>
      <c r="AI14" s="81">
        <f t="shared" si="5"/>
        <v>-7486807.9412071714</v>
      </c>
      <c r="AO14" s="27">
        <f t="shared" si="6"/>
        <v>16992393.208891869</v>
      </c>
      <c r="AQ14" s="13"/>
      <c r="AR14" s="27"/>
    </row>
    <row r="15" spans="1:44">
      <c r="A15" s="2" t="s">
        <v>28</v>
      </c>
      <c r="B15" s="45">
        <v>371</v>
      </c>
      <c r="C15" s="43">
        <v>6074766.0899999999</v>
      </c>
      <c r="D15" s="14">
        <f>IFERROR(VLOOKUP(A15,Exposição!$A$2:$M$48,13,FALSE),0)</f>
        <v>-15509721.718510214</v>
      </c>
      <c r="E15" s="14">
        <f>IFERROR(VLOOKUP(A15,CCEAR_D!$A$2:$J$48,10,FALSE),0)</f>
        <v>-6173327.6189085133</v>
      </c>
      <c r="F15" s="14">
        <f>IFERROR(VLOOKUP(A15,'RH Cotas'!$A$2:$C$48,2,FALSE),0)+IFERROR(VLOOKUP(A15,'Efeito RH do ACR'!$A$2:$D$48,3,FALSE),0)</f>
        <v>-7986428.5700000003</v>
      </c>
      <c r="G15" s="14">
        <f>IFERROR(VLOOKUP(A15,'RH Itaipu'!$A$2:$B$48,2,FALSE),0)</f>
        <v>0</v>
      </c>
      <c r="H15" s="14">
        <f>IFERROR(VLOOKUP(A15,ESS_SE!$A$3:$B$51,2,FALSE),0)</f>
        <v>-2261717.27</v>
      </c>
      <c r="I15" s="14">
        <f>IFERROR(VLOOKUP(A15,'ESS ME'!$A$3:$C$49,3,FALSE),0)</f>
        <v>-69022.179999999993</v>
      </c>
      <c r="J15" s="14">
        <f>IFERROR(VLOOKUP(A15,CONER!$A$2:$B$48,2,FALSE),0)</f>
        <v>21737009.085742831</v>
      </c>
      <c r="K15" s="14">
        <f t="shared" si="7"/>
        <v>-10263208.271675896</v>
      </c>
      <c r="L15" s="14">
        <f>IFERROR(VLOOKUP($A15,'CustoLiqNaoCobertoMesN-1'!$A$3:$F$101,L$2,FALSE),0)</f>
        <v>-34084343.126653388</v>
      </c>
      <c r="M15" s="14">
        <f>IFERROR(VLOOKUP($A15,'CustoLiqNaoCobertoMesN-1'!$A$3:$F$101,M$2,FALSE),0)</f>
        <v>-3645533.114166351</v>
      </c>
      <c r="N15" s="14">
        <f>IFERROR(VLOOKUP($A15,'CustoLiqNaoCobertoMesN-1'!$A$3:$F$101,N$2,FALSE),0)</f>
        <v>-29636954.539384164</v>
      </c>
      <c r="O15" s="14">
        <f>IFERROR(VLOOKUP($A15,'CustoLiqNaoCobertoMesN-1'!$A$3:$F$101,O$2,FALSE),0)</f>
        <v>-67366830.780203909</v>
      </c>
      <c r="P15" s="14">
        <f t="shared" si="8"/>
        <v>-48244099.315561906</v>
      </c>
      <c r="Q15" s="14">
        <f t="shared" si="9"/>
        <v>15760736.521576481</v>
      </c>
      <c r="R15" s="14">
        <f t="shared" si="10"/>
        <v>-45146676.257894382</v>
      </c>
      <c r="S15" s="14">
        <f t="shared" si="11"/>
        <v>-77630039.051879808</v>
      </c>
      <c r="T15" s="14">
        <f>IFERROR(VLOOKUP(A15,Prêmio!$A$2:$C$48,3,FALSE),0)</f>
        <v>44644.159909549933</v>
      </c>
      <c r="U15" s="14" t="str">
        <f t="shared" si="12"/>
        <v/>
      </c>
      <c r="V15" s="14" t="str">
        <f t="shared" si="13"/>
        <v/>
      </c>
      <c r="W15" s="14">
        <f t="shared" si="14"/>
        <v>12058752.594268844</v>
      </c>
      <c r="X15" s="14">
        <f t="shared" si="20"/>
        <v>-59496520.367610961</v>
      </c>
      <c r="Y15" s="47">
        <f t="shared" si="15"/>
        <v>12058752.594268844</v>
      </c>
      <c r="Z15" s="81">
        <f t="shared" si="21"/>
        <v>-18133518.684268843</v>
      </c>
      <c r="AA15" s="81">
        <f t="shared" si="22"/>
        <v>0</v>
      </c>
      <c r="AB15" s="81">
        <f t="shared" si="23"/>
        <v>0</v>
      </c>
      <c r="AC15" s="81">
        <f t="shared" si="24"/>
        <v>0</v>
      </c>
      <c r="AD15" s="81">
        <f t="shared" si="0"/>
        <v>-18133518.684268843</v>
      </c>
      <c r="AE15" s="81">
        <f t="shared" si="1"/>
        <v>0</v>
      </c>
      <c r="AF15" s="81">
        <f t="shared" si="2"/>
        <v>0</v>
      </c>
      <c r="AG15" s="81">
        <f t="shared" si="3"/>
        <v>-30110580.631293062</v>
      </c>
      <c r="AH15" s="81">
        <f t="shared" si="4"/>
        <v>15760736.521576481</v>
      </c>
      <c r="AI15" s="81">
        <f t="shared" si="5"/>
        <v>-45146676.257894382</v>
      </c>
      <c r="AO15" s="27">
        <f t="shared" si="6"/>
        <v>18133518.684268843</v>
      </c>
      <c r="AQ15" s="13"/>
      <c r="AR15" s="27"/>
    </row>
    <row r="16" spans="1:44">
      <c r="A16" s="2" t="s">
        <v>17</v>
      </c>
      <c r="B16" s="45">
        <v>43</v>
      </c>
      <c r="C16" s="43">
        <v>10968287.940000001</v>
      </c>
      <c r="D16" s="14">
        <f>IFERROR(VLOOKUP(A16,Exposição!$A$2:$M$48,13,FALSE),0)</f>
        <v>-10328325.544353606</v>
      </c>
      <c r="E16" s="14">
        <f>IFERROR(VLOOKUP(A16,CCEAR_D!$A$2:$J$48,10,FALSE),0)</f>
        <v>-8929372.5207090024</v>
      </c>
      <c r="F16" s="14">
        <f>IFERROR(VLOOKUP(A16,'RH Cotas'!$A$2:$C$48,2,FALSE),0)+IFERROR(VLOOKUP(A16,'Efeito RH do ACR'!$A$2:$D$48,3,FALSE),0)</f>
        <v>-9067828.2899999991</v>
      </c>
      <c r="G16" s="14">
        <f>IFERROR(VLOOKUP(A16,'RH Itaipu'!$A$2:$B$48,2,FALSE),0)</f>
        <v>0</v>
      </c>
      <c r="H16" s="14">
        <f>IFERROR(VLOOKUP(A16,ESS_SE!$A$3:$B$51,2,FALSE),0)</f>
        <v>-2873175.66</v>
      </c>
      <c r="I16" s="14">
        <f>IFERROR(VLOOKUP(A16,'ESS ME'!$A$3:$C$49,3,FALSE),0)</f>
        <v>-104946.44</v>
      </c>
      <c r="J16" s="14">
        <f>IFERROR(VLOOKUP(A16,CONER!$A$2:$B$48,2,FALSE),0)</f>
        <v>29677865.342003778</v>
      </c>
      <c r="K16" s="14">
        <f t="shared" si="7"/>
        <v>-1625783.1130588315</v>
      </c>
      <c r="L16" s="14">
        <f>IFERROR(VLOOKUP($A16,'CustoLiqNaoCobertoMesN-1'!$A$3:$F$101,L$2,FALSE),0)</f>
        <v>-2583878.1358253211</v>
      </c>
      <c r="M16" s="14">
        <f>IFERROR(VLOOKUP($A16,'CustoLiqNaoCobertoMesN-1'!$A$3:$F$101,M$2,FALSE),0)</f>
        <v>12716240.236849938</v>
      </c>
      <c r="N16" s="14">
        <f>IFERROR(VLOOKUP($A16,'CustoLiqNaoCobertoMesN-1'!$A$3:$F$101,N$2,FALSE),0)</f>
        <v>-2072601.3821130246</v>
      </c>
      <c r="O16" s="14">
        <f>IFERROR(VLOOKUP($A16,'CustoLiqNaoCobertoMesN-1'!$A$3:$F$101,O$2,FALSE),0)</f>
        <v>8059760.7189115919</v>
      </c>
      <c r="P16" s="14">
        <f t="shared" si="8"/>
        <v>-20581078.946534321</v>
      </c>
      <c r="Q16" s="14">
        <f t="shared" si="9"/>
        <v>39415983.478853717</v>
      </c>
      <c r="R16" s="14">
        <f t="shared" si="10"/>
        <v>-12400926.926466631</v>
      </c>
      <c r="S16" s="14">
        <f t="shared" si="11"/>
        <v>6433977.6058527604</v>
      </c>
      <c r="T16" s="14">
        <f>IFERROR(VLOOKUP(A16,Prêmio!$A$2:$C$48,3,FALSE),0)</f>
        <v>67047.286983858168</v>
      </c>
      <c r="U16" s="14" t="str">
        <f t="shared" si="12"/>
        <v/>
      </c>
      <c r="V16" s="14" t="str">
        <f t="shared" si="13"/>
        <v/>
      </c>
      <c r="W16" s="14">
        <f t="shared" si="14"/>
        <v>-10901240.653016143</v>
      </c>
      <c r="X16" s="14">
        <f t="shared" si="20"/>
        <v>6501024.8928366192</v>
      </c>
      <c r="Y16" s="47">
        <f t="shared" si="15"/>
        <v>-10901240.653016143</v>
      </c>
      <c r="Z16" s="81">
        <f t="shared" si="21"/>
        <v>-67047.286983858794</v>
      </c>
      <c r="AA16" s="81">
        <f t="shared" si="22"/>
        <v>0</v>
      </c>
      <c r="AB16" s="81">
        <f t="shared" si="23"/>
        <v>0</v>
      </c>
      <c r="AC16" s="81">
        <f t="shared" si="24"/>
        <v>0</v>
      </c>
      <c r="AD16" s="81">
        <f t="shared" si="0"/>
        <v>-67047.286983858794</v>
      </c>
      <c r="AE16" s="81">
        <f t="shared" si="1"/>
        <v>0</v>
      </c>
      <c r="AF16" s="81">
        <f t="shared" si="2"/>
        <v>0</v>
      </c>
      <c r="AG16" s="81">
        <f t="shared" si="3"/>
        <v>-20514031.659550462</v>
      </c>
      <c r="AH16" s="81">
        <f t="shared" si="4"/>
        <v>39415983.478853717</v>
      </c>
      <c r="AI16" s="81">
        <f t="shared" si="5"/>
        <v>-12400926.926466631</v>
      </c>
      <c r="AO16" s="27">
        <f t="shared" si="6"/>
        <v>67047.286983858794</v>
      </c>
      <c r="AQ16" s="13"/>
      <c r="AR16" s="27"/>
    </row>
    <row r="17" spans="1:44">
      <c r="A17" s="2" t="s">
        <v>171</v>
      </c>
      <c r="B17" s="45">
        <v>32</v>
      </c>
      <c r="C17" s="43">
        <v>1834414.4600000002</v>
      </c>
      <c r="D17" s="14">
        <f>IFERROR(VLOOKUP(A17,Exposição!$A$2:$M$48,13,FALSE),0)</f>
        <v>-1217991.5057777551</v>
      </c>
      <c r="E17" s="14">
        <f>IFERROR(VLOOKUP(A17,CCEAR_D!$A$2:$J$48,10,FALSE),0)</f>
        <v>-2635881.6393551952</v>
      </c>
      <c r="F17" s="14">
        <f>IFERROR(VLOOKUP(A17,'RH Cotas'!$A$2:$C$48,2,FALSE),0)+IFERROR(VLOOKUP(A17,'Efeito RH do ACR'!$A$2:$D$48,3,FALSE),0)</f>
        <v>-1535558.7699999998</v>
      </c>
      <c r="G17" s="14">
        <f>IFERROR(VLOOKUP(A17,'RH Itaipu'!$A$2:$B$48,2,FALSE),0)</f>
        <v>0</v>
      </c>
      <c r="H17" s="14">
        <f>IFERROR(VLOOKUP(A17,ESS_SE!$A$3:$B$51,2,FALSE),0)</f>
        <v>-505873.41000000003</v>
      </c>
      <c r="I17" s="14">
        <f>IFERROR(VLOOKUP(A17,'ESS ME'!$A$3:$C$49,3,FALSE),0)</f>
        <v>-14840.34</v>
      </c>
      <c r="J17" s="14">
        <f>IFERROR(VLOOKUP(A17,CONER!$A$2:$B$48,2,FALSE),0)</f>
        <v>5030658.7814182825</v>
      </c>
      <c r="K17" s="14">
        <f t="shared" si="7"/>
        <v>-879486.88371466752</v>
      </c>
      <c r="L17" s="14">
        <f>IFERROR(VLOOKUP($A17,'CustoLiqNaoCobertoMesN-1'!$A$3:$F$101,L$2,FALSE),0)</f>
        <v>-9748225.945396902</v>
      </c>
      <c r="M17" s="14">
        <f>IFERROR(VLOOKUP($A17,'CustoLiqNaoCobertoMesN-1'!$A$3:$F$101,M$2,FALSE),0)</f>
        <v>-295912.76716343407</v>
      </c>
      <c r="N17" s="14">
        <f>IFERROR(VLOOKUP($A17,'CustoLiqNaoCobertoMesN-1'!$A$3:$F$101,N$2,FALSE),0)</f>
        <v>-18421259.686799262</v>
      </c>
      <c r="O17" s="14">
        <f>IFERROR(VLOOKUP($A17,'CustoLiqNaoCobertoMesN-1'!$A$3:$F$101,O$2,FALSE),0)</f>
        <v>-28465398.399359599</v>
      </c>
      <c r="P17" s="14">
        <f t="shared" si="8"/>
        <v>-13919666.354752097</v>
      </c>
      <c r="Q17" s="14">
        <f t="shared" si="9"/>
        <v>4214032.2642548485</v>
      </c>
      <c r="R17" s="14">
        <f t="shared" si="10"/>
        <v>-19639251.192577016</v>
      </c>
      <c r="S17" s="14">
        <f t="shared" si="11"/>
        <v>-29344885.283074267</v>
      </c>
      <c r="T17" s="14">
        <f>IFERROR(VLOOKUP(A17,Prêmio!$A$2:$C$48,3,FALSE),0)</f>
        <v>9333.1363884830025</v>
      </c>
      <c r="U17" s="14" t="str">
        <f t="shared" si="12"/>
        <v/>
      </c>
      <c r="V17" s="14" t="str">
        <f t="shared" si="13"/>
        <v/>
      </c>
      <c r="W17" s="14">
        <f t="shared" si="14"/>
        <v>5012683.4682174055</v>
      </c>
      <c r="X17" s="14">
        <f t="shared" si="20"/>
        <v>-22497787.35485686</v>
      </c>
      <c r="Y17" s="47">
        <f t="shared" si="15"/>
        <v>5012683.4682174055</v>
      </c>
      <c r="Z17" s="81">
        <f t="shared" si="21"/>
        <v>-6847097.9282174055</v>
      </c>
      <c r="AA17" s="81">
        <f t="shared" si="22"/>
        <v>0</v>
      </c>
      <c r="AB17" s="81">
        <f t="shared" si="23"/>
        <v>0</v>
      </c>
      <c r="AC17" s="81">
        <f t="shared" si="24"/>
        <v>0</v>
      </c>
      <c r="AD17" s="81">
        <f t="shared" si="0"/>
        <v>-6847097.9282174055</v>
      </c>
      <c r="AE17" s="81">
        <f t="shared" si="1"/>
        <v>0</v>
      </c>
      <c r="AF17" s="81">
        <f t="shared" si="2"/>
        <v>0</v>
      </c>
      <c r="AG17" s="81">
        <f t="shared" si="3"/>
        <v>-7072568.4265346918</v>
      </c>
      <c r="AH17" s="81">
        <f t="shared" si="4"/>
        <v>4214032.2642548485</v>
      </c>
      <c r="AI17" s="81">
        <f t="shared" si="5"/>
        <v>-19639251.192577016</v>
      </c>
      <c r="AO17" s="27">
        <f t="shared" si="6"/>
        <v>6847097.9282174055</v>
      </c>
      <c r="AQ17" s="13"/>
      <c r="AR17" s="27"/>
    </row>
    <row r="18" spans="1:44">
      <c r="A18" s="2" t="s">
        <v>18</v>
      </c>
      <c r="B18" s="45">
        <v>37</v>
      </c>
      <c r="C18" s="43">
        <v>4464808.3000000007</v>
      </c>
      <c r="D18" s="14">
        <f>IFERROR(VLOOKUP(A18,Exposição!$A$2:$M$48,13,FALSE),0)</f>
        <v>-10485843.495133201</v>
      </c>
      <c r="E18" s="14">
        <f>IFERROR(VLOOKUP(A18,CCEAR_D!$A$2:$J$48,10,FALSE),0)</f>
        <v>-5590210.8231609203</v>
      </c>
      <c r="F18" s="14">
        <f>IFERROR(VLOOKUP(A18,'RH Cotas'!$A$2:$C$48,2,FALSE),0)+IFERROR(VLOOKUP(A18,'Efeito RH do ACR'!$A$2:$D$48,3,FALSE),0)</f>
        <v>-6026887.7000000002</v>
      </c>
      <c r="G18" s="14">
        <f>IFERROR(VLOOKUP(A18,'RH Itaipu'!$A$2:$B$48,2,FALSE),0)</f>
        <v>0</v>
      </c>
      <c r="H18" s="14">
        <f>IFERROR(VLOOKUP(A18,ESS_SE!$A$3:$B$51,2,FALSE),0)</f>
        <v>-1514975.28</v>
      </c>
      <c r="I18" s="14">
        <f>IFERROR(VLOOKUP(A18,'ESS ME'!$A$3:$C$49,3,FALSE),0)</f>
        <v>-47138.35</v>
      </c>
      <c r="J18" s="14">
        <f>IFERROR(VLOOKUP(A18,CONER!$A$2:$B$48,2,FALSE),0)</f>
        <v>15294832.382553503</v>
      </c>
      <c r="K18" s="14">
        <f t="shared" si="7"/>
        <v>-8370223.2657406218</v>
      </c>
      <c r="L18" s="14">
        <f>IFERROR(VLOOKUP($A18,'CustoLiqNaoCobertoMesN-1'!$A$3:$F$101,L$2,FALSE),0)</f>
        <v>-50332869.355965197</v>
      </c>
      <c r="M18" s="14">
        <f>IFERROR(VLOOKUP($A18,'CustoLiqNaoCobertoMesN-1'!$A$3:$F$101,M$2,FALSE),0)</f>
        <v>-870180.08489299007</v>
      </c>
      <c r="N18" s="14">
        <f>IFERROR(VLOOKUP($A18,'CustoLiqNaoCobertoMesN-1'!$A$3:$F$101,N$2,FALSE),0)</f>
        <v>-6352394.0018629925</v>
      </c>
      <c r="O18" s="14">
        <f>IFERROR(VLOOKUP($A18,'CustoLiqNaoCobertoMesN-1'!$A$3:$F$101,O$2,FALSE),0)</f>
        <v>-57555443.442721181</v>
      </c>
      <c r="P18" s="14">
        <f t="shared" si="8"/>
        <v>-61949967.879126117</v>
      </c>
      <c r="Q18" s="14">
        <f t="shared" si="9"/>
        <v>12862538.667660512</v>
      </c>
      <c r="R18" s="14">
        <f t="shared" si="10"/>
        <v>-16838237.496996194</v>
      </c>
      <c r="S18" s="14">
        <f t="shared" si="11"/>
        <v>-65925666.708461806</v>
      </c>
      <c r="T18" s="14">
        <f>IFERROR(VLOOKUP(A18,Prêmio!$A$2:$C$48,3,FALSE),0)</f>
        <v>30312.513095777216</v>
      </c>
      <c r="U18" s="14" t="str">
        <f t="shared" si="12"/>
        <v/>
      </c>
      <c r="V18" s="14" t="str">
        <f t="shared" si="13"/>
        <v/>
      </c>
      <c r="W18" s="14">
        <f t="shared" si="14"/>
        <v>10927097.838304956</v>
      </c>
      <c r="X18" s="14">
        <f t="shared" si="20"/>
        <v>-50533760.570156857</v>
      </c>
      <c r="Y18" s="47">
        <f t="shared" si="15"/>
        <v>10927097.838304956</v>
      </c>
      <c r="Z18" s="81">
        <f t="shared" si="21"/>
        <v>-15391906.138304956</v>
      </c>
      <c r="AA18" s="81">
        <f t="shared" si="22"/>
        <v>0</v>
      </c>
      <c r="AB18" s="81">
        <f t="shared" si="23"/>
        <v>0</v>
      </c>
      <c r="AC18" s="81">
        <f t="shared" si="24"/>
        <v>0</v>
      </c>
      <c r="AD18" s="81">
        <f t="shared" si="0"/>
        <v>-15391906.138304956</v>
      </c>
      <c r="AE18" s="81">
        <f t="shared" si="1"/>
        <v>0</v>
      </c>
      <c r="AF18" s="81">
        <f t="shared" si="2"/>
        <v>0</v>
      </c>
      <c r="AG18" s="81">
        <f t="shared" si="3"/>
        <v>-46558061.74082116</v>
      </c>
      <c r="AH18" s="81">
        <f t="shared" si="4"/>
        <v>12862538.667660512</v>
      </c>
      <c r="AI18" s="81">
        <f t="shared" si="5"/>
        <v>-16838237.496996194</v>
      </c>
      <c r="AO18" s="27">
        <f t="shared" si="6"/>
        <v>15391906.138304956</v>
      </c>
      <c r="AQ18" s="13"/>
      <c r="AR18" s="27"/>
    </row>
    <row r="19" spans="1:44">
      <c r="A19" s="2" t="s">
        <v>170</v>
      </c>
      <c r="B19" s="45">
        <v>405</v>
      </c>
      <c r="C19" s="43">
        <v>5832243.6600000001</v>
      </c>
      <c r="D19" s="14">
        <f>IFERROR(VLOOKUP(A19,Exposição!$A$2:$M$48,13,FALSE),0)</f>
        <v>1205547.07482262</v>
      </c>
      <c r="E19" s="14">
        <f>IFERROR(VLOOKUP(A19,CCEAR_D!$A$2:$J$48,10,FALSE),0)</f>
        <v>-632266.71548641846</v>
      </c>
      <c r="F19" s="14">
        <f>IFERROR(VLOOKUP(A19,'RH Cotas'!$A$2:$C$48,2,FALSE),0)+IFERROR(VLOOKUP(A19,'Efeito RH do ACR'!$A$2:$D$48,3,FALSE),0)</f>
        <v>-3779416.0300000003</v>
      </c>
      <c r="G19" s="14">
        <f>IFERROR(VLOOKUP(A19,'RH Itaipu'!$A$2:$B$48,2,FALSE),0)</f>
        <v>1180873.94</v>
      </c>
      <c r="H19" s="14">
        <f>IFERROR(VLOOKUP(A19,ESS_SE!$A$3:$B$51,2,FALSE),0)</f>
        <v>-1383744.96</v>
      </c>
      <c r="I19" s="14">
        <f>IFERROR(VLOOKUP(A19,'ESS ME'!$A$3:$C$49,3,FALSE),0)</f>
        <v>-48638.78</v>
      </c>
      <c r="J19" s="14">
        <f>IFERROR(VLOOKUP(A19,CONER!$A$2:$B$48,2,FALSE),0)</f>
        <v>16286076.432399735</v>
      </c>
      <c r="K19" s="14">
        <f t="shared" si="7"/>
        <v>12828430.961735936</v>
      </c>
      <c r="L19" s="14">
        <f>IFERROR(VLOOKUP($A19,'CustoLiqNaoCobertoMesN-1'!$A$3:$F$101,L$2,FALSE),0)</f>
        <v>1525075.5749725569</v>
      </c>
      <c r="M19" s="14">
        <f>IFERROR(VLOOKUP($A19,'CustoLiqNaoCobertoMesN-1'!$A$3:$F$101,M$2,FALSE),0)</f>
        <v>7876277.5023997333</v>
      </c>
      <c r="N19" s="14">
        <f>IFERROR(VLOOKUP($A19,'CustoLiqNaoCobertoMesN-1'!$A$3:$F$101,N$2,FALSE),0)</f>
        <v>-6733938.3794268034</v>
      </c>
      <c r="O19" s="14">
        <f>IFERROR(VLOOKUP($A19,'CustoLiqNaoCobertoMesN-1'!$A$3:$F$101,O$2,FALSE),0)</f>
        <v>2667414.6979454868</v>
      </c>
      <c r="P19" s="14">
        <f t="shared" si="8"/>
        <v>-1705733.2305138619</v>
      </c>
      <c r="Q19" s="14">
        <f t="shared" si="9"/>
        <v>22729970.194799468</v>
      </c>
      <c r="R19" s="14">
        <f t="shared" si="10"/>
        <v>-5528391.3046041839</v>
      </c>
      <c r="S19" s="14">
        <f t="shared" si="11"/>
        <v>15495845.659681423</v>
      </c>
      <c r="T19" s="14">
        <f>IFERROR(VLOOKUP(A19,Prêmio!$A$2:$C$48,3,FALSE),0)</f>
        <v>29801.002959632086</v>
      </c>
      <c r="U19" s="14" t="str">
        <f t="shared" si="12"/>
        <v/>
      </c>
      <c r="V19" s="14" t="str">
        <f t="shared" si="13"/>
        <v/>
      </c>
      <c r="W19" s="14">
        <f t="shared" si="14"/>
        <v>-5802442.6570403678</v>
      </c>
      <c r="X19" s="14">
        <f t="shared" si="20"/>
        <v>15525646.662641056</v>
      </c>
      <c r="Y19" s="47">
        <f t="shared" si="15"/>
        <v>-5802442.6570403678</v>
      </c>
      <c r="Z19" s="81">
        <f t="shared" si="21"/>
        <v>-29801.002959632315</v>
      </c>
      <c r="AA19" s="81">
        <f t="shared" si="22"/>
        <v>0</v>
      </c>
      <c r="AB19" s="81">
        <f t="shared" si="23"/>
        <v>0</v>
      </c>
      <c r="AC19" s="81">
        <f t="shared" si="24"/>
        <v>0</v>
      </c>
      <c r="AD19" s="81">
        <f t="shared" si="0"/>
        <v>-29801.002959632315</v>
      </c>
      <c r="AE19" s="81">
        <f t="shared" si="1"/>
        <v>0</v>
      </c>
      <c r="AF19" s="81">
        <f t="shared" si="2"/>
        <v>0</v>
      </c>
      <c r="AG19" s="81">
        <f t="shared" si="3"/>
        <v>-1675932.2275542296</v>
      </c>
      <c r="AH19" s="81">
        <f t="shared" si="4"/>
        <v>22729970.194799468</v>
      </c>
      <c r="AI19" s="81">
        <f t="shared" si="5"/>
        <v>-5528391.3046041839</v>
      </c>
      <c r="AO19" s="27">
        <f t="shared" si="6"/>
        <v>29801.002959632315</v>
      </c>
      <c r="AQ19" s="13"/>
      <c r="AR19" s="27"/>
    </row>
    <row r="20" spans="1:44">
      <c r="A20" s="158" t="s">
        <v>36</v>
      </c>
      <c r="B20" s="160">
        <v>4950</v>
      </c>
      <c r="C20" s="43">
        <v>17308076.580000006</v>
      </c>
      <c r="D20" s="14">
        <f>IFERROR(VLOOKUP(A20,Exposição!$A$2:$M$48,13,FALSE),0)</f>
        <v>-2179059.2120460905</v>
      </c>
      <c r="E20" s="14">
        <f>IFERROR(VLOOKUP(A20,CCEAR_D!$A$2:$J$48,10,FALSE),0)</f>
        <v>-19178313.193006113</v>
      </c>
      <c r="F20" s="14">
        <f>IFERROR(VLOOKUP(A20,'RH Cotas'!$A$2:$C$48,2,FALSE),0)+IFERROR(VLOOKUP(A20,'Efeito RH do ACR'!$A$2:$D$48,3,FALSE),0)</f>
        <v>-20902811.280000001</v>
      </c>
      <c r="G20" s="14">
        <f>IFERROR(VLOOKUP(A20,'RH Itaipu'!$A$2:$B$48,2,FALSE),0)</f>
        <v>5607746.6100000003</v>
      </c>
      <c r="H20" s="14">
        <f>IFERROR(VLOOKUP(A20,ESS_SE!$A$3:$B$51,2,FALSE),0)</f>
        <v>-6299780.71</v>
      </c>
      <c r="I20" s="14">
        <f>IFERROR(VLOOKUP(A20,'ESS ME'!$A$3:$C$49,3,FALSE),0)</f>
        <v>-257615.57</v>
      </c>
      <c r="J20" s="14">
        <f>IFERROR(VLOOKUP(A20,CONER!$A$2:$B$48,2,FALSE),0)</f>
        <v>68391487.589026734</v>
      </c>
      <c r="K20" s="14">
        <f t="shared" si="7"/>
        <v>25181654.233974531</v>
      </c>
      <c r="L20" s="14">
        <f>IFERROR(VLOOKUP($A20,'CustoLiqNaoCobertoMesN-1'!$A$3:$F$101,L$2,FALSE),0)</f>
        <v>-22134595.259242341</v>
      </c>
      <c r="M20" s="14">
        <f>IFERROR(VLOOKUP($A20,'CustoLiqNaoCobertoMesN-1'!$A$3:$F$101,M$2,FALSE),0)</f>
        <v>8072201.8249366023</v>
      </c>
      <c r="N20" s="14">
        <f>IFERROR(VLOOKUP($A20,'CustoLiqNaoCobertoMesN-1'!$A$3:$F$101,N$2,FALSE),0)</f>
        <v>46646735.947250694</v>
      </c>
      <c r="O20" s="14">
        <f>IFERROR(VLOOKUP($A20,'CustoLiqNaoCobertoMesN-1'!$A$3:$F$101,O$2,FALSE),0)</f>
        <v>32584342.512944955</v>
      </c>
      <c r="P20" s="14">
        <f t="shared" si="8"/>
        <v>-56607973.122248456</v>
      </c>
      <c r="Q20" s="14">
        <f t="shared" si="9"/>
        <v>69906293.133963332</v>
      </c>
      <c r="R20" s="14">
        <f t="shared" si="10"/>
        <v>44467676.735204607</v>
      </c>
      <c r="S20" s="14">
        <f t="shared" si="11"/>
        <v>57765996.746919483</v>
      </c>
      <c r="T20" s="14">
        <f>IFERROR(VLOOKUP(A20,Prêmio!$A$2:$C$48,3,FALSE),0)</f>
        <v>147538.79376054578</v>
      </c>
      <c r="U20" s="14" t="str">
        <f t="shared" si="12"/>
        <v/>
      </c>
      <c r="V20" s="14" t="str">
        <f t="shared" si="13"/>
        <v/>
      </c>
      <c r="W20" s="14">
        <f t="shared" si="14"/>
        <v>-17160537.78623946</v>
      </c>
      <c r="X20" s="14">
        <f t="shared" si="20"/>
        <v>57913535.540680028</v>
      </c>
      <c r="Y20" s="47">
        <f t="shared" si="15"/>
        <v>-17160537.78623946</v>
      </c>
      <c r="Z20" s="81">
        <f t="shared" si="21"/>
        <v>-147538.79376054555</v>
      </c>
      <c r="AA20" s="81">
        <f t="shared" si="22"/>
        <v>0</v>
      </c>
      <c r="AB20" s="81">
        <f t="shared" si="23"/>
        <v>0</v>
      </c>
      <c r="AC20" s="81">
        <f t="shared" si="24"/>
        <v>0</v>
      </c>
      <c r="AD20" s="81">
        <f t="shared" si="0"/>
        <v>-147538.79376054555</v>
      </c>
      <c r="AE20" s="81">
        <f t="shared" si="1"/>
        <v>0</v>
      </c>
      <c r="AF20" s="81">
        <f t="shared" si="2"/>
        <v>0</v>
      </c>
      <c r="AG20" s="81">
        <f t="shared" si="3"/>
        <v>-56460434.32848791</v>
      </c>
      <c r="AH20" s="81">
        <f t="shared" si="4"/>
        <v>69906293.133963332</v>
      </c>
      <c r="AI20" s="81">
        <f t="shared" si="5"/>
        <v>44467676.735204607</v>
      </c>
      <c r="AO20" s="27">
        <f t="shared" si="6"/>
        <v>147538.79376054555</v>
      </c>
      <c r="AQ20" s="13"/>
      <c r="AR20" s="27"/>
    </row>
    <row r="21" spans="1:44">
      <c r="A21" s="2" t="s">
        <v>19</v>
      </c>
      <c r="B21" s="45">
        <v>38</v>
      </c>
      <c r="C21" s="43">
        <v>3466186.5699999994</v>
      </c>
      <c r="D21" s="14">
        <f>IFERROR(VLOOKUP(A21,Exposição!$A$2:$M$48,13,FALSE),0)</f>
        <v>6663506.0252126474</v>
      </c>
      <c r="E21" s="14">
        <f>IFERROR(VLOOKUP(A21,CCEAR_D!$A$2:$J$48,10,FALSE),0)</f>
        <v>-1956526.2759205771</v>
      </c>
      <c r="F21" s="14">
        <f>IFERROR(VLOOKUP(A21,'RH Cotas'!$A$2:$C$48,2,FALSE),0)+IFERROR(VLOOKUP(A21,'Efeito RH do ACR'!$A$2:$D$48,3,FALSE),0)</f>
        <v>-3473604.14</v>
      </c>
      <c r="G21" s="14">
        <f>IFERROR(VLOOKUP(A21,'RH Itaipu'!$A$2:$B$48,2,FALSE),0)</f>
        <v>0</v>
      </c>
      <c r="H21" s="14">
        <f>IFERROR(VLOOKUP(A21,ESS_SE!$A$3:$B$51,2,FALSE),0)</f>
        <v>-1003016.4199999999</v>
      </c>
      <c r="I21" s="14">
        <f>IFERROR(VLOOKUP(A21,'ESS ME'!$A$3:$C$49,3,FALSE),0)</f>
        <v>-29884.33</v>
      </c>
      <c r="J21" s="14">
        <f>IFERROR(VLOOKUP(A21,CONER!$A$2:$B$48,2,FALSE),0)</f>
        <v>9280451.1012980081</v>
      </c>
      <c r="K21" s="14">
        <f t="shared" si="7"/>
        <v>9480925.9605900776</v>
      </c>
      <c r="L21" s="14">
        <f>IFERROR(VLOOKUP($A21,'CustoLiqNaoCobertoMesN-1'!$A$3:$F$101,L$2,FALSE),0)</f>
        <v>-28927309.244854234</v>
      </c>
      <c r="M21" s="14">
        <f>IFERROR(VLOOKUP($A21,'CustoLiqNaoCobertoMesN-1'!$A$3:$F$101,M$2,FALSE),0)</f>
        <v>-886327.32740398357</v>
      </c>
      <c r="N21" s="14">
        <f>IFERROR(VLOOKUP($A21,'CustoLiqNaoCobertoMesN-1'!$A$3:$F$101,N$2,FALSE),0)</f>
        <v>-5646680.4008504702</v>
      </c>
      <c r="O21" s="14">
        <f>IFERROR(VLOOKUP($A21,'CustoLiqNaoCobertoMesN-1'!$A$3:$F$101,O$2,FALSE),0)</f>
        <v>-35460316.973108687</v>
      </c>
      <c r="P21" s="14">
        <f t="shared" si="8"/>
        <v>-34357439.660774812</v>
      </c>
      <c r="Q21" s="14">
        <f t="shared" si="9"/>
        <v>7361223.023894025</v>
      </c>
      <c r="R21" s="14">
        <f t="shared" si="10"/>
        <v>1016825.6243621772</v>
      </c>
      <c r="S21" s="14">
        <f t="shared" si="11"/>
        <v>-25979391.012518607</v>
      </c>
      <c r="T21" s="14">
        <f>IFERROR(VLOOKUP(A21,Prêmio!$A$2:$C$48,3,FALSE),0)</f>
        <v>19283.721245477296</v>
      </c>
      <c r="U21" s="14" t="str">
        <f t="shared" si="12"/>
        <v/>
      </c>
      <c r="V21" s="14" t="str">
        <f t="shared" si="13"/>
        <v/>
      </c>
      <c r="W21" s="14">
        <f t="shared" si="14"/>
        <v>2606655.1551344008</v>
      </c>
      <c r="X21" s="14">
        <f t="shared" si="20"/>
        <v>-19906549.287384205</v>
      </c>
      <c r="Y21" s="47">
        <f t="shared" si="15"/>
        <v>2606655.1551344008</v>
      </c>
      <c r="Z21" s="81">
        <f t="shared" si="21"/>
        <v>-6072841.7251344007</v>
      </c>
      <c r="AA21" s="81">
        <f t="shared" si="22"/>
        <v>0</v>
      </c>
      <c r="AB21" s="81">
        <f t="shared" si="23"/>
        <v>0</v>
      </c>
      <c r="AC21" s="81">
        <f t="shared" si="24"/>
        <v>0</v>
      </c>
      <c r="AD21" s="81">
        <f t="shared" si="0"/>
        <v>-6072841.7251344007</v>
      </c>
      <c r="AE21" s="81">
        <f t="shared" si="1"/>
        <v>0</v>
      </c>
      <c r="AF21" s="81">
        <f t="shared" si="2"/>
        <v>0</v>
      </c>
      <c r="AG21" s="81">
        <f t="shared" si="3"/>
        <v>-28284597.93564041</v>
      </c>
      <c r="AH21" s="81">
        <f t="shared" si="4"/>
        <v>7361223.023894025</v>
      </c>
      <c r="AI21" s="81">
        <f t="shared" si="5"/>
        <v>1016825.6243621772</v>
      </c>
      <c r="AO21" s="27">
        <f t="shared" si="6"/>
        <v>6072841.7251344007</v>
      </c>
      <c r="AQ21" s="13"/>
      <c r="AR21" s="27"/>
    </row>
    <row r="22" spans="1:44">
      <c r="A22" s="158" t="s">
        <v>45</v>
      </c>
      <c r="B22" s="160">
        <v>369</v>
      </c>
      <c r="C22" s="80"/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159"/>
      <c r="AA22" s="159"/>
      <c r="AB22" s="159"/>
      <c r="AC22" s="159"/>
      <c r="AD22" s="81">
        <f t="shared" si="0"/>
        <v>0</v>
      </c>
      <c r="AE22" s="81">
        <f t="shared" si="1"/>
        <v>0</v>
      </c>
      <c r="AF22" s="81">
        <f t="shared" si="2"/>
        <v>0</v>
      </c>
      <c r="AG22" s="81">
        <f t="shared" si="3"/>
        <v>0</v>
      </c>
      <c r="AH22" s="81">
        <f t="shared" si="4"/>
        <v>0</v>
      </c>
      <c r="AI22" s="81">
        <f t="shared" si="5"/>
        <v>0</v>
      </c>
      <c r="AO22" s="27">
        <f t="shared" si="6"/>
        <v>0</v>
      </c>
      <c r="AQ22" s="13"/>
      <c r="AR22" s="27"/>
    </row>
    <row r="23" spans="1:44">
      <c r="A23" s="2" t="s">
        <v>11</v>
      </c>
      <c r="B23" s="45">
        <v>75</v>
      </c>
      <c r="C23" s="43">
        <v>533220.2599999943</v>
      </c>
      <c r="D23" s="14">
        <f>IFERROR(VLOOKUP(A23,Exposição!$A$2:$M$48,13,FALSE),0)</f>
        <v>138534.63640632981</v>
      </c>
      <c r="E23" s="14">
        <f>IFERROR(VLOOKUP(A23,CCEAR_D!$A$2:$J$48,10,FALSE),0)</f>
        <v>11861.035633242496</v>
      </c>
      <c r="F23" s="14">
        <f>IFERROR(VLOOKUP(A23,'RH Cotas'!$A$2:$C$48,2,FALSE),0)+IFERROR(VLOOKUP(A23,'Efeito RH do ACR'!$A$2:$D$48,3,FALSE),0)</f>
        <v>-508301.55000000005</v>
      </c>
      <c r="G23" s="14">
        <f>IFERROR(VLOOKUP(A23,'RH Itaipu'!$A$2:$B$48,2,FALSE),0)</f>
        <v>113895.33</v>
      </c>
      <c r="H23" s="14">
        <f>IFERROR(VLOOKUP(A23,ESS_SE!$A$3:$B$51,2,FALSE),0)</f>
        <v>-141126.31</v>
      </c>
      <c r="I23" s="14">
        <f>IFERROR(VLOOKUP(A23,'ESS ME'!$A$3:$C$49,3,FALSE),0)</f>
        <v>-5507.63</v>
      </c>
      <c r="J23" s="14">
        <f>IFERROR(VLOOKUP(A23,CONER!$A$2:$B$48,2,FALSE),0)</f>
        <v>1402035.0549074362</v>
      </c>
      <c r="K23" s="14">
        <f t="shared" si="7"/>
        <v>1011390.5669470085</v>
      </c>
      <c r="L23" s="14">
        <f>IFERROR(VLOOKUP($A23,'CustoLiqNaoCobertoMesN-1'!$A$3:$F$101,L$2,FALSE),0)</f>
        <v>363997.99041548441</v>
      </c>
      <c r="M23" s="14">
        <f>IFERROR(VLOOKUP($A23,'CustoLiqNaoCobertoMesN-1'!$A$3:$F$101,M$2,FALSE),0)</f>
        <v>22249.269136204617</v>
      </c>
      <c r="N23" s="14">
        <f>IFERROR(VLOOKUP($A23,'CustoLiqNaoCobertoMesN-1'!$A$3:$F$101,N$2,FALSE),0)</f>
        <v>212279.9071404617</v>
      </c>
      <c r="O23" s="14">
        <f>IFERROR(VLOOKUP($A23,'CustoLiqNaoCobertoMesN-1'!$A$3:$F$101,O$2,FALSE),0)</f>
        <v>598527.16669215076</v>
      </c>
      <c r="P23" s="14">
        <f t="shared" si="8"/>
        <v>-18547.193951273104</v>
      </c>
      <c r="Q23" s="14">
        <f t="shared" si="9"/>
        <v>1277650.3840436409</v>
      </c>
      <c r="R23" s="14">
        <f t="shared" si="10"/>
        <v>350814.54354679154</v>
      </c>
      <c r="S23" s="14">
        <f t="shared" si="11"/>
        <v>1609917.7336391592</v>
      </c>
      <c r="T23" s="14">
        <f>IFERROR(VLOOKUP(A23,Prêmio!$A$2:$C$48,3,FALSE),0)</f>
        <v>3162.6871122653288</v>
      </c>
      <c r="U23" s="14" t="str">
        <f t="shared" si="12"/>
        <v/>
      </c>
      <c r="V23" s="14" t="str">
        <f t="shared" si="13"/>
        <v/>
      </c>
      <c r="W23" s="14">
        <f t="shared" si="14"/>
        <v>-530057.57288772892</v>
      </c>
      <c r="X23" s="14">
        <f t="shared" si="20"/>
        <v>1613080.4207514245</v>
      </c>
      <c r="Y23" s="47">
        <f t="shared" si="15"/>
        <v>-530057.57288772892</v>
      </c>
      <c r="Z23" s="81">
        <f t="shared" si="21"/>
        <v>-3162.6871122653829</v>
      </c>
      <c r="AA23" s="81">
        <f t="shared" si="22"/>
        <v>0</v>
      </c>
      <c r="AB23" s="81">
        <f t="shared" si="23"/>
        <v>0</v>
      </c>
      <c r="AC23" s="81">
        <f t="shared" si="24"/>
        <v>0</v>
      </c>
      <c r="AD23" s="81">
        <f t="shared" si="0"/>
        <v>-3162.6871122653829</v>
      </c>
      <c r="AE23" s="81">
        <f t="shared" si="1"/>
        <v>0</v>
      </c>
      <c r="AF23" s="81">
        <f t="shared" si="2"/>
        <v>0</v>
      </c>
      <c r="AG23" s="81">
        <f t="shared" si="3"/>
        <v>-15384.506839007721</v>
      </c>
      <c r="AH23" s="81">
        <f t="shared" si="4"/>
        <v>1277650.3840436409</v>
      </c>
      <c r="AI23" s="81">
        <f t="shared" si="5"/>
        <v>350814.54354679154</v>
      </c>
      <c r="AO23" s="27">
        <f t="shared" si="6"/>
        <v>3162.6871122653829</v>
      </c>
      <c r="AQ23" s="13"/>
      <c r="AR23" s="27"/>
    </row>
    <row r="24" spans="1:44">
      <c r="A24" s="2" t="s">
        <v>4</v>
      </c>
      <c r="B24" s="45">
        <v>47</v>
      </c>
      <c r="C24" s="43">
        <v>15439041.77999999</v>
      </c>
      <c r="D24" s="14">
        <f>IFERROR(VLOOKUP(A24,Exposição!$A$2:$M$48,13,FALSE),0)</f>
        <v>-4448880.1468623402</v>
      </c>
      <c r="E24" s="14">
        <f>IFERROR(VLOOKUP(A24,CCEAR_D!$A$2:$J$48,10,FALSE),0)</f>
        <v>-8624635.3430699408</v>
      </c>
      <c r="F24" s="14">
        <f>IFERROR(VLOOKUP(A24,'RH Cotas'!$A$2:$C$48,2,FALSE),0)+IFERROR(VLOOKUP(A24,'Efeito RH do ACR'!$A$2:$D$48,3,FALSE),0)</f>
        <v>-16010057.970000001</v>
      </c>
      <c r="G24" s="14">
        <f>IFERROR(VLOOKUP(A24,'RH Itaipu'!$A$2:$B$48,2,FALSE),0)</f>
        <v>0</v>
      </c>
      <c r="H24" s="14">
        <f>IFERROR(VLOOKUP(A24,ESS_SE!$A$3:$B$51,2,FALSE),0)</f>
        <v>-4174077.02</v>
      </c>
      <c r="I24" s="14">
        <f>IFERROR(VLOOKUP(A24,'ESS ME'!$A$3:$C$49,3,FALSE),0)</f>
        <v>-155427.84</v>
      </c>
      <c r="J24" s="14">
        <f>IFERROR(VLOOKUP(A24,CONER!$A$2:$B$48,2,FALSE),0)</f>
        <v>43477924.533018857</v>
      </c>
      <c r="K24" s="14">
        <f t="shared" si="7"/>
        <v>10064846.213086575</v>
      </c>
      <c r="L24" s="14">
        <f>IFERROR(VLOOKUP($A24,'CustoLiqNaoCobertoMesN-1'!$A$3:$F$101,L$2,FALSE),0)</f>
        <v>-7045376.0802692771</v>
      </c>
      <c r="M24" s="14">
        <f>IFERROR(VLOOKUP($A24,'CustoLiqNaoCobertoMesN-1'!$A$3:$F$101,M$2,FALSE),0)</f>
        <v>18372850.863018848</v>
      </c>
      <c r="N24" s="14">
        <f>IFERROR(VLOOKUP($A24,'CustoLiqNaoCobertoMesN-1'!$A$3:$F$101,N$2,FALSE),0)</f>
        <v>55119.065421879292</v>
      </c>
      <c r="O24" s="14">
        <f>IFERROR(VLOOKUP($A24,'CustoLiqNaoCobertoMesN-1'!$A$3:$F$101,O$2,FALSE),0)</f>
        <v>11382593.84817145</v>
      </c>
      <c r="P24" s="14">
        <f t="shared" si="8"/>
        <v>-31680069.393339217</v>
      </c>
      <c r="Q24" s="14">
        <f t="shared" si="9"/>
        <v>57521270.536037706</v>
      </c>
      <c r="R24" s="14">
        <f t="shared" si="10"/>
        <v>-4393761.0814404609</v>
      </c>
      <c r="S24" s="14">
        <f t="shared" si="11"/>
        <v>21447440.061258025</v>
      </c>
      <c r="T24" s="14">
        <f>IFERROR(VLOOKUP(A24,Prêmio!$A$2:$C$48,3,FALSE),0)</f>
        <v>94546.4279842041</v>
      </c>
      <c r="U24" s="14" t="str">
        <f t="shared" si="12"/>
        <v/>
      </c>
      <c r="V24" s="14" t="str">
        <f t="shared" si="13"/>
        <v/>
      </c>
      <c r="W24" s="14">
        <f t="shared" si="14"/>
        <v>-15344495.352015786</v>
      </c>
      <c r="X24" s="14">
        <f t="shared" si="20"/>
        <v>21541986.48924223</v>
      </c>
      <c r="Y24" s="47">
        <f t="shared" si="15"/>
        <v>-15344495.352015786</v>
      </c>
      <c r="Z24" s="81">
        <f t="shared" si="21"/>
        <v>-94546.427984204143</v>
      </c>
      <c r="AA24" s="81">
        <f t="shared" si="22"/>
        <v>0</v>
      </c>
      <c r="AB24" s="81">
        <f t="shared" si="23"/>
        <v>0</v>
      </c>
      <c r="AC24" s="81">
        <f t="shared" si="24"/>
        <v>0</v>
      </c>
      <c r="AD24" s="81">
        <f t="shared" si="0"/>
        <v>-94546.427984204143</v>
      </c>
      <c r="AE24" s="81">
        <f t="shared" si="1"/>
        <v>0</v>
      </c>
      <c r="AF24" s="81">
        <f t="shared" si="2"/>
        <v>0</v>
      </c>
      <c r="AG24" s="81">
        <f t="shared" si="3"/>
        <v>-31585522.965355013</v>
      </c>
      <c r="AH24" s="81">
        <f t="shared" si="4"/>
        <v>57521270.536037706</v>
      </c>
      <c r="AI24" s="81">
        <f t="shared" si="5"/>
        <v>-4393761.0814404609</v>
      </c>
      <c r="AO24" s="27">
        <f t="shared" si="6"/>
        <v>94546.427984204143</v>
      </c>
      <c r="AQ24" s="13"/>
      <c r="AR24" s="27"/>
    </row>
    <row r="25" spans="1:44">
      <c r="A25" s="2" t="s">
        <v>20</v>
      </c>
      <c r="B25" s="45">
        <v>39</v>
      </c>
      <c r="C25" s="43">
        <v>7303144.3687716676</v>
      </c>
      <c r="D25" s="14">
        <f>IFERROR(VLOOKUP(A25,Exposição!$A$2:$M$48,13,FALSE),0)</f>
        <v>9518260.6771671474</v>
      </c>
      <c r="E25" s="14">
        <f>IFERROR(VLOOKUP(A25,CCEAR_D!$A$2:$J$48,10,FALSE),0)</f>
        <v>-3650632.8637442263</v>
      </c>
      <c r="F25" s="14">
        <f>IFERROR(VLOOKUP(A25,'RH Cotas'!$A$2:$C$48,2,FALSE),0)+IFERROR(VLOOKUP(A25,'Efeito RH do ACR'!$A$2:$D$48,3,FALSE),0)</f>
        <v>-7604369.9000000004</v>
      </c>
      <c r="G25" s="14">
        <f>IFERROR(VLOOKUP(A25,'RH Itaipu'!$A$2:$B$48,2,FALSE),0)</f>
        <v>0</v>
      </c>
      <c r="H25" s="14">
        <f>IFERROR(VLOOKUP(A25,ESS_SE!$A$3:$B$51,2,FALSE),0)</f>
        <v>-2476303.38</v>
      </c>
      <c r="I25" s="14">
        <f>IFERROR(VLOOKUP(A25,'ESS ME'!$A$3:$C$49,3,FALSE),0)</f>
        <v>-79352.34</v>
      </c>
      <c r="J25" s="14">
        <f>IFERROR(VLOOKUP(A25,CONER!$A$2:$B$48,2,FALSE),0)</f>
        <v>25750415.493238747</v>
      </c>
      <c r="K25" s="14">
        <f t="shared" si="7"/>
        <v>21458017.686661668</v>
      </c>
      <c r="L25" s="14">
        <f>IFERROR(VLOOKUP($A25,'CustoLiqNaoCobertoMesN-1'!$A$3:$F$101,L$2,FALSE),0)</f>
        <v>-1706533.7777905613</v>
      </c>
      <c r="M25" s="14">
        <f>IFERROR(VLOOKUP($A25,'CustoLiqNaoCobertoMesN-1'!$A$3:$F$101,M$2,FALSE),0)</f>
        <v>20806111.108038124</v>
      </c>
      <c r="N25" s="14">
        <f>IFERROR(VLOOKUP($A25,'CustoLiqNaoCobertoMesN-1'!$A$3:$F$101,N$2,FALSE),0)</f>
        <v>-5534455.4536742382</v>
      </c>
      <c r="O25" s="14">
        <f>IFERROR(VLOOKUP($A25,'CustoLiqNaoCobertoMesN-1'!$A$3:$F$101,O$2,FALSE),0)</f>
        <v>13565121.876573324</v>
      </c>
      <c r="P25" s="14">
        <f t="shared" si="8"/>
        <v>-12961536.541534789</v>
      </c>
      <c r="Q25" s="14">
        <f t="shared" si="9"/>
        <v>44000870.881276876</v>
      </c>
      <c r="R25" s="14">
        <f t="shared" si="10"/>
        <v>3983805.2234929092</v>
      </c>
      <c r="S25" s="14">
        <f t="shared" si="11"/>
        <v>35023139.563234992</v>
      </c>
      <c r="T25" s="14">
        <f>IFERROR(VLOOKUP(A25,Prêmio!$A$2:$C$48,3,FALSE),0)</f>
        <v>48817.352570219256</v>
      </c>
      <c r="U25" s="14" t="str">
        <f t="shared" si="12"/>
        <v/>
      </c>
      <c r="V25" s="14" t="str">
        <f t="shared" si="13"/>
        <v/>
      </c>
      <c r="W25" s="14">
        <f t="shared" si="14"/>
        <v>-7254327.0162014486</v>
      </c>
      <c r="X25" s="14">
        <f t="shared" si="20"/>
        <v>35071956.915805213</v>
      </c>
      <c r="Y25" s="47">
        <f t="shared" si="15"/>
        <v>-7254327.0162014486</v>
      </c>
      <c r="Z25" s="81">
        <f t="shared" si="21"/>
        <v>-48817.352570218965</v>
      </c>
      <c r="AA25" s="81">
        <f t="shared" si="22"/>
        <v>0</v>
      </c>
      <c r="AB25" s="81">
        <f t="shared" si="23"/>
        <v>0</v>
      </c>
      <c r="AC25" s="81">
        <f t="shared" si="24"/>
        <v>0</v>
      </c>
      <c r="AD25" s="81">
        <f t="shared" si="0"/>
        <v>-48817.352570218965</v>
      </c>
      <c r="AE25" s="81">
        <f t="shared" si="1"/>
        <v>0</v>
      </c>
      <c r="AF25" s="81">
        <f t="shared" si="2"/>
        <v>0</v>
      </c>
      <c r="AG25" s="81">
        <f t="shared" si="3"/>
        <v>-12912719.18896457</v>
      </c>
      <c r="AH25" s="81">
        <f t="shared" si="4"/>
        <v>44000870.881276876</v>
      </c>
      <c r="AI25" s="81">
        <f t="shared" si="5"/>
        <v>3983805.2234929092</v>
      </c>
      <c r="AO25" s="27">
        <f t="shared" si="6"/>
        <v>48817.352570218965</v>
      </c>
      <c r="AQ25" s="13"/>
      <c r="AR25" s="27"/>
    </row>
    <row r="26" spans="1:44">
      <c r="A26" s="2" t="s">
        <v>31</v>
      </c>
      <c r="B26" s="45">
        <v>2866</v>
      </c>
      <c r="C26" s="43">
        <v>17601736.16</v>
      </c>
      <c r="D26" s="14">
        <f>IFERROR(VLOOKUP(A26,Exposição!$A$2:$M$48,13,FALSE),0)</f>
        <v>-4165199.4393057809</v>
      </c>
      <c r="E26" s="14">
        <f>IFERROR(VLOOKUP(A26,CCEAR_D!$A$2:$J$48,10,FALSE),0)</f>
        <v>-4316061.2132697636</v>
      </c>
      <c r="F26" s="14">
        <f>IFERROR(VLOOKUP(A26,'RH Cotas'!$A$2:$C$48,2,FALSE),0)+IFERROR(VLOOKUP(A26,'Efeito RH do ACR'!$A$2:$D$48,3,FALSE),0)</f>
        <v>-18225845.260000002</v>
      </c>
      <c r="G26" s="14">
        <f>IFERROR(VLOOKUP(A26,'RH Itaipu'!$A$2:$B$48,2,FALSE),0)</f>
        <v>5046075.87</v>
      </c>
      <c r="H26" s="14">
        <f>IFERROR(VLOOKUP(A26,ESS_SE!$A$3:$B$51,2,FALSE),0)</f>
        <v>-5439549.2300000004</v>
      </c>
      <c r="I26" s="14">
        <f>IFERROR(VLOOKUP(A26,'ESS ME'!$A$3:$C$49,3,FALSE),0)</f>
        <v>-194361.02</v>
      </c>
      <c r="J26" s="14">
        <f>IFERROR(VLOOKUP(A26,CONER!$A$2:$B$48,2,FALSE),0)</f>
        <v>58967062.852962092</v>
      </c>
      <c r="K26" s="14">
        <f t="shared" si="7"/>
        <v>31672122.560386546</v>
      </c>
      <c r="L26" s="14">
        <f>IFERROR(VLOOKUP($A26,'CustoLiqNaoCobertoMesN-1'!$A$3:$F$101,L$2,FALSE),0)</f>
        <v>-28629660.261617016</v>
      </c>
      <c r="M26" s="14">
        <f>IFERROR(VLOOKUP($A26,'CustoLiqNaoCobertoMesN-1'!$A$3:$F$101,M$2,FALSE),0)</f>
        <v>4347393.7678382695</v>
      </c>
      <c r="N26" s="14">
        <f>IFERROR(VLOOKUP($A26,'CustoLiqNaoCobertoMesN-1'!$A$3:$F$101,N$2,FALSE),0)</f>
        <v>-124421512.83133045</v>
      </c>
      <c r="O26" s="14">
        <f>IFERROR(VLOOKUP($A26,'CustoLiqNaoCobertoMesN-1'!$A$3:$F$101,O$2,FALSE),0)</f>
        <v>-148703779.32510918</v>
      </c>
      <c r="P26" s="14">
        <f t="shared" si="8"/>
        <v>-46125490.864886776</v>
      </c>
      <c r="Q26" s="14">
        <f t="shared" si="9"/>
        <v>57680546.370800361</v>
      </c>
      <c r="R26" s="14">
        <f t="shared" si="10"/>
        <v>-128586712.27063623</v>
      </c>
      <c r="S26" s="14">
        <f t="shared" si="11"/>
        <v>-117031656.76472265</v>
      </c>
      <c r="T26" s="14">
        <f>IFERROR(VLOOKUP(A26,Prêmio!$A$2:$C$48,3,FALSE),0)</f>
        <v>111817.95862274955</v>
      </c>
      <c r="U26" s="14" t="str">
        <f t="shared" si="12"/>
        <v/>
      </c>
      <c r="V26" s="14" t="str">
        <f t="shared" si="13"/>
        <v/>
      </c>
      <c r="W26" s="14">
        <f t="shared" si="14"/>
        <v>9780079.0889782272</v>
      </c>
      <c r="X26" s="14">
        <f t="shared" si="20"/>
        <v>-89649841.515744418</v>
      </c>
      <c r="Y26" s="47">
        <f t="shared" si="15"/>
        <v>9780079.0889782272</v>
      </c>
      <c r="Z26" s="81">
        <f t="shared" si="21"/>
        <v>-27381815.248978227</v>
      </c>
      <c r="AA26" s="81">
        <f t="shared" si="22"/>
        <v>0</v>
      </c>
      <c r="AB26" s="81">
        <f t="shared" si="23"/>
        <v>0</v>
      </c>
      <c r="AC26" s="81">
        <f t="shared" si="24"/>
        <v>0</v>
      </c>
      <c r="AD26" s="81">
        <f t="shared" si="0"/>
        <v>-27381815.248978227</v>
      </c>
      <c r="AE26" s="81">
        <f t="shared" si="1"/>
        <v>0</v>
      </c>
      <c r="AF26" s="81">
        <f t="shared" si="2"/>
        <v>0</v>
      </c>
      <c r="AG26" s="81">
        <f t="shared" si="3"/>
        <v>-18743675.615908548</v>
      </c>
      <c r="AH26" s="81">
        <f t="shared" si="4"/>
        <v>57680546.370800361</v>
      </c>
      <c r="AI26" s="81">
        <f t="shared" si="5"/>
        <v>-128586712.27063623</v>
      </c>
      <c r="AO26" s="27">
        <f t="shared" si="6"/>
        <v>27381815.248978227</v>
      </c>
      <c r="AQ26" s="13"/>
      <c r="AR26" s="27"/>
    </row>
    <row r="27" spans="1:44">
      <c r="A27" s="2" t="s">
        <v>21</v>
      </c>
      <c r="B27" s="45">
        <v>40</v>
      </c>
      <c r="C27" s="43">
        <v>4125961.6500000008</v>
      </c>
      <c r="D27" s="14">
        <f>IFERROR(VLOOKUP(A27,Exposição!$A$2:$M$48,13,FALSE),0)</f>
        <v>365495.49499050609</v>
      </c>
      <c r="E27" s="14">
        <f>IFERROR(VLOOKUP(A27,CCEAR_D!$A$2:$J$48,10,FALSE),0)</f>
        <v>-2864269.8440270452</v>
      </c>
      <c r="F27" s="14">
        <f>IFERROR(VLOOKUP(A27,'RH Cotas'!$A$2:$C$48,2,FALSE),0)+IFERROR(VLOOKUP(A27,'Efeito RH do ACR'!$A$2:$D$48,3,FALSE),0)</f>
        <v>-3624697.71</v>
      </c>
      <c r="G27" s="14">
        <f>IFERROR(VLOOKUP(A27,'RH Itaipu'!$A$2:$B$48,2,FALSE),0)</f>
        <v>0</v>
      </c>
      <c r="H27" s="14">
        <f>IFERROR(VLOOKUP(A27,ESS_SE!$A$3:$B$51,2,FALSE),0)</f>
        <v>-1090952.01</v>
      </c>
      <c r="I27" s="14">
        <f>IFERROR(VLOOKUP(A27,'ESS ME'!$A$3:$C$49,3,FALSE),0)</f>
        <v>-38826.370000000003</v>
      </c>
      <c r="J27" s="14">
        <f>IFERROR(VLOOKUP(A27,CONER!$A$2:$B$48,2,FALSE),0)</f>
        <v>11816030.283824295</v>
      </c>
      <c r="K27" s="14">
        <f t="shared" si="7"/>
        <v>4562779.844787756</v>
      </c>
      <c r="L27" s="14">
        <f>IFERROR(VLOOKUP($A27,'CustoLiqNaoCobertoMesN-1'!$A$3:$F$101,L$2,FALSE),0)</f>
        <v>45086.972118213773</v>
      </c>
      <c r="M27" s="14">
        <f>IFERROR(VLOOKUP($A27,'CustoLiqNaoCobertoMesN-1'!$A$3:$F$101,M$2,FALSE),0)</f>
        <v>5239666.0538242953</v>
      </c>
      <c r="N27" s="14">
        <f>IFERROR(VLOOKUP($A27,'CustoLiqNaoCobertoMesN-1'!$A$3:$F$101,N$2,FALSE),0)</f>
        <v>-612966.27778082341</v>
      </c>
      <c r="O27" s="14">
        <f>IFERROR(VLOOKUP($A27,'CustoLiqNaoCobertoMesN-1'!$A$3:$F$101,O$2,FALSE),0)</f>
        <v>4671786.7481616857</v>
      </c>
      <c r="P27" s="14">
        <f t="shared" si="8"/>
        <v>-6443880.5819088314</v>
      </c>
      <c r="Q27" s="14">
        <f t="shared" si="9"/>
        <v>15925917.95764859</v>
      </c>
      <c r="R27" s="14">
        <f t="shared" si="10"/>
        <v>-247470.78279031732</v>
      </c>
      <c r="S27" s="14">
        <f t="shared" si="11"/>
        <v>9234566.5929494426</v>
      </c>
      <c r="T27" s="14">
        <f>IFERROR(VLOOKUP(A27,Prêmio!$A$2:$C$48,3,FALSE),0)</f>
        <v>24168.556795259159</v>
      </c>
      <c r="U27" s="14" t="str">
        <f t="shared" si="12"/>
        <v/>
      </c>
      <c r="V27" s="14" t="str">
        <f t="shared" si="13"/>
        <v/>
      </c>
      <c r="W27" s="14">
        <f t="shared" si="14"/>
        <v>-4101793.0932047418</v>
      </c>
      <c r="X27" s="14">
        <f t="shared" si="20"/>
        <v>9258735.1497447006</v>
      </c>
      <c r="Y27" s="47">
        <f t="shared" si="15"/>
        <v>-4101793.0932047418</v>
      </c>
      <c r="Z27" s="81">
        <f t="shared" si="21"/>
        <v>-24168.556795259006</v>
      </c>
      <c r="AA27" s="81">
        <f t="shared" si="22"/>
        <v>0</v>
      </c>
      <c r="AB27" s="81">
        <f t="shared" si="23"/>
        <v>0</v>
      </c>
      <c r="AC27" s="81">
        <f t="shared" si="24"/>
        <v>0</v>
      </c>
      <c r="AD27" s="81">
        <f t="shared" si="0"/>
        <v>-24168.556795259006</v>
      </c>
      <c r="AE27" s="81">
        <f t="shared" si="1"/>
        <v>0</v>
      </c>
      <c r="AF27" s="81">
        <f t="shared" si="2"/>
        <v>0</v>
      </c>
      <c r="AG27" s="81">
        <f t="shared" si="3"/>
        <v>-6419712.0251135724</v>
      </c>
      <c r="AH27" s="81">
        <f t="shared" si="4"/>
        <v>15925917.95764859</v>
      </c>
      <c r="AI27" s="81">
        <f t="shared" si="5"/>
        <v>-247470.78279031732</v>
      </c>
      <c r="AO27" s="27">
        <f t="shared" si="6"/>
        <v>24168.556795259006</v>
      </c>
      <c r="AQ27" s="13"/>
      <c r="AR27" s="27"/>
    </row>
    <row r="28" spans="1:44">
      <c r="A28" s="2" t="s">
        <v>30</v>
      </c>
      <c r="B28" s="45">
        <v>69</v>
      </c>
      <c r="C28" s="43">
        <v>378323.4</v>
      </c>
      <c r="D28" s="14">
        <f>IFERROR(VLOOKUP(A28,Exposição!$A$2:$M$48,13,FALSE),0)</f>
        <v>232650.47339966998</v>
      </c>
      <c r="E28" s="14">
        <f>IFERROR(VLOOKUP(A28,CCEAR_D!$A$2:$J$48,10,FALSE),0)</f>
        <v>-222977.12254272558</v>
      </c>
      <c r="F28" s="14">
        <f>IFERROR(VLOOKUP(A28,'RH Cotas'!$A$2:$C$48,2,FALSE),0)+IFERROR(VLOOKUP(A28,'Efeito RH do ACR'!$A$2:$D$48,3,FALSE),0)</f>
        <v>-117077.66427832571</v>
      </c>
      <c r="G28" s="14">
        <f>IFERROR(VLOOKUP(A28,'RH Itaipu'!$A$2:$B$48,2,FALSE),0)</f>
        <v>98104.91</v>
      </c>
      <c r="H28" s="14">
        <f>IFERROR(VLOOKUP(A28,ESS_SE!$A$3:$B$51,2,FALSE),0)</f>
        <v>-95479.18</v>
      </c>
      <c r="I28" s="14">
        <f>IFERROR(VLOOKUP(A28,'ESS ME'!$A$3:$C$49,3,FALSE),0)</f>
        <v>-3492.86</v>
      </c>
      <c r="J28" s="14">
        <f>IFERROR(VLOOKUP(A28,CONER!$A$2:$B$48,2,FALSE),0)</f>
        <v>1095485.9854239947</v>
      </c>
      <c r="K28" s="14">
        <f t="shared" si="7"/>
        <v>987214.54200261342</v>
      </c>
      <c r="L28" s="14">
        <f>IFERROR(VLOOKUP($A28,'CustoLiqNaoCobertoMesN-1'!$A$3:$F$101,L$2,FALSE),0)</f>
        <v>-74544.767181732692</v>
      </c>
      <c r="M28" s="14">
        <f>IFERROR(VLOOKUP($A28,'CustoLiqNaoCobertoMesN-1'!$A$3:$F$101,M$2,FALSE),0)</f>
        <v>1075131.2823949642</v>
      </c>
      <c r="N28" s="14">
        <f>IFERROR(VLOOKUP($A28,'CustoLiqNaoCobertoMesN-1'!$A$3:$F$101,N$2,FALSE),0)</f>
        <v>-97748.137109687028</v>
      </c>
      <c r="O28" s="14">
        <f>IFERROR(VLOOKUP($A28,'CustoLiqNaoCobertoMesN-1'!$A$3:$F$101,O$2,FALSE),0)</f>
        <v>902838.37810354447</v>
      </c>
      <c r="P28" s="14">
        <f t="shared" si="8"/>
        <v>-316494.64400278393</v>
      </c>
      <c r="Q28" s="14">
        <f t="shared" si="9"/>
        <v>2071645.2278189589</v>
      </c>
      <c r="R28" s="14">
        <f t="shared" si="10"/>
        <v>134902.33628998295</v>
      </c>
      <c r="S28" s="14">
        <f t="shared" si="11"/>
        <v>1890052.9201061579</v>
      </c>
      <c r="T28" s="14">
        <f>IFERROR(VLOOKUP(A28,Prêmio!$A$2:$C$48,3,FALSE),0)</f>
        <v>2039.1431868628574</v>
      </c>
      <c r="U28" s="14" t="str">
        <f t="shared" si="12"/>
        <v/>
      </c>
      <c r="V28" s="14" t="str">
        <f t="shared" si="13"/>
        <v/>
      </c>
      <c r="W28" s="14">
        <f t="shared" si="14"/>
        <v>-376284.25681313715</v>
      </c>
      <c r="X28" s="14">
        <f t="shared" si="20"/>
        <v>1892092.0632930207</v>
      </c>
      <c r="Y28" s="47">
        <f t="shared" si="15"/>
        <v>-376284.25681313715</v>
      </c>
      <c r="Z28" s="81">
        <f t="shared" si="21"/>
        <v>-2039.1431868628715</v>
      </c>
      <c r="AA28" s="81">
        <f t="shared" si="22"/>
        <v>0</v>
      </c>
      <c r="AB28" s="81">
        <f t="shared" si="23"/>
        <v>0</v>
      </c>
      <c r="AC28" s="81">
        <f t="shared" si="24"/>
        <v>0</v>
      </c>
      <c r="AD28" s="81">
        <f t="shared" si="0"/>
        <v>-2039.1431868628715</v>
      </c>
      <c r="AE28" s="81">
        <f t="shared" si="1"/>
        <v>0</v>
      </c>
      <c r="AF28" s="81">
        <f t="shared" si="2"/>
        <v>0</v>
      </c>
      <c r="AG28" s="81">
        <f t="shared" si="3"/>
        <v>-314455.50081592106</v>
      </c>
      <c r="AH28" s="81">
        <f t="shared" si="4"/>
        <v>2071645.2278189589</v>
      </c>
      <c r="AI28" s="81">
        <f t="shared" si="5"/>
        <v>134902.33628998295</v>
      </c>
      <c r="AO28" s="27">
        <f t="shared" si="6"/>
        <v>2039.1431868628715</v>
      </c>
      <c r="AQ28" s="13"/>
      <c r="AR28" s="27"/>
    </row>
    <row r="29" spans="1:44">
      <c r="A29" s="2" t="s">
        <v>34</v>
      </c>
      <c r="B29" s="45">
        <v>71</v>
      </c>
      <c r="C29" s="43">
        <v>235231.85</v>
      </c>
      <c r="D29" s="14">
        <f>IFERROR(VLOOKUP(A29,Exposição!$A$2:$M$48,13,FALSE),0)</f>
        <v>251084.48725284034</v>
      </c>
      <c r="E29" s="14">
        <f>IFERROR(VLOOKUP(A29,CCEAR_D!$A$2:$J$48,10,FALSE),0)</f>
        <v>-106623.83547047245</v>
      </c>
      <c r="F29" s="14">
        <f>IFERROR(VLOOKUP(A29,'RH Cotas'!$A$2:$C$48,2,FALSE),0)+IFERROR(VLOOKUP(A29,'Efeito RH do ACR'!$A$2:$D$48,3,FALSE),0)</f>
        <v>-41318.361333987094</v>
      </c>
      <c r="G29" s="14">
        <f>IFERROR(VLOOKUP(A29,'RH Itaipu'!$A$2:$B$48,2,FALSE),0)</f>
        <v>63713.25</v>
      </c>
      <c r="H29" s="14">
        <f>IFERROR(VLOOKUP(A29,ESS_SE!$A$3:$B$51,2,FALSE),0)</f>
        <v>-64300.09</v>
      </c>
      <c r="I29" s="14">
        <f>IFERROR(VLOOKUP(A29,'ESS ME'!$A$3:$C$49,3,FALSE),0)</f>
        <v>-2540.77</v>
      </c>
      <c r="J29" s="14">
        <f>IFERROR(VLOOKUP(A29,CONER!$A$2:$B$48,2,FALSE),0)</f>
        <v>699210.54392546706</v>
      </c>
      <c r="K29" s="14">
        <f t="shared" si="7"/>
        <v>799225.22437384783</v>
      </c>
      <c r="L29" s="14">
        <f>IFERROR(VLOOKUP($A29,'CustoLiqNaoCobertoMesN-1'!$A$3:$F$101,L$2,FALSE),0)</f>
        <v>-109217.81388114531</v>
      </c>
      <c r="M29" s="14">
        <f>IFERROR(VLOOKUP($A29,'CustoLiqNaoCobertoMesN-1'!$A$3:$F$101,M$2,FALSE),0)</f>
        <v>606223.05161240487</v>
      </c>
      <c r="N29" s="14">
        <f>IFERROR(VLOOKUP($A29,'CustoLiqNaoCobertoMesN-1'!$A$3:$F$101,N$2,FALSE),0)</f>
        <v>-69280.501766758956</v>
      </c>
      <c r="O29" s="14">
        <f>IFERROR(VLOOKUP($A29,'CustoLiqNaoCobertoMesN-1'!$A$3:$F$101,O$2,FALSE),0)</f>
        <v>427724.73596450058</v>
      </c>
      <c r="P29" s="14">
        <f t="shared" si="8"/>
        <v>-193446.76068560488</v>
      </c>
      <c r="Q29" s="14">
        <f t="shared" si="9"/>
        <v>1238592.735537872</v>
      </c>
      <c r="R29" s="14">
        <f t="shared" si="10"/>
        <v>181803.98548608139</v>
      </c>
      <c r="S29" s="14">
        <f t="shared" si="11"/>
        <v>1226949.9603383485</v>
      </c>
      <c r="T29" s="14">
        <f>IFERROR(VLOOKUP(A29,Prêmio!$A$2:$C$48,3,FALSE),0)</f>
        <v>1489.7874047053506</v>
      </c>
      <c r="U29" s="14" t="str">
        <f t="shared" si="12"/>
        <v/>
      </c>
      <c r="V29" s="14" t="str">
        <f t="shared" si="13"/>
        <v/>
      </c>
      <c r="W29" s="14">
        <f t="shared" si="14"/>
        <v>-233742.06259529464</v>
      </c>
      <c r="X29" s="14">
        <f t="shared" si="20"/>
        <v>1228439.7477430538</v>
      </c>
      <c r="Y29" s="47">
        <f t="shared" si="15"/>
        <v>-233742.06259529464</v>
      </c>
      <c r="Z29" s="81">
        <f t="shared" si="21"/>
        <v>-1489.7874047053629</v>
      </c>
      <c r="AA29" s="81">
        <f t="shared" si="22"/>
        <v>0</v>
      </c>
      <c r="AB29" s="81">
        <f t="shared" si="23"/>
        <v>0</v>
      </c>
      <c r="AC29" s="81">
        <f t="shared" si="24"/>
        <v>0</v>
      </c>
      <c r="AD29" s="81">
        <f t="shared" si="0"/>
        <v>-1489.7874047053629</v>
      </c>
      <c r="AE29" s="81">
        <f t="shared" si="1"/>
        <v>0</v>
      </c>
      <c r="AF29" s="81">
        <f t="shared" si="2"/>
        <v>0</v>
      </c>
      <c r="AG29" s="81">
        <f t="shared" si="3"/>
        <v>-191956.97328089952</v>
      </c>
      <c r="AH29" s="81">
        <f t="shared" si="4"/>
        <v>1238592.735537872</v>
      </c>
      <c r="AI29" s="81">
        <f t="shared" si="5"/>
        <v>181803.98548608139</v>
      </c>
      <c r="AO29" s="27">
        <f t="shared" si="6"/>
        <v>1489.7874047053629</v>
      </c>
      <c r="AQ29" s="13"/>
      <c r="AR29" s="27"/>
    </row>
    <row r="30" spans="1:44">
      <c r="A30" s="2" t="s">
        <v>38</v>
      </c>
      <c r="B30" s="45">
        <v>70</v>
      </c>
      <c r="C30" s="43">
        <v>178387.05000000002</v>
      </c>
      <c r="D30" s="14">
        <f>IFERROR(VLOOKUP(A30,Exposição!$A$2:$M$48,13,FALSE),0)</f>
        <v>148815.19956483605</v>
      </c>
      <c r="E30" s="14">
        <f>IFERROR(VLOOKUP(A30,CCEAR_D!$A$2:$J$48,10,FALSE),0)</f>
        <v>-44591.952713979117</v>
      </c>
      <c r="F30" s="14">
        <f>IFERROR(VLOOKUP(A30,'RH Cotas'!$A$2:$C$48,2,FALSE),0)+IFERROR(VLOOKUP(A30,'Efeito RH do ACR'!$A$2:$D$48,3,FALSE),0)</f>
        <v>-19861.482903210366</v>
      </c>
      <c r="G30" s="14">
        <f>IFERROR(VLOOKUP(A30,'RH Itaipu'!$A$2:$B$48,2,FALSE),0)</f>
        <v>47967.09</v>
      </c>
      <c r="H30" s="14">
        <f>IFERROR(VLOOKUP(A30,ESS_SE!$A$3:$B$51,2,FALSE),0)</f>
        <v>-44390.740000000005</v>
      </c>
      <c r="I30" s="14">
        <f>IFERROR(VLOOKUP(A30,'ESS ME'!$A$3:$C$49,3,FALSE),0)</f>
        <v>-1882.76</v>
      </c>
      <c r="J30" s="14">
        <f>IFERROR(VLOOKUP(A30,CONER!$A$2:$B$48,2,FALSE),0)</f>
        <v>494752.21107152267</v>
      </c>
      <c r="K30" s="14">
        <f t="shared" si="7"/>
        <v>580807.56501916924</v>
      </c>
      <c r="L30" s="14">
        <f>IFERROR(VLOOKUP($A30,'CustoLiqNaoCobertoMesN-1'!$A$3:$F$101,L$2,FALSE),0)</f>
        <v>-48543.697912574942</v>
      </c>
      <c r="M30" s="14">
        <f>IFERROR(VLOOKUP($A30,'CustoLiqNaoCobertoMesN-1'!$A$3:$F$101,M$2,FALSE),0)</f>
        <v>433723.01765958237</v>
      </c>
      <c r="N30" s="14">
        <f>IFERROR(VLOOKUP($A30,'CustoLiqNaoCobertoMesN-1'!$A$3:$F$101,N$2,FALSE),0)</f>
        <v>-19854.079869171761</v>
      </c>
      <c r="O30" s="14">
        <f>IFERROR(VLOOKUP($A30,'CustoLiqNaoCobertoMesN-1'!$A$3:$F$101,O$2,FALSE),0)</f>
        <v>365325.23987783567</v>
      </c>
      <c r="P30" s="14">
        <f t="shared" si="8"/>
        <v>-65030.043529764429</v>
      </c>
      <c r="Q30" s="14">
        <f t="shared" si="9"/>
        <v>882201.7287311051</v>
      </c>
      <c r="R30" s="14">
        <f t="shared" si="10"/>
        <v>128961.11969566428</v>
      </c>
      <c r="S30" s="14">
        <f t="shared" si="11"/>
        <v>946132.80489700497</v>
      </c>
      <c r="T30" s="14">
        <f>IFERROR(VLOOKUP(A30,Prêmio!$A$2:$C$48,3,FALSE),0)</f>
        <v>1071.2361068524622</v>
      </c>
      <c r="U30" s="14" t="str">
        <f t="shared" si="12"/>
        <v/>
      </c>
      <c r="V30" s="14" t="str">
        <f t="shared" si="13"/>
        <v/>
      </c>
      <c r="W30" s="14">
        <f t="shared" si="14"/>
        <v>-177315.81389314757</v>
      </c>
      <c r="X30" s="14">
        <f t="shared" si="20"/>
        <v>947204.04100385751</v>
      </c>
      <c r="Y30" s="47">
        <f t="shared" si="15"/>
        <v>-177315.81389314757</v>
      </c>
      <c r="Z30" s="81">
        <f t="shared" si="21"/>
        <v>-1071.2361068524478</v>
      </c>
      <c r="AA30" s="81">
        <f t="shared" si="22"/>
        <v>0</v>
      </c>
      <c r="AB30" s="81">
        <f t="shared" si="23"/>
        <v>0</v>
      </c>
      <c r="AC30" s="81">
        <f t="shared" si="24"/>
        <v>0</v>
      </c>
      <c r="AD30" s="81">
        <f t="shared" si="0"/>
        <v>-1071.2361068524478</v>
      </c>
      <c r="AE30" s="81">
        <f t="shared" si="1"/>
        <v>0</v>
      </c>
      <c r="AF30" s="81">
        <f t="shared" si="2"/>
        <v>0</v>
      </c>
      <c r="AG30" s="81">
        <f t="shared" si="3"/>
        <v>-63958.807422911981</v>
      </c>
      <c r="AH30" s="81">
        <f t="shared" si="4"/>
        <v>882201.7287311051</v>
      </c>
      <c r="AI30" s="81">
        <f t="shared" si="5"/>
        <v>128961.11969566428</v>
      </c>
      <c r="AO30" s="27">
        <f t="shared" si="6"/>
        <v>1071.2361068524478</v>
      </c>
      <c r="AQ30" s="13"/>
      <c r="AR30" s="27"/>
    </row>
    <row r="31" spans="1:44">
      <c r="A31" s="2" t="s">
        <v>5</v>
      </c>
      <c r="B31" s="45">
        <v>63</v>
      </c>
      <c r="C31" s="43">
        <v>16870068.890000001</v>
      </c>
      <c r="D31" s="14">
        <f>IFERROR(VLOOKUP(A31,Exposição!$A$2:$M$48,13,FALSE),0)</f>
        <v>4360226.3204319524</v>
      </c>
      <c r="E31" s="14">
        <f>IFERROR(VLOOKUP(A31,CCEAR_D!$A$2:$J$48,10,FALSE),0)</f>
        <v>-12853945.457853705</v>
      </c>
      <c r="F31" s="14">
        <f>IFERROR(VLOOKUP(A31,'RH Cotas'!$A$2:$C$48,2,FALSE),0)+IFERROR(VLOOKUP(A31,'Efeito RH do ACR'!$A$2:$D$48,3,FALSE),0)</f>
        <v>-14911130.07</v>
      </c>
      <c r="G31" s="14">
        <f>IFERROR(VLOOKUP(A31,'RH Itaipu'!$A$2:$B$48,2,FALSE),0)</f>
        <v>4782794.6900000004</v>
      </c>
      <c r="H31" s="14">
        <f>IFERROR(VLOOKUP(A31,ESS_SE!$A$3:$B$51,2,FALSE),0)</f>
        <v>-4973766.43</v>
      </c>
      <c r="I31" s="14">
        <f>IFERROR(VLOOKUP(A31,'ESS ME'!$A$3:$C$49,3,FALSE),0)</f>
        <v>-199439.62</v>
      </c>
      <c r="J31" s="14">
        <f>IFERROR(VLOOKUP(A31,CONER!$A$2:$B$48,2,FALSE),0)</f>
        <v>54436598.629662164</v>
      </c>
      <c r="K31" s="14">
        <f t="shared" si="7"/>
        <v>30641338.062240411</v>
      </c>
      <c r="L31" s="14">
        <f>IFERROR(VLOOKUP($A31,'CustoLiqNaoCobertoMesN-1'!$A$3:$F$101,L$2,FALSE),0)</f>
        <v>5429485.722600013</v>
      </c>
      <c r="M31" s="14">
        <f>IFERROR(VLOOKUP($A31,'CustoLiqNaoCobertoMesN-1'!$A$3:$F$101,M$2,FALSE),0)</f>
        <v>25016830.929662168</v>
      </c>
      <c r="N31" s="14">
        <f>IFERROR(VLOOKUP($A31,'CustoLiqNaoCobertoMesN-1'!$A$3:$F$101,N$2,FALSE),0)</f>
        <v>-8328482.1397282034</v>
      </c>
      <c r="O31" s="14">
        <f>IFERROR(VLOOKUP($A31,'CustoLiqNaoCobertoMesN-1'!$A$3:$F$101,O$2,FALSE),0)</f>
        <v>22117834.512533978</v>
      </c>
      <c r="P31" s="14">
        <f t="shared" si="8"/>
        <v>-17552795.115253691</v>
      </c>
      <c r="Q31" s="14">
        <f t="shared" si="9"/>
        <v>74280223.509324342</v>
      </c>
      <c r="R31" s="14">
        <f t="shared" si="10"/>
        <v>-3968255.8192962511</v>
      </c>
      <c r="S31" s="14">
        <f t="shared" si="11"/>
        <v>52759172.574774384</v>
      </c>
      <c r="T31" s="14">
        <f>IFERROR(VLOOKUP(A31,Prêmio!$A$2:$C$48,3,FALSE),0)</f>
        <v>113909.57861935358</v>
      </c>
      <c r="U31" s="14" t="str">
        <f t="shared" si="12"/>
        <v/>
      </c>
      <c r="V31" s="14" t="str">
        <f t="shared" si="13"/>
        <v/>
      </c>
      <c r="W31" s="14">
        <f t="shared" si="14"/>
        <v>-16756159.311380647</v>
      </c>
      <c r="X31" s="14">
        <f t="shared" si="20"/>
        <v>52873082.153393738</v>
      </c>
      <c r="Y31" s="47">
        <f t="shared" si="15"/>
        <v>-16756159.311380647</v>
      </c>
      <c r="Z31" s="81">
        <f t="shared" si="21"/>
        <v>-113909.57861935347</v>
      </c>
      <c r="AA31" s="81">
        <f t="shared" si="22"/>
        <v>0</v>
      </c>
      <c r="AB31" s="81">
        <f t="shared" si="23"/>
        <v>0</v>
      </c>
      <c r="AC31" s="81">
        <f t="shared" si="24"/>
        <v>0</v>
      </c>
      <c r="AD31" s="81">
        <f t="shared" si="0"/>
        <v>-113909.57861935347</v>
      </c>
      <c r="AE31" s="81">
        <f t="shared" si="1"/>
        <v>0</v>
      </c>
      <c r="AF31" s="81">
        <f t="shared" si="2"/>
        <v>0</v>
      </c>
      <c r="AG31" s="81">
        <f t="shared" si="3"/>
        <v>-17438885.536634337</v>
      </c>
      <c r="AH31" s="81">
        <f t="shared" si="4"/>
        <v>74280223.509324342</v>
      </c>
      <c r="AI31" s="81">
        <f t="shared" si="5"/>
        <v>-3968255.8192962511</v>
      </c>
      <c r="AO31" s="27">
        <f t="shared" si="6"/>
        <v>113909.57861935347</v>
      </c>
      <c r="AQ31" s="13"/>
      <c r="AR31" s="27"/>
    </row>
    <row r="32" spans="1:44">
      <c r="A32" s="2" t="s">
        <v>32</v>
      </c>
      <c r="B32" s="45">
        <v>2937</v>
      </c>
      <c r="C32" s="43">
        <v>6907095.8000000007</v>
      </c>
      <c r="D32" s="14">
        <f>IFERROR(VLOOKUP(A32,Exposição!$A$2:$M$48,13,FALSE),0)</f>
        <v>7466230.7912679585</v>
      </c>
      <c r="E32" s="14">
        <f>IFERROR(VLOOKUP(A32,CCEAR_D!$A$2:$J$48,10,FALSE),0)</f>
        <v>-9343769.6101109385</v>
      </c>
      <c r="F32" s="14">
        <f>IFERROR(VLOOKUP(A32,'RH Cotas'!$A$2:$C$48,2,FALSE),0)+IFERROR(VLOOKUP(A32,'Efeito RH do ACR'!$A$2:$D$48,3,FALSE),0)</f>
        <v>-4996625.2</v>
      </c>
      <c r="G32" s="14">
        <f>IFERROR(VLOOKUP(A32,'RH Itaipu'!$A$2:$B$48,2,FALSE),0)</f>
        <v>2060851.88</v>
      </c>
      <c r="H32" s="14">
        <f>IFERROR(VLOOKUP(A32,ESS_SE!$A$3:$B$51,2,FALSE),0)</f>
        <v>-2141049.29</v>
      </c>
      <c r="I32" s="14">
        <f>IFERROR(VLOOKUP(A32,'ESS ME'!$A$3:$C$49,3,FALSE),0)</f>
        <v>-77591.09</v>
      </c>
      <c r="J32" s="14">
        <f>IFERROR(VLOOKUP(A32,CONER!$A$2:$B$48,2,FALSE),0)</f>
        <v>22229714.570259925</v>
      </c>
      <c r="K32" s="14">
        <f t="shared" si="7"/>
        <v>15197762.051416945</v>
      </c>
      <c r="L32" s="14">
        <f>IFERROR(VLOOKUP($A32,'CustoLiqNaoCobertoMesN-1'!$A$3:$F$101,L$2,FALSE),0)</f>
        <v>-40794671.918269634</v>
      </c>
      <c r="M32" s="14">
        <f>IFERROR(VLOOKUP($A32,'CustoLiqNaoCobertoMesN-1'!$A$3:$F$101,M$2,FALSE),0)</f>
        <v>6696810.0905198492</v>
      </c>
      <c r="N32" s="14">
        <f>IFERROR(VLOOKUP($A32,'CustoLiqNaoCobertoMesN-1'!$A$3:$F$101,N$2,FALSE),0)</f>
        <v>-53522641.853068039</v>
      </c>
      <c r="O32" s="14">
        <f>IFERROR(VLOOKUP($A32,'CustoLiqNaoCobertoMesN-1'!$A$3:$F$101,O$2,FALSE),0)</f>
        <v>-87620503.680817828</v>
      </c>
      <c r="P32" s="14">
        <f t="shared" si="8"/>
        <v>-53074214.848380573</v>
      </c>
      <c r="Q32" s="14">
        <f t="shared" si="9"/>
        <v>26707884.280779775</v>
      </c>
      <c r="R32" s="14">
        <f t="shared" si="10"/>
        <v>-46056411.061800078</v>
      </c>
      <c r="S32" s="14">
        <f t="shared" si="11"/>
        <v>-72422741.629400879</v>
      </c>
      <c r="T32" s="14">
        <f>IFERROR(VLOOKUP(A32,Prêmio!$A$2:$C$48,3,FALSE),0)</f>
        <v>44679.220470669483</v>
      </c>
      <c r="U32" s="14" t="str">
        <f t="shared" si="12"/>
        <v/>
      </c>
      <c r="V32" s="14" t="str">
        <f t="shared" si="13"/>
        <v/>
      </c>
      <c r="W32" s="14">
        <f t="shared" si="14"/>
        <v>10013085.507605096</v>
      </c>
      <c r="X32" s="14">
        <f t="shared" si="20"/>
        <v>-55502560.321795776</v>
      </c>
      <c r="Y32" s="47">
        <f t="shared" si="15"/>
        <v>10013085.507605096</v>
      </c>
      <c r="Z32" s="81">
        <f t="shared" si="21"/>
        <v>-16920181.307605095</v>
      </c>
      <c r="AA32" s="81">
        <f t="shared" si="22"/>
        <v>0</v>
      </c>
      <c r="AB32" s="81">
        <f t="shared" si="23"/>
        <v>-1.862645149230957E-9</v>
      </c>
      <c r="AC32" s="81">
        <f t="shared" si="24"/>
        <v>-1.862645149230957E-9</v>
      </c>
      <c r="AD32" s="81">
        <f t="shared" si="0"/>
        <v>-16920181.307605095</v>
      </c>
      <c r="AE32" s="81">
        <f t="shared" si="1"/>
        <v>0</v>
      </c>
      <c r="AF32" s="81">
        <f t="shared" si="2"/>
        <v>-1.862645149230957E-9</v>
      </c>
      <c r="AG32" s="81">
        <f t="shared" si="3"/>
        <v>-36154033.540775478</v>
      </c>
      <c r="AH32" s="81">
        <f t="shared" si="4"/>
        <v>26707884.280779775</v>
      </c>
      <c r="AI32" s="81">
        <f t="shared" si="5"/>
        <v>-46056411.061800078</v>
      </c>
      <c r="AO32" s="27">
        <f t="shared" si="6"/>
        <v>16920181.307605095</v>
      </c>
      <c r="AQ32" s="13"/>
      <c r="AR32" s="27"/>
    </row>
    <row r="33" spans="1:44">
      <c r="A33" s="2" t="s">
        <v>12</v>
      </c>
      <c r="B33" s="45">
        <v>72</v>
      </c>
      <c r="C33" s="43">
        <v>759854.72999999986</v>
      </c>
      <c r="D33" s="14">
        <f>IFERROR(VLOOKUP(A33,Exposição!$A$2:$M$48,13,FALSE),0)</f>
        <v>-72220.719201450469</v>
      </c>
      <c r="E33" s="14">
        <f>IFERROR(VLOOKUP(A33,CCEAR_D!$A$2:$J$48,10,FALSE),0)</f>
        <v>-464751.98083937558</v>
      </c>
      <c r="F33" s="14">
        <f>IFERROR(VLOOKUP(A33,'RH Cotas'!$A$2:$C$48,2,FALSE),0)+IFERROR(VLOOKUP(A33,'Efeito RH do ACR'!$A$2:$D$48,3,FALSE),0)</f>
        <v>-378499.21591415815</v>
      </c>
      <c r="G33" s="14">
        <f>IFERROR(VLOOKUP(A33,'RH Itaipu'!$A$2:$B$48,2,FALSE),0)</f>
        <v>196662.64</v>
      </c>
      <c r="H33" s="14">
        <f>IFERROR(VLOOKUP(A33,ESS_SE!$A$3:$B$51,2,FALSE),0)</f>
        <v>-231872.88</v>
      </c>
      <c r="I33" s="14">
        <f>IFERROR(VLOOKUP(A33,'ESS ME'!$A$3:$C$49,3,FALSE),0)</f>
        <v>-9128.08</v>
      </c>
      <c r="J33" s="14">
        <f>IFERROR(VLOOKUP(A33,CONER!$A$2:$B$48,2,FALSE),0)</f>
        <v>2338113.8746864013</v>
      </c>
      <c r="K33" s="14">
        <f t="shared" si="7"/>
        <v>1378303.6387314172</v>
      </c>
      <c r="L33" s="14">
        <f>IFERROR(VLOOKUP($A33,'CustoLiqNaoCobertoMesN-1'!$A$3:$F$101,L$2,FALSE),0)</f>
        <v>822050.2156067912</v>
      </c>
      <c r="M33" s="14">
        <f>IFERROR(VLOOKUP($A33,'CustoLiqNaoCobertoMesN-1'!$A$3:$F$101,M$2,FALSE),0)</f>
        <v>1935228.4210735813</v>
      </c>
      <c r="N33" s="14">
        <f>IFERROR(VLOOKUP($A33,'CustoLiqNaoCobertoMesN-1'!$A$3:$F$101,N$2,FALSE),0)</f>
        <v>-236011.01100584262</v>
      </c>
      <c r="O33" s="14">
        <f>IFERROR(VLOOKUP($A33,'CustoLiqNaoCobertoMesN-1'!$A$3:$F$101,O$2,FALSE),0)</f>
        <v>2521267.6256745299</v>
      </c>
      <c r="P33" s="14">
        <f t="shared" si="8"/>
        <v>175461.65885325742</v>
      </c>
      <c r="Q33" s="14">
        <f t="shared" si="9"/>
        <v>4032341.3357599825</v>
      </c>
      <c r="R33" s="14">
        <f t="shared" si="10"/>
        <v>-308231.73020729306</v>
      </c>
      <c r="S33" s="14">
        <f t="shared" si="11"/>
        <v>3899571.2644059472</v>
      </c>
      <c r="T33" s="14">
        <f>IFERROR(VLOOKUP(A33,Prêmio!$A$2:$C$48,3,FALSE),0)</f>
        <v>5302.4946168913202</v>
      </c>
      <c r="U33" s="14" t="str">
        <f t="shared" si="12"/>
        <v/>
      </c>
      <c r="V33" s="14" t="str">
        <f t="shared" si="13"/>
        <v/>
      </c>
      <c r="W33" s="14">
        <f t="shared" si="14"/>
        <v>-754552.23538310849</v>
      </c>
      <c r="X33" s="14">
        <f t="shared" si="20"/>
        <v>3904873.7590228389</v>
      </c>
      <c r="Y33" s="47">
        <f t="shared" si="15"/>
        <v>-754552.23538310849</v>
      </c>
      <c r="Z33" s="81">
        <f t="shared" si="21"/>
        <v>0</v>
      </c>
      <c r="AA33" s="81">
        <f t="shared" si="22"/>
        <v>0</v>
      </c>
      <c r="AB33" s="81">
        <f t="shared" si="23"/>
        <v>-5302.4946168913739</v>
      </c>
      <c r="AC33" s="81">
        <f t="shared" si="24"/>
        <v>0</v>
      </c>
      <c r="AD33" s="81">
        <f t="shared" si="0"/>
        <v>0</v>
      </c>
      <c r="AE33" s="81">
        <f t="shared" si="1"/>
        <v>0</v>
      </c>
      <c r="AF33" s="81">
        <f t="shared" si="2"/>
        <v>-5302.4946168913739</v>
      </c>
      <c r="AG33" s="81">
        <f t="shared" si="3"/>
        <v>175461.65885325742</v>
      </c>
      <c r="AH33" s="81">
        <f t="shared" si="4"/>
        <v>4032341.3357599825</v>
      </c>
      <c r="AI33" s="81">
        <f t="shared" si="5"/>
        <v>-302929.23559040169</v>
      </c>
      <c r="AO33" s="27">
        <f t="shared" si="6"/>
        <v>5302.4946168913739</v>
      </c>
      <c r="AQ33" s="13"/>
      <c r="AR33" s="27"/>
    </row>
    <row r="34" spans="1:44">
      <c r="A34" s="2" t="s">
        <v>29</v>
      </c>
      <c r="B34" s="45">
        <v>73</v>
      </c>
      <c r="C34" s="43">
        <v>385081.43</v>
      </c>
      <c r="D34" s="14">
        <f>IFERROR(VLOOKUP(A34,Exposição!$A$2:$M$48,13,FALSE),0)</f>
        <v>403444.54432397243</v>
      </c>
      <c r="E34" s="14">
        <f>IFERROR(VLOOKUP(A34,CCEAR_D!$A$2:$J$48,10,FALSE),0)</f>
        <v>-209002.27897666383</v>
      </c>
      <c r="F34" s="14">
        <f>IFERROR(VLOOKUP(A34,'RH Cotas'!$A$2:$C$48,2,FALSE),0)+IFERROR(VLOOKUP(A34,'Efeito RH do ACR'!$A$2:$D$48,3,FALSE),0)</f>
        <v>-36281.787006714658</v>
      </c>
      <c r="G34" s="14">
        <f>IFERROR(VLOOKUP(A34,'RH Itaipu'!$A$2:$B$48,2,FALSE),0)</f>
        <v>85659.64</v>
      </c>
      <c r="H34" s="14">
        <f>IFERROR(VLOOKUP(A34,ESS_SE!$A$3:$B$51,2,FALSE),0)</f>
        <v>-85691.010000000009</v>
      </c>
      <c r="I34" s="14">
        <f>IFERROR(VLOOKUP(A34,'ESS ME'!$A$3:$C$49,3,FALSE),0)</f>
        <v>-3776.52</v>
      </c>
      <c r="J34" s="14">
        <f>IFERROR(VLOOKUP(A34,CONER!$A$2:$B$48,2,FALSE),0)</f>
        <v>948914.22876810632</v>
      </c>
      <c r="K34" s="14">
        <f t="shared" si="7"/>
        <v>1103266.8171087003</v>
      </c>
      <c r="L34" s="14">
        <f>IFERROR(VLOOKUP($A34,'CustoLiqNaoCobertoMesN-1'!$A$3:$F$101,L$2,FALSE),0)</f>
        <v>-253482.11692148753</v>
      </c>
      <c r="M34" s="14">
        <f>IFERROR(VLOOKUP($A34,'CustoLiqNaoCobertoMesN-1'!$A$3:$F$101,M$2,FALSE),0)</f>
        <v>822188.8150889487</v>
      </c>
      <c r="N34" s="14">
        <f>IFERROR(VLOOKUP($A34,'CustoLiqNaoCobertoMesN-1'!$A$3:$F$101,N$2,FALSE),0)</f>
        <v>-60557.925226457548</v>
      </c>
      <c r="O34" s="14">
        <f>IFERROR(VLOOKUP($A34,'CustoLiqNaoCobertoMesN-1'!$A$3:$F$101,O$2,FALSE),0)</f>
        <v>508148.77294100367</v>
      </c>
      <c r="P34" s="14">
        <f t="shared" si="8"/>
        <v>-413106.54290486604</v>
      </c>
      <c r="Q34" s="14">
        <f t="shared" si="9"/>
        <v>1681635.513857055</v>
      </c>
      <c r="R34" s="14">
        <f t="shared" si="10"/>
        <v>342886.61909751489</v>
      </c>
      <c r="S34" s="14">
        <f t="shared" si="11"/>
        <v>1611415.5900497041</v>
      </c>
      <c r="T34" s="14">
        <f>IFERROR(VLOOKUP(A34,Prêmio!$A$2:$C$48,3,FALSE),0)</f>
        <v>2174.9446428859578</v>
      </c>
      <c r="U34" s="14" t="str">
        <f t="shared" si="12"/>
        <v/>
      </c>
      <c r="V34" s="14" t="str">
        <f t="shared" si="13"/>
        <v/>
      </c>
      <c r="W34" s="14">
        <f t="shared" si="14"/>
        <v>-382906.48535711406</v>
      </c>
      <c r="X34" s="14">
        <f t="shared" si="20"/>
        <v>1613590.5346925899</v>
      </c>
      <c r="Y34" s="47">
        <f t="shared" si="15"/>
        <v>-382906.48535711406</v>
      </c>
      <c r="Z34" s="81">
        <f t="shared" si="21"/>
        <v>-2174.9446428859374</v>
      </c>
      <c r="AA34" s="81">
        <f t="shared" si="22"/>
        <v>0</v>
      </c>
      <c r="AB34" s="81">
        <f t="shared" si="23"/>
        <v>0</v>
      </c>
      <c r="AC34" s="81">
        <f t="shared" si="24"/>
        <v>0</v>
      </c>
      <c r="AD34" s="81">
        <f t="shared" si="0"/>
        <v>-2174.9446428859374</v>
      </c>
      <c r="AE34" s="81">
        <f t="shared" si="1"/>
        <v>0</v>
      </c>
      <c r="AF34" s="81">
        <f t="shared" si="2"/>
        <v>0</v>
      </c>
      <c r="AG34" s="81">
        <f t="shared" si="3"/>
        <v>-410931.59826198011</v>
      </c>
      <c r="AH34" s="81">
        <f t="shared" si="4"/>
        <v>1681635.513857055</v>
      </c>
      <c r="AI34" s="81">
        <f t="shared" si="5"/>
        <v>342886.61909751489</v>
      </c>
      <c r="AO34" s="27">
        <f t="shared" si="6"/>
        <v>2174.9446428859374</v>
      </c>
      <c r="AQ34" s="13"/>
      <c r="AR34" s="27"/>
    </row>
    <row r="35" spans="1:44">
      <c r="A35" s="2" t="s">
        <v>33</v>
      </c>
      <c r="B35" s="45">
        <v>51</v>
      </c>
      <c r="C35" s="43">
        <v>260943</v>
      </c>
      <c r="D35" s="14">
        <f>IFERROR(VLOOKUP(A35,Exposição!$A$2:$M$48,13,FALSE),0)</f>
        <v>1297559.274564605</v>
      </c>
      <c r="E35" s="14">
        <f>IFERROR(VLOOKUP(A35,CCEAR_D!$A$2:$J$48,10,FALSE),0)</f>
        <v>-2182.7266553171053</v>
      </c>
      <c r="F35" s="14">
        <f>IFERROR(VLOOKUP(A35,'RH Cotas'!$A$2:$C$48,2,FALSE),0)+IFERROR(VLOOKUP(A35,'Efeito RH do ACR'!$A$2:$D$48,3,FALSE),0)</f>
        <v>-233583.58000000002</v>
      </c>
      <c r="G35" s="14">
        <f>IFERROR(VLOOKUP(A35,'RH Itaipu'!$A$2:$B$48,2,FALSE),0)</f>
        <v>88937.33</v>
      </c>
      <c r="H35" s="14">
        <f>IFERROR(VLOOKUP(A35,ESS_SE!$A$3:$B$51,2,FALSE),0)</f>
        <v>-62738.789999999994</v>
      </c>
      <c r="I35" s="14">
        <f>IFERROR(VLOOKUP(A35,'ESS ME'!$A$3:$C$49,3,FALSE),0)</f>
        <v>-2389.3000000000002</v>
      </c>
      <c r="J35" s="14">
        <f>IFERROR(VLOOKUP(A35,CONER!$A$2:$B$48,2,FALSE),0)</f>
        <v>872373.86401763838</v>
      </c>
      <c r="K35" s="14">
        <f t="shared" si="7"/>
        <v>1957976.0719269263</v>
      </c>
      <c r="L35" s="14">
        <f>IFERROR(VLOOKUP($A35,'CustoLiqNaoCobertoMesN-1'!$A$3:$F$101,L$2,FALSE),0)</f>
        <v>-1859490.1303968178</v>
      </c>
      <c r="M35" s="14">
        <f>IFERROR(VLOOKUP($A35,'CustoLiqNaoCobertoMesN-1'!$A$3:$F$101,M$2,FALSE),0)</f>
        <v>568739.44803527696</v>
      </c>
      <c r="N35" s="14">
        <f>IFERROR(VLOOKUP($A35,'CustoLiqNaoCobertoMesN-1'!$A$3:$F$101,N$2,FALSE),0)</f>
        <v>314163.42168177478</v>
      </c>
      <c r="O35" s="14">
        <f>IFERROR(VLOOKUP($A35,'CustoLiqNaoCobertoMesN-1'!$A$3:$F$101,O$2,FALSE),0)</f>
        <v>-976587.26067976607</v>
      </c>
      <c r="P35" s="14">
        <f t="shared" si="8"/>
        <v>-2006319.1070521348</v>
      </c>
      <c r="Q35" s="14">
        <f t="shared" si="9"/>
        <v>1375985.2220529155</v>
      </c>
      <c r="R35" s="14">
        <f t="shared" si="10"/>
        <v>1611722.6962463798</v>
      </c>
      <c r="S35" s="14">
        <f t="shared" si="11"/>
        <v>981388.81124716019</v>
      </c>
      <c r="T35" s="14">
        <f>IFERROR(VLOOKUP(A35,Prêmio!$A$2:$C$48,3,FALSE),0)</f>
        <v>1377.3735163395886</v>
      </c>
      <c r="U35" s="14" t="str">
        <f t="shared" si="12"/>
        <v/>
      </c>
      <c r="V35" s="14" t="str">
        <f t="shared" si="13"/>
        <v/>
      </c>
      <c r="W35" s="14">
        <f t="shared" si="14"/>
        <v>-259565.62648366042</v>
      </c>
      <c r="X35" s="14">
        <f t="shared" si="20"/>
        <v>982766.18476349977</v>
      </c>
      <c r="Y35" s="47">
        <f t="shared" si="15"/>
        <v>-259565.62648366042</v>
      </c>
      <c r="Z35" s="81">
        <f t="shared" si="21"/>
        <v>-1377.3735163395759</v>
      </c>
      <c r="AA35" s="81">
        <f t="shared" si="22"/>
        <v>0</v>
      </c>
      <c r="AB35" s="81">
        <f t="shared" si="23"/>
        <v>0</v>
      </c>
      <c r="AC35" s="81">
        <f t="shared" si="24"/>
        <v>0</v>
      </c>
      <c r="AD35" s="81">
        <f t="shared" si="0"/>
        <v>-1377.3735163395759</v>
      </c>
      <c r="AE35" s="81">
        <f t="shared" si="1"/>
        <v>0</v>
      </c>
      <c r="AF35" s="81">
        <f t="shared" si="2"/>
        <v>0</v>
      </c>
      <c r="AG35" s="81">
        <f t="shared" si="3"/>
        <v>-2004941.7335357952</v>
      </c>
      <c r="AH35" s="81">
        <f t="shared" si="4"/>
        <v>1375985.2220529155</v>
      </c>
      <c r="AI35" s="81">
        <f t="shared" si="5"/>
        <v>1611722.6962463798</v>
      </c>
      <c r="AO35" s="27">
        <f t="shared" si="6"/>
        <v>1377.3735163395759</v>
      </c>
      <c r="AQ35" s="13"/>
      <c r="AR35" s="27"/>
    </row>
    <row r="36" spans="1:44">
      <c r="A36" s="2" t="s">
        <v>10</v>
      </c>
      <c r="B36" s="45">
        <v>386</v>
      </c>
      <c r="C36" s="43">
        <v>621637.06999999401</v>
      </c>
      <c r="D36" s="14">
        <f>IFERROR(VLOOKUP(A36,Exposição!$A$2:$M$48,13,FALSE),0)</f>
        <v>497049.71615310607</v>
      </c>
      <c r="E36" s="14">
        <f>IFERROR(VLOOKUP(A36,CCEAR_D!$A$2:$J$48,10,FALSE),0)</f>
        <v>-428077.58052609325</v>
      </c>
      <c r="F36" s="14">
        <f>IFERROR(VLOOKUP(A36,'RH Cotas'!$A$2:$C$48,2,FALSE),0)+IFERROR(VLOOKUP(A36,'Efeito RH do ACR'!$A$2:$D$48,3,FALSE),0)</f>
        <v>-393067.17</v>
      </c>
      <c r="G36" s="14">
        <f>IFERROR(VLOOKUP(A36,'RH Itaipu'!$A$2:$B$48,2,FALSE),0)</f>
        <v>155202.89000000001</v>
      </c>
      <c r="H36" s="14">
        <f>IFERROR(VLOOKUP(A36,ESS_SE!$A$3:$B$51,2,FALSE),0)</f>
        <v>-160126.01</v>
      </c>
      <c r="I36" s="14">
        <f>IFERROR(VLOOKUP(A36,'ESS ME'!$A$3:$C$49,3,FALSE),0)</f>
        <v>-5684.9</v>
      </c>
      <c r="J36" s="14">
        <f>IFERROR(VLOOKUP(A36,CONER!$A$2:$B$48,2,FALSE),0)</f>
        <v>1724233.5201124009</v>
      </c>
      <c r="K36" s="14">
        <f t="shared" si="7"/>
        <v>1389530.4657394136</v>
      </c>
      <c r="L36" s="14">
        <f>IFERROR(VLOOKUP($A36,'CustoLiqNaoCobertoMesN-1'!$A$3:$F$101,L$2,FALSE),0)</f>
        <v>-1153988.6375993912</v>
      </c>
      <c r="M36" s="14">
        <f>IFERROR(VLOOKUP($A36,'CustoLiqNaoCobertoMesN-1'!$A$3:$F$101,M$2,FALSE),0)</f>
        <v>330535.95033408399</v>
      </c>
      <c r="N36" s="14">
        <f>IFERROR(VLOOKUP($A36,'CustoLiqNaoCobertoMesN-1'!$A$3:$F$101,N$2,FALSE),0)</f>
        <v>-6124725.5636361297</v>
      </c>
      <c r="O36" s="14">
        <f>IFERROR(VLOOKUP($A36,'CustoLiqNaoCobertoMesN-1'!$A$3:$F$101,O$2,FALSE),0)</f>
        <v>-6948178.2509014364</v>
      </c>
      <c r="P36" s="14">
        <f t="shared" si="8"/>
        <v>-1819930.4981254842</v>
      </c>
      <c r="Q36" s="14">
        <f t="shared" si="9"/>
        <v>1888958.5604464849</v>
      </c>
      <c r="R36" s="14">
        <f t="shared" si="10"/>
        <v>-5627675.847483024</v>
      </c>
      <c r="S36" s="14">
        <f t="shared" si="11"/>
        <v>-5558647.7851620223</v>
      </c>
      <c r="T36" s="14">
        <f>IFERROR(VLOOKUP(A36,Prêmio!$A$2:$C$48,3,FALSE),0)</f>
        <v>3229.0034500101669</v>
      </c>
      <c r="U36" s="14" t="str">
        <f t="shared" si="12"/>
        <v/>
      </c>
      <c r="V36" s="14" t="str">
        <f t="shared" si="13"/>
        <v/>
      </c>
      <c r="W36" s="14">
        <f t="shared" si="14"/>
        <v>676833.87251057266</v>
      </c>
      <c r="X36" s="14">
        <f t="shared" si="20"/>
        <v>-4260176.8426514557</v>
      </c>
      <c r="Y36" s="47">
        <f t="shared" si="15"/>
        <v>676833.87251057266</v>
      </c>
      <c r="Z36" s="81">
        <f t="shared" si="21"/>
        <v>-1298470.9425105667</v>
      </c>
      <c r="AA36" s="81">
        <f t="shared" si="22"/>
        <v>0</v>
      </c>
      <c r="AB36" s="81">
        <f t="shared" si="23"/>
        <v>0</v>
      </c>
      <c r="AC36" s="81">
        <f t="shared" si="24"/>
        <v>0</v>
      </c>
      <c r="AD36" s="81">
        <f t="shared" si="0"/>
        <v>-1298470.9425105667</v>
      </c>
      <c r="AE36" s="81">
        <f t="shared" si="1"/>
        <v>0</v>
      </c>
      <c r="AF36" s="81">
        <f t="shared" si="2"/>
        <v>0</v>
      </c>
      <c r="AG36" s="81">
        <f t="shared" si="3"/>
        <v>-521459.55561491754</v>
      </c>
      <c r="AH36" s="81">
        <f t="shared" si="4"/>
        <v>1888958.5604464849</v>
      </c>
      <c r="AI36" s="81">
        <f t="shared" si="5"/>
        <v>-5627675.847483024</v>
      </c>
      <c r="AO36" s="27">
        <f t="shared" si="6"/>
        <v>1298470.9425105667</v>
      </c>
      <c r="AQ36" s="13"/>
      <c r="AR36" s="27"/>
    </row>
    <row r="37" spans="1:44">
      <c r="A37" s="2" t="s">
        <v>7</v>
      </c>
      <c r="B37" s="45">
        <v>385</v>
      </c>
      <c r="C37" s="43">
        <v>7673069.2199999988</v>
      </c>
      <c r="D37" s="14">
        <f>IFERROR(VLOOKUP(A37,Exposição!$A$2:$M$48,13,FALSE),0)</f>
        <v>5205134.3636380928</v>
      </c>
      <c r="E37" s="14">
        <f>IFERROR(VLOOKUP(A37,CCEAR_D!$A$2:$J$48,10,FALSE),0)</f>
        <v>-5868854.3033615667</v>
      </c>
      <c r="F37" s="14">
        <f>IFERROR(VLOOKUP(A37,'RH Cotas'!$A$2:$C$48,2,FALSE),0)+IFERROR(VLOOKUP(A37,'Efeito RH do ACR'!$A$2:$D$48,3,FALSE),0)</f>
        <v>-8970407.0199999996</v>
      </c>
      <c r="G37" s="14">
        <f>IFERROR(VLOOKUP(A37,'RH Itaipu'!$A$2:$B$48,2,FALSE),0)</f>
        <v>2761214.04</v>
      </c>
      <c r="H37" s="14">
        <f>IFERROR(VLOOKUP(A37,ESS_SE!$A$3:$B$51,2,FALSE),0)</f>
        <v>-2904521.95</v>
      </c>
      <c r="I37" s="14">
        <f>IFERROR(VLOOKUP(A37,'ESS ME'!$A$3:$C$49,3,FALSE),0)</f>
        <v>-103190.67</v>
      </c>
      <c r="J37" s="14">
        <f>IFERROR(VLOOKUP(A37,CONER!$A$2:$B$48,2,FALSE),0)</f>
        <v>30410794.640814885</v>
      </c>
      <c r="K37" s="14">
        <f t="shared" si="7"/>
        <v>20530169.101091415</v>
      </c>
      <c r="L37" s="14">
        <f>IFERROR(VLOOKUP($A37,'CustoLiqNaoCobertoMesN-1'!$A$3:$F$101,L$2,FALSE),0)</f>
        <v>-21833270.73022506</v>
      </c>
      <c r="M37" s="14">
        <f>IFERROR(VLOOKUP($A37,'CustoLiqNaoCobertoMesN-1'!$A$3:$F$101,M$2,FALSE),0)</f>
        <v>3614531.8969797567</v>
      </c>
      <c r="N37" s="14">
        <f>IFERROR(VLOOKUP($A37,'CustoLiqNaoCobertoMesN-1'!$A$3:$F$101,N$2,FALSE),0)</f>
        <v>-83012631.720100254</v>
      </c>
      <c r="O37" s="14">
        <f>IFERROR(VLOOKUP($A37,'CustoLiqNaoCobertoMesN-1'!$A$3:$F$101,O$2,FALSE),0)</f>
        <v>-101231370.55334556</v>
      </c>
      <c r="P37" s="14">
        <f t="shared" si="8"/>
        <v>-33911318.013586625</v>
      </c>
      <c r="Q37" s="14">
        <f t="shared" si="9"/>
        <v>31017613.917794641</v>
      </c>
      <c r="R37" s="14">
        <f t="shared" si="10"/>
        <v>-77807497.356462166</v>
      </c>
      <c r="S37" s="14">
        <f t="shared" si="11"/>
        <v>-80701201.452254146</v>
      </c>
      <c r="T37" s="14">
        <f>IFERROR(VLOOKUP(A37,Prêmio!$A$2:$C$48,3,FALSE),0)</f>
        <v>59670.111825843967</v>
      </c>
      <c r="U37" s="14" t="str">
        <f t="shared" si="12"/>
        <v/>
      </c>
      <c r="V37" s="14" t="str">
        <f t="shared" si="13"/>
        <v/>
      </c>
      <c r="W37" s="14">
        <f t="shared" si="14"/>
        <v>11191098.800931541</v>
      </c>
      <c r="X37" s="14">
        <f t="shared" si="20"/>
        <v>-61837033.431322604</v>
      </c>
      <c r="Y37" s="47">
        <f t="shared" si="15"/>
        <v>11191098.800931541</v>
      </c>
      <c r="Z37" s="81">
        <f t="shared" si="21"/>
        <v>-18864168.020931542</v>
      </c>
      <c r="AA37" s="81">
        <f t="shared" si="22"/>
        <v>0</v>
      </c>
      <c r="AB37" s="81">
        <f t="shared" si="23"/>
        <v>1.862645149230957E-9</v>
      </c>
      <c r="AC37" s="81">
        <f t="shared" si="24"/>
        <v>1.862645149230957E-9</v>
      </c>
      <c r="AD37" s="81">
        <f t="shared" si="0"/>
        <v>-18864168.020931542</v>
      </c>
      <c r="AE37" s="81">
        <f t="shared" si="1"/>
        <v>0</v>
      </c>
      <c r="AF37" s="81">
        <f t="shared" si="2"/>
        <v>1.862645149230957E-9</v>
      </c>
      <c r="AG37" s="81">
        <f t="shared" si="3"/>
        <v>-15047149.992655084</v>
      </c>
      <c r="AH37" s="81">
        <f t="shared" si="4"/>
        <v>31017613.917794641</v>
      </c>
      <c r="AI37" s="81">
        <f t="shared" si="5"/>
        <v>-77807497.356462166</v>
      </c>
      <c r="AO37" s="27">
        <f t="shared" si="6"/>
        <v>18864168.020931542</v>
      </c>
      <c r="AQ37" s="13"/>
      <c r="AR37" s="27"/>
    </row>
    <row r="38" spans="1:44">
      <c r="A38" s="2" t="s">
        <v>43</v>
      </c>
      <c r="B38" s="45">
        <v>26</v>
      </c>
      <c r="C38" s="43">
        <v>1119423.3699999999</v>
      </c>
      <c r="D38" s="14">
        <f>IFERROR(VLOOKUP(A38,Exposição!$A$2:$M$48,13,FALSE),0)</f>
        <v>3899731.2842879281</v>
      </c>
      <c r="E38" s="14">
        <f>IFERROR(VLOOKUP(A38,CCEAR_D!$A$2:$J$48,10,FALSE),0)</f>
        <v>-29056.128938240279</v>
      </c>
      <c r="F38" s="14">
        <f>IFERROR(VLOOKUP(A38,'RH Cotas'!$A$2:$C$48,2,FALSE),0)+IFERROR(VLOOKUP(A38,'Efeito RH do ACR'!$A$2:$D$48,3,FALSE),0)</f>
        <v>-970414.39999999991</v>
      </c>
      <c r="G38" s="14">
        <f>IFERROR(VLOOKUP(A38,'RH Itaipu'!$A$2:$B$48,2,FALSE),0)</f>
        <v>0</v>
      </c>
      <c r="H38" s="14">
        <f>IFERROR(VLOOKUP(A38,ESS_SE!$A$3:$B$51,2,FALSE),0)</f>
        <v>-311215.31</v>
      </c>
      <c r="I38" s="14">
        <f>IFERROR(VLOOKUP(A38,'ESS ME'!$A$3:$C$49,3,FALSE),0)</f>
        <v>-7265.76</v>
      </c>
      <c r="J38" s="14">
        <f>IFERROR(VLOOKUP(A38,CONER!$A$2:$B$48,2,FALSE),0)</f>
        <v>2308882.8003612175</v>
      </c>
      <c r="K38" s="14">
        <f t="shared" si="7"/>
        <v>4890662.4857109059</v>
      </c>
      <c r="L38" s="14">
        <f>IFERROR(VLOOKUP($A38,'CustoLiqNaoCobertoMesN-1'!$A$3:$F$101,L$2,FALSE),0)</f>
        <v>-9824232.9735325743</v>
      </c>
      <c r="M38" s="14">
        <f>IFERROR(VLOOKUP($A38,'CustoLiqNaoCobertoMesN-1'!$A$3:$F$101,M$2,FALSE),0)</f>
        <v>-77850.929277565214</v>
      </c>
      <c r="N38" s="14">
        <f>IFERROR(VLOOKUP($A38,'CustoLiqNaoCobertoMesN-1'!$A$3:$F$101,N$2,FALSE),0)</f>
        <v>9928263.1576552782</v>
      </c>
      <c r="O38" s="14">
        <f>IFERROR(VLOOKUP($A38,'CustoLiqNaoCobertoMesN-1'!$A$3:$F$101,O$2,FALSE),0)</f>
        <v>26179.254845138639</v>
      </c>
      <c r="P38" s="14">
        <f t="shared" si="8"/>
        <v>-10823703.502470814</v>
      </c>
      <c r="Q38" s="14">
        <f t="shared" si="9"/>
        <v>1912550.8010836523</v>
      </c>
      <c r="R38" s="14">
        <f t="shared" si="10"/>
        <v>13827994.441943206</v>
      </c>
      <c r="S38" s="14">
        <f t="shared" si="11"/>
        <v>4916841.7405560445</v>
      </c>
      <c r="T38" s="14">
        <f>IFERROR(VLOOKUP(A38,Prêmio!$A$2:$C$48,3,FALSE),0)</f>
        <v>4769.7409501258262</v>
      </c>
      <c r="U38" s="14" t="str">
        <f t="shared" si="12"/>
        <v/>
      </c>
      <c r="V38" s="14" t="str">
        <f t="shared" si="13"/>
        <v/>
      </c>
      <c r="W38" s="14">
        <f t="shared" si="14"/>
        <v>-1114653.6290498741</v>
      </c>
      <c r="X38" s="14">
        <f t="shared" si="20"/>
        <v>4921611.4815061707</v>
      </c>
      <c r="Y38" s="47">
        <f t="shared" si="15"/>
        <v>-1114653.6290498741</v>
      </c>
      <c r="Z38" s="81">
        <f t="shared" si="21"/>
        <v>-4769.7409501257353</v>
      </c>
      <c r="AA38" s="81">
        <f t="shared" si="22"/>
        <v>0</v>
      </c>
      <c r="AB38" s="81">
        <f t="shared" si="23"/>
        <v>0</v>
      </c>
      <c r="AC38" s="81">
        <f t="shared" si="24"/>
        <v>0</v>
      </c>
      <c r="AD38" s="81">
        <f t="shared" si="0"/>
        <v>-4769.7409501257353</v>
      </c>
      <c r="AE38" s="81">
        <f t="shared" si="1"/>
        <v>0</v>
      </c>
      <c r="AF38" s="81">
        <f t="shared" si="2"/>
        <v>0</v>
      </c>
      <c r="AG38" s="81">
        <f t="shared" si="3"/>
        <v>-10818933.761520687</v>
      </c>
      <c r="AH38" s="81">
        <f t="shared" si="4"/>
        <v>1912550.8010836523</v>
      </c>
      <c r="AI38" s="81">
        <f t="shared" si="5"/>
        <v>13827994.441943206</v>
      </c>
      <c r="AO38" s="27">
        <f t="shared" si="6"/>
        <v>4769.7409501257353</v>
      </c>
      <c r="AQ38" s="13"/>
      <c r="AR38" s="27"/>
    </row>
    <row r="39" spans="1:44">
      <c r="A39" s="2" t="s">
        <v>6</v>
      </c>
      <c r="B39" s="45">
        <v>390</v>
      </c>
      <c r="C39" s="43">
        <v>24081905.580000002</v>
      </c>
      <c r="D39" s="14">
        <f>IFERROR(VLOOKUP(A39,Exposição!$A$2:$M$48,13,FALSE),0)</f>
        <v>-263827.02919302171</v>
      </c>
      <c r="E39" s="14">
        <f>IFERROR(VLOOKUP(A39,CCEAR_D!$A$2:$J$48,10,FALSE),0)</f>
        <v>-27472451.913494766</v>
      </c>
      <c r="F39" s="14">
        <f>IFERROR(VLOOKUP(A39,'RH Cotas'!$A$2:$C$48,2,FALSE),0)+IFERROR(VLOOKUP(A39,'Efeito RH do ACR'!$A$2:$D$48,3,FALSE),0)</f>
        <v>-26310179.890000001</v>
      </c>
      <c r="G39" s="14">
        <f>IFERROR(VLOOKUP(A39,'RH Itaipu'!$A$2:$B$48,2,FALSE),0)</f>
        <v>8409463.4900000002</v>
      </c>
      <c r="H39" s="14">
        <f>IFERROR(VLOOKUP(A39,ESS_SE!$A$3:$B$51,2,FALSE),0)</f>
        <v>-8193713.5999999996</v>
      </c>
      <c r="I39" s="14">
        <f>IFERROR(VLOOKUP(A39,'ESS ME'!$A$3:$C$49,3,FALSE),0)</f>
        <v>-318443.11</v>
      </c>
      <c r="J39" s="14">
        <f>IFERROR(VLOOKUP(A39,CONER!$A$2:$B$48,2,FALSE),0)</f>
        <v>89289568.931282923</v>
      </c>
      <c r="K39" s="14">
        <f t="shared" si="7"/>
        <v>35140416.878595136</v>
      </c>
      <c r="L39" s="14">
        <f>IFERROR(VLOOKUP($A39,'CustoLiqNaoCobertoMesN-1'!$A$3:$F$101,L$2,FALSE),0)</f>
        <v>-102253529.24176045</v>
      </c>
      <c r="M39" s="14">
        <f>IFERROR(VLOOKUP($A39,'CustoLiqNaoCobertoMesN-1'!$A$3:$F$101,M$2,FALSE),0)</f>
        <v>1920503.0628173277</v>
      </c>
      <c r="N39" s="14">
        <f>IFERROR(VLOOKUP($A39,'CustoLiqNaoCobertoMesN-1'!$A$3:$F$101,N$2,FALSE),0)</f>
        <v>-86326177.74795188</v>
      </c>
      <c r="O39" s="14">
        <f>IFERROR(VLOOKUP($A39,'CustoLiqNaoCobertoMesN-1'!$A$3:$F$101,O$2,FALSE),0)</f>
        <v>-186659203.92689502</v>
      </c>
      <c r="P39" s="14">
        <f t="shared" si="8"/>
        <v>-147626697.5552552</v>
      </c>
      <c r="Q39" s="14">
        <f t="shared" si="9"/>
        <v>82697915.284100264</v>
      </c>
      <c r="R39" s="14">
        <f t="shared" si="10"/>
        <v>-86590004.777144909</v>
      </c>
      <c r="S39" s="14">
        <f t="shared" si="11"/>
        <v>-151518787.04829988</v>
      </c>
      <c r="T39" s="14">
        <f>IFERROR(VLOOKUP(A39,Prêmio!$A$2:$C$48,3,FALSE),0)</f>
        <v>179013.63819064622</v>
      </c>
      <c r="U39" s="14" t="str">
        <f t="shared" si="12"/>
        <v/>
      </c>
      <c r="V39" s="14" t="str">
        <f t="shared" si="13"/>
        <v/>
      </c>
      <c r="W39" s="14">
        <f t="shared" si="14"/>
        <v>11403084.46209462</v>
      </c>
      <c r="X39" s="14">
        <f t="shared" si="20"/>
        <v>-116033797.00620525</v>
      </c>
      <c r="Y39" s="47">
        <f t="shared" si="15"/>
        <v>11403084.46209462</v>
      </c>
      <c r="Z39" s="81">
        <f t="shared" si="21"/>
        <v>-35484990.042094618</v>
      </c>
      <c r="AA39" s="81">
        <f t="shared" si="22"/>
        <v>0</v>
      </c>
      <c r="AB39" s="81">
        <f t="shared" si="23"/>
        <v>-3.7252902984619141E-9</v>
      </c>
      <c r="AC39" s="81">
        <f t="shared" si="24"/>
        <v>-3.7252902984619141E-9</v>
      </c>
      <c r="AD39" s="81">
        <f t="shared" si="0"/>
        <v>-35484990.042094618</v>
      </c>
      <c r="AE39" s="81">
        <f t="shared" si="1"/>
        <v>0</v>
      </c>
      <c r="AF39" s="81">
        <f t="shared" si="2"/>
        <v>-3.7252902984619141E-9</v>
      </c>
      <c r="AG39" s="81">
        <f t="shared" si="3"/>
        <v>-112141707.51316059</v>
      </c>
      <c r="AH39" s="81">
        <f t="shared" si="4"/>
        <v>82697915.284100264</v>
      </c>
      <c r="AI39" s="81">
        <f t="shared" si="5"/>
        <v>-86590004.777144909</v>
      </c>
      <c r="AO39" s="27">
        <f t="shared" si="6"/>
        <v>35484990.042094618</v>
      </c>
      <c r="AQ39" s="13"/>
      <c r="AR39" s="27"/>
    </row>
    <row r="40" spans="1:44">
      <c r="A40" s="2" t="s">
        <v>15</v>
      </c>
      <c r="B40" s="45">
        <v>6611</v>
      </c>
      <c r="C40" s="43">
        <v>582347.32000000007</v>
      </c>
      <c r="D40" s="14">
        <f>IFERROR(VLOOKUP(A40,Exposição!$A$2:$M$48,13,FALSE),0)</f>
        <v>800707.03338691615</v>
      </c>
      <c r="E40" s="14">
        <f>IFERROR(VLOOKUP(A40,CCEAR_D!$A$2:$J$48,10,FALSE),0)</f>
        <v>-382582.98775300256</v>
      </c>
      <c r="F40" s="14">
        <f>IFERROR(VLOOKUP(A40,'RH Cotas'!$A$2:$C$48,2,FALSE),0)+IFERROR(VLOOKUP(A40,'Efeito RH do ACR'!$A$2:$D$48,3,FALSE),0)</f>
        <v>-588640.97</v>
      </c>
      <c r="G40" s="14">
        <f>IFERROR(VLOOKUP(A40,'RH Itaipu'!$A$2:$B$48,2,FALSE),0)</f>
        <v>0</v>
      </c>
      <c r="H40" s="14">
        <f>IFERROR(VLOOKUP(A40,ESS_SE!$A$3:$B$51,2,FALSE),0)</f>
        <v>-152282.10999999999</v>
      </c>
      <c r="I40" s="14">
        <f>IFERROR(VLOOKUP(A40,'ESS ME'!$A$3:$C$49,3,FALSE),0)</f>
        <v>-4815.84</v>
      </c>
      <c r="J40" s="14">
        <f>IFERROR(VLOOKUP(A40,CONER!$A$2:$B$48,2,FALSE),0)</f>
        <v>1573015.2098031286</v>
      </c>
      <c r="K40" s="14">
        <f t="shared" si="7"/>
        <v>1245400.3354370422</v>
      </c>
      <c r="L40" s="14">
        <f>IFERROR(VLOOKUP($A40,'CustoLiqNaoCobertoMesN-1'!$A$3:$F$101,L$2,FALSE),0)</f>
        <v>-1830892.6735970147</v>
      </c>
      <c r="M40" s="14">
        <f>IFERROR(VLOOKUP($A40,'CustoLiqNaoCobertoMesN-1'!$A$3:$F$101,M$2,FALSE),0)</f>
        <v>790068.52960625733</v>
      </c>
      <c r="N40" s="14">
        <f>IFERROR(VLOOKUP($A40,'CustoLiqNaoCobertoMesN-1'!$A$3:$F$101,N$2,FALSE),0)</f>
        <v>-800384.75515392423</v>
      </c>
      <c r="O40" s="14">
        <f>IFERROR(VLOOKUP($A40,'CustoLiqNaoCobertoMesN-1'!$A$3:$F$101,O$2,FALSE),0)</f>
        <v>-1841208.8991446816</v>
      </c>
      <c r="P40" s="14">
        <f t="shared" si="8"/>
        <v>-2802116.6313500172</v>
      </c>
      <c r="Q40" s="14">
        <f t="shared" si="9"/>
        <v>2205985.789409386</v>
      </c>
      <c r="R40" s="14">
        <f t="shared" si="10"/>
        <v>322.27823299192823</v>
      </c>
      <c r="S40" s="74">
        <f>K40+O40+52385.92</f>
        <v>-543422.64370763942</v>
      </c>
      <c r="T40" s="14">
        <f>IFERROR(VLOOKUP(A40,Prêmio!$A$2:$C$48,3,FALSE),0)</f>
        <v>2880.0811475942</v>
      </c>
      <c r="U40" s="14" t="str">
        <f t="shared" si="12"/>
        <v/>
      </c>
      <c r="V40" s="14" t="str">
        <f t="shared" si="13"/>
        <v/>
      </c>
      <c r="W40" s="14">
        <f t="shared" si="14"/>
        <v>-452842.23472025781</v>
      </c>
      <c r="X40" s="14">
        <f t="shared" si="20"/>
        <v>-413917.55842789717</v>
      </c>
      <c r="Y40" s="47">
        <f t="shared" si="15"/>
        <v>-452842.23472025781</v>
      </c>
      <c r="Z40" s="81">
        <f t="shared" si="21"/>
        <v>-129505.08527974226</v>
      </c>
      <c r="AA40" s="81">
        <f t="shared" si="22"/>
        <v>0</v>
      </c>
      <c r="AB40" s="81">
        <f t="shared" si="23"/>
        <v>0</v>
      </c>
      <c r="AC40" s="81">
        <f t="shared" si="24"/>
        <v>0</v>
      </c>
      <c r="AD40" s="81">
        <f t="shared" si="0"/>
        <v>-129505.08527974226</v>
      </c>
      <c r="AE40" s="81">
        <f t="shared" si="1"/>
        <v>0</v>
      </c>
      <c r="AF40" s="81">
        <f t="shared" si="2"/>
        <v>0</v>
      </c>
      <c r="AG40" s="81">
        <f t="shared" si="3"/>
        <v>-2672611.5460702749</v>
      </c>
      <c r="AH40" s="81">
        <f t="shared" si="4"/>
        <v>2205985.789409386</v>
      </c>
      <c r="AI40" s="81">
        <f t="shared" si="5"/>
        <v>322.27823299192823</v>
      </c>
      <c r="AO40" s="27">
        <f t="shared" si="6"/>
        <v>129505.08527974226</v>
      </c>
      <c r="AQ40" s="13"/>
      <c r="AR40" s="27"/>
    </row>
    <row r="41" spans="1:44">
      <c r="A41" s="2" t="s">
        <v>3</v>
      </c>
      <c r="B41" s="45">
        <v>6585</v>
      </c>
      <c r="C41" s="43">
        <v>1159198.44</v>
      </c>
      <c r="D41" s="14">
        <f>IFERROR(VLOOKUP(A41,Exposição!$A$2:$M$48,13,FALSE),0)</f>
        <v>397031.57657383266</v>
      </c>
      <c r="E41" s="14">
        <f>IFERROR(VLOOKUP(A41,CCEAR_D!$A$2:$J$48,10,FALSE),0)</f>
        <v>-367752.69927922409</v>
      </c>
      <c r="F41" s="14">
        <f>IFERROR(VLOOKUP(A41,'RH Cotas'!$A$2:$C$48,2,FALSE),0)+IFERROR(VLOOKUP(A41,'Efeito RH do ACR'!$A$2:$D$48,3,FALSE),0)</f>
        <v>-865978.47</v>
      </c>
      <c r="G41" s="14">
        <f>IFERROR(VLOOKUP(A41,'RH Itaipu'!$A$2:$B$48,2,FALSE),0)</f>
        <v>253630.55</v>
      </c>
      <c r="H41" s="14">
        <f>IFERROR(VLOOKUP(A41,ESS_SE!$A$3:$B$51,2,FALSE),0)</f>
        <v>-281973.08999999997</v>
      </c>
      <c r="I41" s="14">
        <f>IFERROR(VLOOKUP(A41,'ESS ME'!$A$3:$C$49,3,FALSE),0)</f>
        <v>-11492.38</v>
      </c>
      <c r="J41" s="14">
        <f>IFERROR(VLOOKUP(A41,CONER!$A$2:$B$48,2,FALSE),0)</f>
        <v>3029787.5462061572</v>
      </c>
      <c r="K41" s="14">
        <f t="shared" si="7"/>
        <v>2153253.0335007659</v>
      </c>
      <c r="L41" s="14">
        <f>IFERROR(VLOOKUP($A41,'CustoLiqNaoCobertoMesN-1'!$A$3:$F$101,L$2,FALSE),0)</f>
        <v>-8457924.7057013661</v>
      </c>
      <c r="M41" s="14">
        <f>IFERROR(VLOOKUP($A41,'CustoLiqNaoCobertoMesN-1'!$A$3:$F$101,M$2,FALSE),0)</f>
        <v>288794.20241231425</v>
      </c>
      <c r="N41" s="14">
        <f>IFERROR(VLOOKUP($A41,'CustoLiqNaoCobertoMesN-1'!$A$3:$F$101,N$2,FALSE),0)</f>
        <v>-5841502.1250664899</v>
      </c>
      <c r="O41" s="14">
        <f>IFERROR(VLOOKUP($A41,'CustoLiqNaoCobertoMesN-1'!$A$3:$F$101,O$2,FALSE),0)</f>
        <v>-14010632.62835554</v>
      </c>
      <c r="P41" s="14">
        <f t="shared" si="8"/>
        <v>-9438025.3249805905</v>
      </c>
      <c r="Q41" s="14">
        <f t="shared" si="9"/>
        <v>3025116.2786184712</v>
      </c>
      <c r="R41" s="14">
        <f t="shared" si="10"/>
        <v>-5444470.548492657</v>
      </c>
      <c r="S41" s="14">
        <f t="shared" si="11"/>
        <v>-11857379.594854774</v>
      </c>
      <c r="T41" s="14">
        <f>IFERROR(VLOOKUP(A41,Prêmio!$A$2:$C$48,3,FALSE),0)</f>
        <v>6426.4315208392391</v>
      </c>
      <c r="U41" s="14" t="str">
        <f t="shared" si="12"/>
        <v/>
      </c>
      <c r="V41" s="14" t="str">
        <f t="shared" si="13"/>
        <v/>
      </c>
      <c r="W41" s="14">
        <f t="shared" si="14"/>
        <v>1610161.6998973838</v>
      </c>
      <c r="X41" s="14">
        <f t="shared" si="20"/>
        <v>-9088019.4549573902</v>
      </c>
      <c r="Y41" s="47">
        <f t="shared" si="15"/>
        <v>1610161.6998973838</v>
      </c>
      <c r="Z41" s="81">
        <f t="shared" si="21"/>
        <v>-2769360.1398973837</v>
      </c>
      <c r="AA41" s="81">
        <f t="shared" si="22"/>
        <v>0</v>
      </c>
      <c r="AB41" s="81">
        <f t="shared" si="23"/>
        <v>0</v>
      </c>
      <c r="AC41" s="81">
        <f t="shared" si="24"/>
        <v>0</v>
      </c>
      <c r="AD41" s="81">
        <f t="shared" si="0"/>
        <v>-2769360.1398973837</v>
      </c>
      <c r="AE41" s="81">
        <f t="shared" si="1"/>
        <v>0</v>
      </c>
      <c r="AF41" s="81">
        <f t="shared" si="2"/>
        <v>0</v>
      </c>
      <c r="AG41" s="81">
        <f t="shared" si="3"/>
        <v>-6668665.1850832067</v>
      </c>
      <c r="AH41" s="81">
        <f t="shared" si="4"/>
        <v>3025116.2786184712</v>
      </c>
      <c r="AI41" s="81">
        <f t="shared" si="5"/>
        <v>-5444470.548492657</v>
      </c>
      <c r="AO41" s="27">
        <f t="shared" si="6"/>
        <v>2769360.1398973837</v>
      </c>
      <c r="AQ41" s="13"/>
      <c r="AR41" s="27"/>
    </row>
    <row r="42" spans="1:44">
      <c r="A42" s="2" t="s">
        <v>24</v>
      </c>
      <c r="B42" s="45">
        <v>6600</v>
      </c>
      <c r="C42" s="43">
        <v>3784391.8400000003</v>
      </c>
      <c r="D42" s="14">
        <f>IFERROR(VLOOKUP(A42,Exposição!$A$2:$M$48,13,FALSE),0)</f>
        <v>-2214719.3793934747</v>
      </c>
      <c r="E42" s="14">
        <f>IFERROR(VLOOKUP(A42,CCEAR_D!$A$2:$J$48,10,FALSE),0)</f>
        <v>-3186531.3071282809</v>
      </c>
      <c r="F42" s="14">
        <f>IFERROR(VLOOKUP(A42,'RH Cotas'!$A$2:$C$48,2,FALSE),0)+IFERROR(VLOOKUP(A42,'Efeito RH do ACR'!$A$2:$D$48,3,FALSE),0)</f>
        <v>-3824602.25</v>
      </c>
      <c r="G42" s="14">
        <f>IFERROR(VLOOKUP(A42,'RH Itaipu'!$A$2:$B$48,2,FALSE),0)</f>
        <v>0</v>
      </c>
      <c r="H42" s="14">
        <f>IFERROR(VLOOKUP(A42,ESS_SE!$A$3:$B$51,2,FALSE),0)</f>
        <v>-944976.56</v>
      </c>
      <c r="I42" s="14">
        <f>IFERROR(VLOOKUP(A42,'ESS ME'!$A$3:$C$49,3,FALSE),0)</f>
        <v>-31657.8</v>
      </c>
      <c r="J42" s="14">
        <f>IFERROR(VLOOKUP(A42,CONER!$A$2:$B$48,2,FALSE),0)</f>
        <v>9526705.9178921171</v>
      </c>
      <c r="K42" s="14">
        <f t="shared" si="7"/>
        <v>-675781.37862963974</v>
      </c>
      <c r="L42" s="14">
        <f>IFERROR(VLOOKUP($A42,'CustoLiqNaoCobertoMesN-1'!$A$3:$F$101,L$2,FALSE),0)</f>
        <v>-33727365.908757091</v>
      </c>
      <c r="M42" s="14">
        <f>IFERROR(VLOOKUP($A42,'CustoLiqNaoCobertoMesN-1'!$A$3:$F$101,M$2,FALSE),0)</f>
        <v>-202869.78421576181</v>
      </c>
      <c r="N42" s="14">
        <f>IFERROR(VLOOKUP($A42,'CustoLiqNaoCobertoMesN-1'!$A$3:$F$101,N$2,FALSE),0)</f>
        <v>-1960777.9730490411</v>
      </c>
      <c r="O42" s="14">
        <f>IFERROR(VLOOKUP($A42,'CustoLiqNaoCobertoMesN-1'!$A$3:$F$101,O$2,FALSE),0)</f>
        <v>-35891013.666021898</v>
      </c>
      <c r="P42" s="14">
        <f t="shared" si="8"/>
        <v>-40738499.465885371</v>
      </c>
      <c r="Q42" s="14">
        <f t="shared" si="9"/>
        <v>8347201.7736763563</v>
      </c>
      <c r="R42" s="14">
        <f t="shared" si="10"/>
        <v>-4175497.352442516</v>
      </c>
      <c r="S42" s="14">
        <f t="shared" si="11"/>
        <v>-36566795.044651538</v>
      </c>
      <c r="T42" s="14">
        <f>IFERROR(VLOOKUP(A42,Prêmio!$A$2:$C$48,3,FALSE),0)</f>
        <v>20238.143911157076</v>
      </c>
      <c r="U42" s="14" t="str">
        <f t="shared" si="12"/>
        <v/>
      </c>
      <c r="V42" s="14" t="str">
        <f t="shared" si="13"/>
        <v/>
      </c>
      <c r="W42" s="14">
        <f t="shared" si="14"/>
        <v>4756416.1168236472</v>
      </c>
      <c r="X42" s="14">
        <f t="shared" ref="X42:X73" si="25">Y42+S42+C42</f>
        <v>-28025987.087827891</v>
      </c>
      <c r="Y42" s="47">
        <f t="shared" si="15"/>
        <v>4756416.1168236472</v>
      </c>
      <c r="Z42" s="81">
        <f t="shared" ref="Z42:Z73" si="26">IF(P42&lt;0,IF(C42+Y42&gt;-P42,P42,-C42-Y42),0)</f>
        <v>-8540807.956823647</v>
      </c>
      <c r="AA42" s="81">
        <f t="shared" ref="AA42:AA73" si="27">IF(Q42&lt;0,IF(C42+Z42+Y42&gt;-Q42,Q42,-C42-Z42-Y42),0)</f>
        <v>0</v>
      </c>
      <c r="AB42" s="81">
        <f t="shared" ref="AB42:AB73" si="28">IF(R42&lt;0,IF(C42+Z42+AA42+Y42&gt;-R42,R42,-C42-Z42-AA42-Y42),0)</f>
        <v>0</v>
      </c>
      <c r="AC42" s="81">
        <f t="shared" ref="AC42:AC73" si="29">C42+Y42+Z42+AB42+AA42</f>
        <v>0</v>
      </c>
      <c r="AD42" s="81">
        <f t="shared" si="0"/>
        <v>-8540807.956823647</v>
      </c>
      <c r="AE42" s="81">
        <f t="shared" si="1"/>
        <v>0</v>
      </c>
      <c r="AF42" s="81">
        <f t="shared" si="2"/>
        <v>0</v>
      </c>
      <c r="AG42" s="81">
        <f t="shared" si="3"/>
        <v>-32197691.509061724</v>
      </c>
      <c r="AH42" s="81">
        <f t="shared" si="4"/>
        <v>8347201.7736763563</v>
      </c>
      <c r="AI42" s="81">
        <f t="shared" si="5"/>
        <v>-4175497.352442516</v>
      </c>
      <c r="AO42" s="27">
        <f t="shared" si="6"/>
        <v>8540807.956823647</v>
      </c>
      <c r="AQ42" s="13"/>
      <c r="AR42" s="27"/>
    </row>
    <row r="43" spans="1:44">
      <c r="A43" s="2" t="s">
        <v>22</v>
      </c>
      <c r="B43" s="45">
        <v>6587</v>
      </c>
      <c r="C43" s="43">
        <v>2737057.4000000004</v>
      </c>
      <c r="D43" s="14">
        <f>IFERROR(VLOOKUP(A43,Exposição!$A$2:$M$48,13,FALSE),0)</f>
        <v>-2915836.2409966062</v>
      </c>
      <c r="E43" s="14">
        <f>IFERROR(VLOOKUP(A43,CCEAR_D!$A$2:$J$48,10,FALSE),0)</f>
        <v>-2530285.1453005723</v>
      </c>
      <c r="F43" s="14">
        <f>IFERROR(VLOOKUP(A43,'RH Cotas'!$A$2:$C$48,2,FALSE),0)+IFERROR(VLOOKUP(A43,'Efeito RH do ACR'!$A$2:$D$48,3,FALSE),0)</f>
        <v>-2732708.7399999998</v>
      </c>
      <c r="G43" s="14">
        <f>IFERROR(VLOOKUP(A43,'RH Itaipu'!$A$2:$B$48,2,FALSE),0)</f>
        <v>0</v>
      </c>
      <c r="H43" s="14">
        <f>IFERROR(VLOOKUP(A43,ESS_SE!$A$3:$B$51,2,FALSE),0)</f>
        <v>-680469.27</v>
      </c>
      <c r="I43" s="14">
        <f>IFERROR(VLOOKUP(A43,'ESS ME'!$A$3:$C$49,3,FALSE),0)</f>
        <v>-24553.15</v>
      </c>
      <c r="J43" s="14">
        <f>IFERROR(VLOOKUP(A43,CONER!$A$2:$B$48,2,FALSE),0)</f>
        <v>7002052.9909370467</v>
      </c>
      <c r="K43" s="14">
        <f t="shared" si="7"/>
        <v>-1881799.555360131</v>
      </c>
      <c r="L43" s="14">
        <f>IFERROR(VLOOKUP($A43,'CustoLiqNaoCobertoMesN-1'!$A$3:$F$101,L$2,FALSE),0)</f>
        <v>-1859182.7897092104</v>
      </c>
      <c r="M43" s="14">
        <f>IFERROR(VLOOKUP($A43,'CustoLiqNaoCobertoMesN-1'!$A$3:$F$101,M$2,FALSE),0)</f>
        <v>3082385.6809370467</v>
      </c>
      <c r="N43" s="14">
        <f>IFERROR(VLOOKUP($A43,'CustoLiqNaoCobertoMesN-1'!$A$3:$F$101,N$2,FALSE),0)</f>
        <v>-527096.62158448994</v>
      </c>
      <c r="O43" s="14">
        <f>IFERROR(VLOOKUP($A43,'CustoLiqNaoCobertoMesN-1'!$A$3:$F$101,O$2,FALSE),0)</f>
        <v>696106.26964334631</v>
      </c>
      <c r="P43" s="14">
        <f t="shared" si="8"/>
        <v>-7122176.6750097824</v>
      </c>
      <c r="Q43" s="14">
        <f t="shared" si="9"/>
        <v>9379416.251874093</v>
      </c>
      <c r="R43" s="14">
        <f t="shared" si="10"/>
        <v>-3442932.8625810961</v>
      </c>
      <c r="S43" s="14">
        <f t="shared" si="11"/>
        <v>-1185693.2857167847</v>
      </c>
      <c r="T43" s="14">
        <f>IFERROR(VLOOKUP(A43,Prêmio!$A$2:$C$48,3,FALSE),0)</f>
        <v>15558.678086150137</v>
      </c>
      <c r="U43" s="14" t="str">
        <f t="shared" si="12"/>
        <v/>
      </c>
      <c r="V43" s="14" t="str">
        <f t="shared" si="13"/>
        <v/>
      </c>
      <c r="W43" s="14">
        <f t="shared" si="14"/>
        <v>-2445215.7606831766</v>
      </c>
      <c r="X43" s="14">
        <f t="shared" si="25"/>
        <v>-893851.64639996085</v>
      </c>
      <c r="Y43" s="47">
        <f t="shared" si="15"/>
        <v>-2445215.7606831766</v>
      </c>
      <c r="Z43" s="81">
        <f t="shared" si="26"/>
        <v>-291841.6393168238</v>
      </c>
      <c r="AA43" s="81">
        <f t="shared" si="27"/>
        <v>0</v>
      </c>
      <c r="AB43" s="81">
        <f t="shared" si="28"/>
        <v>0</v>
      </c>
      <c r="AC43" s="81">
        <f t="shared" si="29"/>
        <v>0</v>
      </c>
      <c r="AD43" s="81">
        <f t="shared" si="0"/>
        <v>-291841.6393168238</v>
      </c>
      <c r="AE43" s="81">
        <f t="shared" si="1"/>
        <v>0</v>
      </c>
      <c r="AF43" s="81">
        <f t="shared" si="2"/>
        <v>0</v>
      </c>
      <c r="AG43" s="81">
        <f t="shared" si="3"/>
        <v>-6830335.0356929582</v>
      </c>
      <c r="AH43" s="81">
        <f t="shared" si="4"/>
        <v>9379416.251874093</v>
      </c>
      <c r="AI43" s="81">
        <f t="shared" si="5"/>
        <v>-3442932.8625810961</v>
      </c>
      <c r="AO43" s="27">
        <f t="shared" si="6"/>
        <v>291841.6393168238</v>
      </c>
      <c r="AQ43" s="13"/>
      <c r="AR43" s="27"/>
    </row>
    <row r="44" spans="1:44">
      <c r="A44" s="2" t="s">
        <v>166</v>
      </c>
      <c r="B44" s="45">
        <v>404</v>
      </c>
      <c r="C44" s="43">
        <v>3315845.91</v>
      </c>
      <c r="D44" s="14">
        <f>IFERROR(VLOOKUP(A44,Exposição!$A$2:$M$48,13,FALSE),0)</f>
        <v>-1638374.8009730114</v>
      </c>
      <c r="E44" s="14">
        <f>IFERROR(VLOOKUP(A44,CCEAR_D!$A$2:$J$48,10,FALSE),0)</f>
        <v>-4594518.3522127876</v>
      </c>
      <c r="F44" s="14">
        <f>IFERROR(VLOOKUP(A44,'RH Cotas'!$A$2:$C$48,2,FALSE),0)+IFERROR(VLOOKUP(A44,'Efeito RH do ACR'!$A$2:$D$48,3,FALSE),0)</f>
        <v>-3643675.06</v>
      </c>
      <c r="G44" s="14">
        <f>IFERROR(VLOOKUP(A44,'RH Itaipu'!$A$2:$B$48,2,FALSE),0)</f>
        <v>816992.22</v>
      </c>
      <c r="H44" s="14">
        <f>IFERROR(VLOOKUP(A44,ESS_SE!$A$3:$B$51,2,FALSE),0)</f>
        <v>-1082499.8500000001</v>
      </c>
      <c r="I44" s="14">
        <f>IFERROR(VLOOKUP(A44,'ESS ME'!$A$3:$C$49,3,FALSE),0)</f>
        <v>-42280.14</v>
      </c>
      <c r="J44" s="14">
        <f>IFERROR(VLOOKUP(A44,CONER!$A$2:$B$48,2,FALSE),0)</f>
        <v>11228238.139365762</v>
      </c>
      <c r="K44" s="14">
        <f t="shared" si="7"/>
        <v>1043882.1561799645</v>
      </c>
      <c r="L44" s="14">
        <f>IFERROR(VLOOKUP($A44,'CustoLiqNaoCobertoMesN-1'!$A$3:$F$101,L$2,FALSE),0)</f>
        <v>-969819.99498331081</v>
      </c>
      <c r="M44" s="14">
        <f>IFERROR(VLOOKUP($A44,'CustoLiqNaoCobertoMesN-1'!$A$3:$F$101,M$2,FALSE),0)</f>
        <v>5066412.5993657634</v>
      </c>
      <c r="N44" s="14">
        <f>IFERROR(VLOOKUP($A44,'CustoLiqNaoCobertoMesN-1'!$A$3:$F$101,N$2,FALSE),0)</f>
        <v>766447.13123940304</v>
      </c>
      <c r="O44" s="14">
        <f>IFERROR(VLOOKUP($A44,'CustoLiqNaoCobertoMesN-1'!$A$3:$F$101,O$2,FALSE),0)</f>
        <v>4863039.7356218556</v>
      </c>
      <c r="P44" s="14">
        <f t="shared" si="8"/>
        <v>-8391021.1871960983</v>
      </c>
      <c r="Q44" s="14">
        <f t="shared" si="9"/>
        <v>15169870.748731526</v>
      </c>
      <c r="R44" s="14">
        <f t="shared" si="10"/>
        <v>-871927.66973360837</v>
      </c>
      <c r="S44" s="14">
        <f t="shared" si="11"/>
        <v>5906921.8918018201</v>
      </c>
      <c r="T44" s="14">
        <f>IFERROR(VLOOKUP(A44,Prêmio!$A$2:$C$48,3,FALSE),0)</f>
        <v>25595.817827605653</v>
      </c>
      <c r="U44" s="14" t="str">
        <f t="shared" si="12"/>
        <v/>
      </c>
      <c r="V44" s="14" t="str">
        <f t="shared" si="13"/>
        <v/>
      </c>
      <c r="W44" s="14">
        <f t="shared" si="14"/>
        <v>-3290250.0921723945</v>
      </c>
      <c r="X44" s="14">
        <f t="shared" si="25"/>
        <v>5932517.7096294258</v>
      </c>
      <c r="Y44" s="47">
        <f t="shared" si="15"/>
        <v>-3290250.0921723945</v>
      </c>
      <c r="Z44" s="81">
        <f t="shared" si="26"/>
        <v>-25595.817827605642</v>
      </c>
      <c r="AA44" s="81">
        <f t="shared" si="27"/>
        <v>0</v>
      </c>
      <c r="AB44" s="81">
        <f t="shared" si="28"/>
        <v>0</v>
      </c>
      <c r="AC44" s="81">
        <f t="shared" si="29"/>
        <v>0</v>
      </c>
      <c r="AD44" s="81">
        <f t="shared" si="0"/>
        <v>-25595.817827605642</v>
      </c>
      <c r="AE44" s="81">
        <f t="shared" si="1"/>
        <v>0</v>
      </c>
      <c r="AF44" s="81">
        <f t="shared" si="2"/>
        <v>0</v>
      </c>
      <c r="AG44" s="81">
        <f t="shared" si="3"/>
        <v>-8365425.3693684926</v>
      </c>
      <c r="AH44" s="81">
        <f t="shared" si="4"/>
        <v>15169870.748731526</v>
      </c>
      <c r="AI44" s="81">
        <f t="shared" si="5"/>
        <v>-871927.66973360837</v>
      </c>
      <c r="AO44" s="27">
        <f t="shared" si="6"/>
        <v>25595.817827605642</v>
      </c>
      <c r="AQ44" s="13"/>
      <c r="AR44" s="27"/>
    </row>
    <row r="45" spans="1:44">
      <c r="A45" s="2" t="s">
        <v>8</v>
      </c>
      <c r="B45" s="45">
        <v>380</v>
      </c>
      <c r="C45" s="43">
        <v>6818914.1899999995</v>
      </c>
      <c r="D45" s="14">
        <f>IFERROR(VLOOKUP(A45,Exposição!$A$2:$M$48,13,FALSE),0)</f>
        <v>-938735.71544361813</v>
      </c>
      <c r="E45" s="14">
        <f>IFERROR(VLOOKUP(A45,CCEAR_D!$A$2:$J$48,10,FALSE),0)</f>
        <v>-3313475.9136985112</v>
      </c>
      <c r="F45" s="14">
        <f>IFERROR(VLOOKUP(A45,'RH Cotas'!$A$2:$C$48,2,FALSE),0)+IFERROR(VLOOKUP(A45,'Efeito RH do ACR'!$A$2:$D$48,3,FALSE),0)</f>
        <v>-5238348.84</v>
      </c>
      <c r="G45" s="14">
        <f>IFERROR(VLOOKUP(A45,'RH Itaipu'!$A$2:$B$48,2,FALSE),0)</f>
        <v>1214524.57</v>
      </c>
      <c r="H45" s="14">
        <f>IFERROR(VLOOKUP(A45,ESS_SE!$A$3:$B$51,2,FALSE),0)</f>
        <v>-1538395.1800000002</v>
      </c>
      <c r="I45" s="14">
        <f>IFERROR(VLOOKUP(A45,'ESS ME'!$A$3:$C$49,3,FALSE),0)</f>
        <v>-63125.63</v>
      </c>
      <c r="J45" s="14">
        <f>IFERROR(VLOOKUP(A45,CONER!$A$2:$B$48,2,FALSE),0)</f>
        <v>17250915.297059104</v>
      </c>
      <c r="K45" s="14">
        <f t="shared" si="7"/>
        <v>7373358.587916974</v>
      </c>
      <c r="L45" s="14">
        <f>IFERROR(VLOOKUP($A45,'CustoLiqNaoCobertoMesN-1'!$A$3:$F$101,L$2,FALSE),0)</f>
        <v>-28521963.437229197</v>
      </c>
      <c r="M45" s="14">
        <f>IFERROR(VLOOKUP($A45,'CustoLiqNaoCobertoMesN-1'!$A$3:$F$101,M$2,FALSE),0)</f>
        <v>1773846.2805338241</v>
      </c>
      <c r="N45" s="14">
        <f>IFERROR(VLOOKUP($A45,'CustoLiqNaoCobertoMesN-1'!$A$3:$F$101,N$2,FALSE),0)</f>
        <v>-19898071.97698231</v>
      </c>
      <c r="O45" s="14">
        <f>IFERROR(VLOOKUP($A45,'CustoLiqNaoCobertoMesN-1'!$A$3:$F$101,O$2,FALSE),0)</f>
        <v>-46646189.133677684</v>
      </c>
      <c r="P45" s="14">
        <f t="shared" si="8"/>
        <v>-35859263.620927706</v>
      </c>
      <c r="Q45" s="14">
        <f t="shared" si="9"/>
        <v>17423240.767592929</v>
      </c>
      <c r="R45" s="14">
        <f t="shared" si="10"/>
        <v>-20836807.692425929</v>
      </c>
      <c r="S45" s="14">
        <f t="shared" si="11"/>
        <v>-39272830.545760706</v>
      </c>
      <c r="T45" s="14">
        <f>IFERROR(VLOOKUP(A45,Prêmio!$A$2:$C$48,3,FALSE),0)</f>
        <v>37070.261591994618</v>
      </c>
      <c r="U45" s="14" t="str">
        <f t="shared" si="12"/>
        <v/>
      </c>
      <c r="V45" s="14" t="str">
        <f t="shared" si="13"/>
        <v/>
      </c>
      <c r="W45" s="14">
        <f t="shared" si="14"/>
        <v>2369269.6435423116</v>
      </c>
      <c r="X45" s="14">
        <f t="shared" si="25"/>
        <v>-30084646.712218396</v>
      </c>
      <c r="Y45" s="47">
        <f t="shared" si="15"/>
        <v>2369269.6435423116</v>
      </c>
      <c r="Z45" s="81">
        <f t="shared" si="26"/>
        <v>-9188183.8335423116</v>
      </c>
      <c r="AA45" s="81">
        <f t="shared" si="27"/>
        <v>0</v>
      </c>
      <c r="AB45" s="81">
        <f t="shared" si="28"/>
        <v>4.6566128730773926E-10</v>
      </c>
      <c r="AC45" s="81">
        <f t="shared" si="29"/>
        <v>4.6566128730773926E-10</v>
      </c>
      <c r="AD45" s="81">
        <f t="shared" si="0"/>
        <v>-9188183.8335423116</v>
      </c>
      <c r="AE45" s="81">
        <f t="shared" si="1"/>
        <v>0</v>
      </c>
      <c r="AF45" s="81">
        <f t="shared" si="2"/>
        <v>4.6566128730773926E-10</v>
      </c>
      <c r="AG45" s="81">
        <f t="shared" si="3"/>
        <v>-26671079.787385397</v>
      </c>
      <c r="AH45" s="81">
        <f t="shared" si="4"/>
        <v>17423240.767592929</v>
      </c>
      <c r="AI45" s="81">
        <f t="shared" si="5"/>
        <v>-20836807.692425929</v>
      </c>
      <c r="AO45" s="27">
        <f t="shared" si="6"/>
        <v>9188183.8335423116</v>
      </c>
      <c r="AQ45" s="13"/>
      <c r="AR45" s="27"/>
    </row>
    <row r="46" spans="1:44">
      <c r="A46" s="2" t="s">
        <v>35</v>
      </c>
      <c r="B46" s="45">
        <v>87</v>
      </c>
      <c r="C46" s="43">
        <v>207450.24000000002</v>
      </c>
      <c r="D46" s="14">
        <f>IFERROR(VLOOKUP(A46,Exposição!$A$2:$M$48,13,FALSE),0)</f>
        <v>-2127.0331209937458</v>
      </c>
      <c r="E46" s="14">
        <f>IFERROR(VLOOKUP(A46,CCEAR_D!$A$2:$J$48,10,FALSE),0)</f>
        <v>0</v>
      </c>
      <c r="F46" s="14">
        <f>IFERROR(VLOOKUP(A46,'RH Cotas'!$A$2:$C$48,2,FALSE),0)+IFERROR(VLOOKUP(A46,'Efeito RH do ACR'!$A$2:$D$48,3,FALSE),0)</f>
        <v>-86749.23000000001</v>
      </c>
      <c r="G46" s="14">
        <f>IFERROR(VLOOKUP(A46,'RH Itaipu'!$A$2:$B$48,2,FALSE),0)</f>
        <v>48844.13</v>
      </c>
      <c r="H46" s="14">
        <f>IFERROR(VLOOKUP(A46,ESS_SE!$A$3:$B$51,2,FALSE),0)</f>
        <v>-38955.32</v>
      </c>
      <c r="I46" s="14">
        <f>IFERROR(VLOOKUP(A46,'ESS ME'!$A$3:$C$49,3,FALSE),0)</f>
        <v>-1711.9</v>
      </c>
      <c r="J46" s="14">
        <f>IFERROR(VLOOKUP(A46,CONER!$A$2:$B$48,2,FALSE),0)</f>
        <v>494499.2475572566</v>
      </c>
      <c r="K46" s="14">
        <f t="shared" si="7"/>
        <v>413799.89443626284</v>
      </c>
      <c r="L46" s="14">
        <f>IFERROR(VLOOKUP($A46,'CustoLiqNaoCobertoMesN-1'!$A$3:$F$101,L$2,FALSE),0)</f>
        <v>-946605.5994200462</v>
      </c>
      <c r="M46" s="14">
        <f>IFERROR(VLOOKUP($A46,'CustoLiqNaoCobertoMesN-1'!$A$3:$F$101,M$2,FALSE),0)</f>
        <v>125754.25511451322</v>
      </c>
      <c r="N46" s="14">
        <f>IFERROR(VLOOKUP($A46,'CustoLiqNaoCobertoMesN-1'!$A$3:$F$101,N$2,FALSE),0)</f>
        <v>-231212.58958607138</v>
      </c>
      <c r="O46" s="14">
        <f>IFERROR(VLOOKUP($A46,'CustoLiqNaoCobertoMesN-1'!$A$3:$F$101,O$2,FALSE),0)</f>
        <v>-1052063.9338916044</v>
      </c>
      <c r="P46" s="14">
        <f t="shared" si="8"/>
        <v>-984510.69942004618</v>
      </c>
      <c r="Q46" s="14">
        <f t="shared" si="9"/>
        <v>579586.28267176985</v>
      </c>
      <c r="R46" s="14">
        <f t="shared" si="10"/>
        <v>-233339.62270706514</v>
      </c>
      <c r="S46" s="14">
        <f t="shared" si="11"/>
        <v>-638264.03945534164</v>
      </c>
      <c r="T46" s="14">
        <f>IFERROR(VLOOKUP(A46,Prêmio!$A$2:$C$48,3,FALSE),0)</f>
        <v>980.24715496180704</v>
      </c>
      <c r="U46" s="14" t="str">
        <f t="shared" si="12"/>
        <v/>
      </c>
      <c r="V46" s="14" t="str">
        <f t="shared" si="13"/>
        <v/>
      </c>
      <c r="W46" s="14">
        <f t="shared" si="14"/>
        <v>-57745.629645857116</v>
      </c>
      <c r="X46" s="14">
        <f t="shared" si="25"/>
        <v>-488559.4291011988</v>
      </c>
      <c r="Y46" s="47">
        <f t="shared" si="15"/>
        <v>-57745.629645857116</v>
      </c>
      <c r="Z46" s="81">
        <f t="shared" si="26"/>
        <v>-149704.6103541429</v>
      </c>
      <c r="AA46" s="81">
        <f t="shared" si="27"/>
        <v>0</v>
      </c>
      <c r="AB46" s="81">
        <f t="shared" si="28"/>
        <v>0</v>
      </c>
      <c r="AC46" s="81">
        <f t="shared" si="29"/>
        <v>0</v>
      </c>
      <c r="AD46" s="81">
        <f t="shared" si="0"/>
        <v>-149704.6103541429</v>
      </c>
      <c r="AE46" s="81">
        <f t="shared" si="1"/>
        <v>0</v>
      </c>
      <c r="AF46" s="81">
        <f t="shared" si="2"/>
        <v>0</v>
      </c>
      <c r="AG46" s="81">
        <f t="shared" si="3"/>
        <v>-834806.08906590333</v>
      </c>
      <c r="AH46" s="81">
        <f t="shared" si="4"/>
        <v>579586.28267176985</v>
      </c>
      <c r="AI46" s="81">
        <f t="shared" si="5"/>
        <v>-233339.62270706514</v>
      </c>
      <c r="AO46" s="27">
        <f t="shared" si="6"/>
        <v>149704.6103541429</v>
      </c>
      <c r="AQ46" s="13"/>
      <c r="AR46" s="27"/>
    </row>
    <row r="47" spans="1:44">
      <c r="A47" s="2" t="s">
        <v>2</v>
      </c>
      <c r="B47" s="45">
        <v>382</v>
      </c>
      <c r="C47" s="43">
        <v>19805408.550000004</v>
      </c>
      <c r="D47" s="14">
        <f>IFERROR(VLOOKUP(A47,Exposição!$A$2:$M$48,13,FALSE),0)</f>
        <v>-3647341.9696644363</v>
      </c>
      <c r="E47" s="14">
        <f>IFERROR(VLOOKUP(A47,CCEAR_D!$A$2:$J$48,10,FALSE),0)</f>
        <v>-7934669.6384376315</v>
      </c>
      <c r="F47" s="14">
        <f>IFERROR(VLOOKUP(A47,'RH Cotas'!$A$2:$C$48,2,FALSE),0)+IFERROR(VLOOKUP(A47,'Efeito RH do ACR'!$A$2:$D$48,3,FALSE),0)</f>
        <v>-1485118.7594690956</v>
      </c>
      <c r="G47" s="14">
        <f>IFERROR(VLOOKUP(A47,'RH Itaipu'!$A$2:$B$48,2,FALSE),0)</f>
        <v>4579498.96</v>
      </c>
      <c r="H47" s="14">
        <f>IFERROR(VLOOKUP(A47,ESS_SE!$A$3:$B$51,2,FALSE),0)</f>
        <v>-5773689.1200000001</v>
      </c>
      <c r="I47" s="14">
        <f>IFERROR(VLOOKUP(A47,'ESS ME'!$A$3:$C$49,3,FALSE),0)</f>
        <v>-254470.71</v>
      </c>
      <c r="J47" s="14">
        <f>IFERROR(VLOOKUP(A47,CONER!$A$2:$B$48,2,FALSE),0)</f>
        <v>54998233.788469091</v>
      </c>
      <c r="K47" s="14">
        <f t="shared" si="7"/>
        <v>40482442.550897926</v>
      </c>
      <c r="L47" s="14">
        <f>IFERROR(VLOOKUP($A47,'CustoLiqNaoCobertoMesN-1'!$A$3:$F$101,L$2,FALSE),0)</f>
        <v>11649632.033725025</v>
      </c>
      <c r="M47" s="14">
        <f>IFERROR(VLOOKUP($A47,'CustoLiqNaoCobertoMesN-1'!$A$3:$F$101,M$2,FALSE),0)</f>
        <v>42825881.434353113</v>
      </c>
      <c r="N47" s="14">
        <f>IFERROR(VLOOKUP($A47,'CustoLiqNaoCobertoMesN-1'!$A$3:$F$101,N$2,FALSE),0)</f>
        <v>42206415.846442148</v>
      </c>
      <c r="O47" s="14">
        <f>IFERROR(VLOOKUP($A47,'CustoLiqNaoCobertoMesN-1'!$A$3:$F$101,O$2,FALSE),0)</f>
        <v>96681929.314520285</v>
      </c>
      <c r="P47" s="14">
        <f t="shared" si="8"/>
        <v>6809342.595818297</v>
      </c>
      <c r="Q47" s="14">
        <f t="shared" si="9"/>
        <v>91795955.392822206</v>
      </c>
      <c r="R47" s="14">
        <f t="shared" si="10"/>
        <v>38559073.876777709</v>
      </c>
      <c r="S47" s="14">
        <f t="shared" si="11"/>
        <v>137164371.8654182</v>
      </c>
      <c r="T47" s="14">
        <f>IFERROR(VLOOKUP(A47,Prêmio!$A$2:$C$48,3,FALSE),0)</f>
        <v>146709.11192813556</v>
      </c>
      <c r="U47" s="14" t="str">
        <f t="shared" si="12"/>
        <v/>
      </c>
      <c r="V47" s="14" t="str">
        <f t="shared" si="13"/>
        <v/>
      </c>
      <c r="W47" s="14">
        <f t="shared" si="14"/>
        <v>-19658699.438071869</v>
      </c>
      <c r="X47" s="14">
        <f t="shared" si="25"/>
        <v>137311080.97734633</v>
      </c>
      <c r="Y47" s="47">
        <f t="shared" si="15"/>
        <v>-19658699.438071869</v>
      </c>
      <c r="Z47" s="81">
        <f t="shared" si="26"/>
        <v>0</v>
      </c>
      <c r="AA47" s="81">
        <f t="shared" si="27"/>
        <v>0</v>
      </c>
      <c r="AB47" s="81">
        <f t="shared" si="28"/>
        <v>0</v>
      </c>
      <c r="AC47" s="81">
        <f t="shared" si="29"/>
        <v>146709.11192813516</v>
      </c>
      <c r="AD47" s="81">
        <f t="shared" si="0"/>
        <v>-146709.11192813516</v>
      </c>
      <c r="AE47" s="81">
        <f t="shared" si="1"/>
        <v>0</v>
      </c>
      <c r="AF47" s="81">
        <f t="shared" si="2"/>
        <v>0</v>
      </c>
      <c r="AG47" s="81">
        <f t="shared" si="3"/>
        <v>6956051.7077464322</v>
      </c>
      <c r="AH47" s="81">
        <f t="shared" si="4"/>
        <v>91795955.392822206</v>
      </c>
      <c r="AI47" s="81">
        <f t="shared" si="5"/>
        <v>38559073.876777709</v>
      </c>
      <c r="AO47" s="27">
        <f t="shared" si="6"/>
        <v>146709.11192813516</v>
      </c>
      <c r="AQ47" s="13"/>
      <c r="AR47" s="27"/>
    </row>
    <row r="48" spans="1:44">
      <c r="A48" s="2" t="s">
        <v>42</v>
      </c>
      <c r="B48" s="45">
        <v>5217</v>
      </c>
      <c r="C48" s="43">
        <v>890114.60999999405</v>
      </c>
      <c r="D48" s="14">
        <f>IFERROR(VLOOKUP(A48,Exposição!$A$2:$M$48,13,FALSE),0)</f>
        <v>820887.92312202754</v>
      </c>
      <c r="E48" s="14">
        <f>IFERROR(VLOOKUP(A48,CCEAR_D!$A$2:$J$48,10,FALSE),0)</f>
        <v>-212516.97483241893</v>
      </c>
      <c r="F48" s="14">
        <f>IFERROR(VLOOKUP(A48,'RH Cotas'!$A$2:$C$48,2,FALSE),0)+IFERROR(VLOOKUP(A48,'Efeito RH do ACR'!$A$2:$D$48,3,FALSE),0)</f>
        <v>-592121.96</v>
      </c>
      <c r="G48" s="14">
        <f>IFERROR(VLOOKUP(A48,'RH Itaipu'!$A$2:$B$48,2,FALSE),0)</f>
        <v>171081.82</v>
      </c>
      <c r="H48" s="14">
        <f>IFERROR(VLOOKUP(A48,ESS_SE!$A$3:$B$51,2,FALSE),0)</f>
        <v>-200034.82</v>
      </c>
      <c r="I48" s="14">
        <f>IFERROR(VLOOKUP(A48,'ESS ME'!$A$3:$C$49,3,FALSE),0)</f>
        <v>-7783.76</v>
      </c>
      <c r="J48" s="14">
        <f>IFERROR(VLOOKUP(A48,CONER!$A$2:$B$48,2,FALSE),0)</f>
        <v>2061776.016508508</v>
      </c>
      <c r="K48" s="14">
        <f t="shared" si="7"/>
        <v>2041288.2447981166</v>
      </c>
      <c r="L48" s="14">
        <f>IFERROR(VLOOKUP($A48,'CustoLiqNaoCobertoMesN-1'!$A$3:$F$101,L$2,FALSE),0)</f>
        <v>3728188.0349533833</v>
      </c>
      <c r="M48" s="14">
        <f>IFERROR(VLOOKUP($A48,'CustoLiqNaoCobertoMesN-1'!$A$3:$F$101,M$2,FALSE),0)</f>
        <v>504084.24621976062</v>
      </c>
      <c r="N48" s="14">
        <f>IFERROR(VLOOKUP($A48,'CustoLiqNaoCobertoMesN-1'!$A$3:$F$101,N$2,FALSE),0)</f>
        <v>-5041081.1042487416</v>
      </c>
      <c r="O48" s="14">
        <f>IFERROR(VLOOKUP($A48,'CustoLiqNaoCobertoMesN-1'!$A$3:$F$101,O$2,FALSE),0)</f>
        <v>-808808.82307559811</v>
      </c>
      <c r="P48" s="14">
        <f t="shared" si="8"/>
        <v>3094630.9201209643</v>
      </c>
      <c r="Q48" s="14">
        <f t="shared" si="9"/>
        <v>2358041.6827282687</v>
      </c>
      <c r="R48" s="14">
        <f t="shared" si="10"/>
        <v>-4220193.1811267138</v>
      </c>
      <c r="S48" s="14">
        <f t="shared" si="11"/>
        <v>1232479.4217225185</v>
      </c>
      <c r="T48" s="14">
        <f>IFERROR(VLOOKUP(A48,Prêmio!$A$2:$C$48,3,FALSE),0)</f>
        <v>4448.884066835828</v>
      </c>
      <c r="U48" s="14" t="str">
        <f t="shared" si="12"/>
        <v/>
      </c>
      <c r="V48" s="14" t="str">
        <f t="shared" si="13"/>
        <v/>
      </c>
      <c r="W48" s="14">
        <f t="shared" si="14"/>
        <v>-885665.72593315819</v>
      </c>
      <c r="X48" s="14">
        <f t="shared" si="25"/>
        <v>1236928.3057893543</v>
      </c>
      <c r="Y48" s="47">
        <f t="shared" si="15"/>
        <v>-885665.72593315819</v>
      </c>
      <c r="Z48" s="81">
        <f t="shared" si="26"/>
        <v>0</v>
      </c>
      <c r="AA48" s="81">
        <f t="shared" si="27"/>
        <v>0</v>
      </c>
      <c r="AB48" s="81">
        <f t="shared" si="28"/>
        <v>-4448.8840668358607</v>
      </c>
      <c r="AC48" s="81">
        <f t="shared" si="29"/>
        <v>0</v>
      </c>
      <c r="AD48" s="81">
        <f t="shared" si="0"/>
        <v>0</v>
      </c>
      <c r="AE48" s="81">
        <f t="shared" si="1"/>
        <v>0</v>
      </c>
      <c r="AF48" s="81">
        <f t="shared" si="2"/>
        <v>-4448.8840668358607</v>
      </c>
      <c r="AG48" s="81">
        <f t="shared" si="3"/>
        <v>3094630.9201209643</v>
      </c>
      <c r="AH48" s="81">
        <f t="shared" si="4"/>
        <v>2358041.6827282687</v>
      </c>
      <c r="AI48" s="81">
        <f t="shared" si="5"/>
        <v>-4215744.2970598778</v>
      </c>
      <c r="AO48" s="27">
        <f t="shared" si="6"/>
        <v>4448.8840668358607</v>
      </c>
      <c r="AQ48" s="13"/>
      <c r="AR48" s="27"/>
    </row>
    <row r="49" spans="1:44">
      <c r="A49" s="2" t="s">
        <v>23</v>
      </c>
      <c r="B49" s="45">
        <v>397</v>
      </c>
      <c r="C49" s="43">
        <v>5567438.1700000009</v>
      </c>
      <c r="D49" s="14">
        <f>IFERROR(VLOOKUP(A49,Exposição!$A$2:$M$48,13,FALSE),0)</f>
        <v>-5837824.2657307768</v>
      </c>
      <c r="E49" s="14">
        <f>IFERROR(VLOOKUP(A49,CCEAR_D!$A$2:$J$48,10,FALSE),0)</f>
        <v>-2203074.0630353582</v>
      </c>
      <c r="F49" s="14">
        <f>IFERROR(VLOOKUP(A49,'RH Cotas'!$A$2:$C$48,2,FALSE),0)+IFERROR(VLOOKUP(A49,'Efeito RH do ACR'!$A$2:$D$48,3,FALSE),0)</f>
        <v>-7239432.4399999995</v>
      </c>
      <c r="G49" s="14">
        <f>IFERROR(VLOOKUP(A49,'RH Itaipu'!$A$2:$B$48,2,FALSE),0)</f>
        <v>1496675.77</v>
      </c>
      <c r="H49" s="14">
        <f>IFERROR(VLOOKUP(A49,ESS_SE!$A$3:$B$51,2,FALSE),0)</f>
        <v>-1907652.4500000002</v>
      </c>
      <c r="I49" s="14">
        <f>IFERROR(VLOOKUP(A49,'ESS ME'!$A$3:$C$49,3,FALSE),0)</f>
        <v>-73323.149999999994</v>
      </c>
      <c r="J49" s="14">
        <f>IFERROR(VLOOKUP(A49,CONER!$A$2:$B$48,2,FALSE),0)</f>
        <v>19169738.04155916</v>
      </c>
      <c r="K49" s="14">
        <f t="shared" si="7"/>
        <v>3405107.4427930247</v>
      </c>
      <c r="L49" s="14">
        <f>IFERROR(VLOOKUP($A49,'CustoLiqNaoCobertoMesN-1'!$A$3:$F$101,L$2,FALSE),0)</f>
        <v>-43782836.278501838</v>
      </c>
      <c r="M49" s="14">
        <f>IFERROR(VLOOKUP($A49,'CustoLiqNaoCobertoMesN-1'!$A$3:$F$101,M$2,FALSE),0)</f>
        <v>-2081266.423881175</v>
      </c>
      <c r="N49" s="14">
        <f>IFERROR(VLOOKUP($A49,'CustoLiqNaoCobertoMesN-1'!$A$3:$F$101,N$2,FALSE),0)</f>
        <v>-9827815.0368020274</v>
      </c>
      <c r="O49" s="14">
        <f>IFERROR(VLOOKUP($A49,'CustoLiqNaoCobertoMesN-1'!$A$3:$F$101,O$2,FALSE),0)</f>
        <v>-55691917.739185035</v>
      </c>
      <c r="P49" s="14">
        <f t="shared" si="8"/>
        <v>-51728667.011537194</v>
      </c>
      <c r="Q49" s="14">
        <f t="shared" si="9"/>
        <v>15107496.017677983</v>
      </c>
      <c r="R49" s="14">
        <f t="shared" si="10"/>
        <v>-15665639.302532803</v>
      </c>
      <c r="S49" s="14">
        <f t="shared" si="11"/>
        <v>-52286810.296392009</v>
      </c>
      <c r="T49" s="14">
        <f>IFERROR(VLOOKUP(A49,Prêmio!$A$2:$C$48,3,FALSE),0)</f>
        <v>43460.699215146269</v>
      </c>
      <c r="U49" s="14" t="str">
        <f t="shared" si="12"/>
        <v/>
      </c>
      <c r="V49" s="14" t="str">
        <f t="shared" si="13"/>
        <v/>
      </c>
      <c r="W49" s="14">
        <f t="shared" si="14"/>
        <v>6659573.6684633475</v>
      </c>
      <c r="X49" s="14">
        <f t="shared" si="25"/>
        <v>-40059798.457928658</v>
      </c>
      <c r="Y49" s="47">
        <f t="shared" si="15"/>
        <v>6659573.6684633475</v>
      </c>
      <c r="Z49" s="81">
        <f t="shared" si="26"/>
        <v>-12227011.838463347</v>
      </c>
      <c r="AA49" s="81">
        <f t="shared" si="27"/>
        <v>0</v>
      </c>
      <c r="AB49" s="81">
        <f t="shared" si="28"/>
        <v>-9.3132257461547852E-10</v>
      </c>
      <c r="AC49" s="81">
        <f t="shared" si="29"/>
        <v>-9.3132257461547852E-10</v>
      </c>
      <c r="AD49" s="81">
        <f t="shared" si="0"/>
        <v>-12227011.838463347</v>
      </c>
      <c r="AE49" s="81">
        <f t="shared" si="1"/>
        <v>0</v>
      </c>
      <c r="AF49" s="81">
        <f t="shared" si="2"/>
        <v>-9.3132257461547852E-10</v>
      </c>
      <c r="AG49" s="81">
        <f t="shared" si="3"/>
        <v>-39501655.173073843</v>
      </c>
      <c r="AH49" s="81">
        <f t="shared" si="4"/>
        <v>15107496.017677983</v>
      </c>
      <c r="AI49" s="81">
        <f t="shared" si="5"/>
        <v>-15665639.302532803</v>
      </c>
      <c r="AO49" s="27">
        <f t="shared" si="6"/>
        <v>12227011.838463347</v>
      </c>
      <c r="AQ49" s="13"/>
      <c r="AR49" s="27"/>
    </row>
    <row r="50" spans="1:44">
      <c r="A50" s="2" t="s">
        <v>82</v>
      </c>
      <c r="B50" s="45">
        <v>82</v>
      </c>
      <c r="C50" s="43">
        <v>170226.69</v>
      </c>
      <c r="D50" s="14">
        <f>IFERROR(VLOOKUP(A50,Exposição!$A$2:$M$48,13,FALSE),0)</f>
        <v>0</v>
      </c>
      <c r="E50" s="14">
        <f>IFERROR(VLOOKUP(A50,CCEAR_D!$A$2:$J$48,10,FALSE),0)</f>
        <v>0</v>
      </c>
      <c r="F50" s="14">
        <f>IFERROR(VLOOKUP(A50,'RH Cotas'!$A$2:$C$48,2,FALSE),0)+IFERROR(VLOOKUP(A50,'Efeito RH do ACR'!$A$2:$D$48,3,FALSE),0)</f>
        <v>0</v>
      </c>
      <c r="G50" s="14">
        <f>IFERROR(VLOOKUP(A50,'RH Itaipu'!$A$2:$B$48,2,FALSE),0)</f>
        <v>0</v>
      </c>
      <c r="H50" s="14">
        <f>IFERROR(VLOOKUP(A50,ESS_SE!$A$3:$B$51,2,FALSE),0)</f>
        <v>0</v>
      </c>
      <c r="I50" s="14">
        <f>IFERROR(VLOOKUP(A50,'ESS ME'!$A$3:$C$49,3,FALSE),0)</f>
        <v>0</v>
      </c>
      <c r="J50" s="14">
        <f>IFERROR(VLOOKUP(A50,CONER!$A$2:$B$48,2,FALSE),0)</f>
        <v>0</v>
      </c>
      <c r="K50" s="14">
        <f t="shared" si="7"/>
        <v>0</v>
      </c>
      <c r="L50" s="14">
        <f>IFERROR(VLOOKUP($A50,'CustoLiqNaoCobertoMesN-1'!$A$3:$F$101,L$2,FALSE),0)</f>
        <v>132580.32835899509</v>
      </c>
      <c r="M50" s="14">
        <f>IFERROR(VLOOKUP($A50,'CustoLiqNaoCobertoMesN-1'!$A$3:$F$101,M$2,FALSE),0)</f>
        <v>0</v>
      </c>
      <c r="N50" s="14">
        <f>IFERROR(VLOOKUP($A50,'CustoLiqNaoCobertoMesN-1'!$A$3:$F$101,N$2,FALSE),0)</f>
        <v>0</v>
      </c>
      <c r="O50" s="14">
        <f>IFERROR(VLOOKUP($A50,'CustoLiqNaoCobertoMesN-1'!$A$3:$F$101,O$2,FALSE),0)</f>
        <v>132580.32835899509</v>
      </c>
      <c r="P50" s="14">
        <f t="shared" si="8"/>
        <v>132580.32835899509</v>
      </c>
      <c r="Q50" s="14">
        <f t="shared" si="9"/>
        <v>0</v>
      </c>
      <c r="R50" s="14">
        <f t="shared" si="10"/>
        <v>0</v>
      </c>
      <c r="S50" s="14">
        <f t="shared" si="11"/>
        <v>132580.32835899509</v>
      </c>
      <c r="T50" s="14">
        <f>IFERROR(VLOOKUP(A50,Prêmio!$A$2:$C$48,3,FALSE),0)</f>
        <v>0</v>
      </c>
      <c r="U50" s="14" t="str">
        <f t="shared" si="12"/>
        <v/>
      </c>
      <c r="V50" s="14" t="str">
        <f t="shared" si="13"/>
        <v/>
      </c>
      <c r="W50" s="14">
        <f t="shared" si="14"/>
        <v>-170226.69</v>
      </c>
      <c r="X50" s="14">
        <f t="shared" si="25"/>
        <v>132580.32835899509</v>
      </c>
      <c r="Y50" s="47">
        <f t="shared" si="15"/>
        <v>-170226.69</v>
      </c>
      <c r="Z50" s="81">
        <f t="shared" si="26"/>
        <v>0</v>
      </c>
      <c r="AA50" s="81">
        <f t="shared" si="27"/>
        <v>0</v>
      </c>
      <c r="AB50" s="81">
        <f t="shared" si="28"/>
        <v>0</v>
      </c>
      <c r="AC50" s="81">
        <f t="shared" si="29"/>
        <v>0</v>
      </c>
      <c r="AD50" s="81">
        <f t="shared" si="0"/>
        <v>0</v>
      </c>
      <c r="AE50" s="81">
        <f t="shared" si="1"/>
        <v>0</v>
      </c>
      <c r="AF50" s="81">
        <f t="shared" si="2"/>
        <v>0</v>
      </c>
      <c r="AG50" s="123">
        <f t="shared" si="3"/>
        <v>132580.32835899509</v>
      </c>
      <c r="AH50" s="123">
        <f t="shared" si="4"/>
        <v>0</v>
      </c>
      <c r="AI50" s="123">
        <f t="shared" si="5"/>
        <v>0</v>
      </c>
      <c r="AO50" s="27">
        <f t="shared" si="6"/>
        <v>0</v>
      </c>
      <c r="AQ50" s="13"/>
      <c r="AR50" s="27"/>
    </row>
    <row r="51" spans="1:44">
      <c r="A51" s="162" t="s">
        <v>258</v>
      </c>
      <c r="B51" s="45">
        <v>103</v>
      </c>
      <c r="C51" s="43">
        <v>63940.04</v>
      </c>
      <c r="D51" s="14">
        <f>IFERROR(VLOOKUP(A51,Exposição!$A$2:$M$48,13,FALSE),0)</f>
        <v>0</v>
      </c>
      <c r="E51" s="14">
        <f>IFERROR(VLOOKUP(A51,CCEAR_D!$A$2:$J$48,10,FALSE),0)</f>
        <v>0</v>
      </c>
      <c r="F51" s="14">
        <f>IFERROR(VLOOKUP(A51,'RH Cotas'!$A$2:$C$48,2,FALSE),0)+IFERROR(VLOOKUP(A51,'Efeito RH do ACR'!$A$2:$D$48,3,FALSE),0)</f>
        <v>0</v>
      </c>
      <c r="G51" s="14">
        <f>IFERROR(VLOOKUP(A51,'RH Itaipu'!$A$2:$B$48,2,FALSE),0)</f>
        <v>0</v>
      </c>
      <c r="H51" s="14">
        <f>IFERROR(VLOOKUP(A51,ESS_SE!$A$3:$B$51,2,FALSE),0)</f>
        <v>-410.65999999999997</v>
      </c>
      <c r="I51" s="14">
        <f>IFERROR(VLOOKUP(A51,'ESS ME'!$A$3:$C$49,3,FALSE),0)</f>
        <v>0</v>
      </c>
      <c r="J51" s="14">
        <f>IFERROR(VLOOKUP(A51,CONER!$A$2:$B$48,2,FALSE),0)</f>
        <v>0</v>
      </c>
      <c r="K51" s="14">
        <f t="shared" si="7"/>
        <v>-410.65999999999997</v>
      </c>
      <c r="L51" s="14">
        <f>IFERROR(VLOOKUP($A51,'CustoLiqNaoCobertoMesN-1'!$A$3:$F$101,L$2,FALSE),0)</f>
        <v>0</v>
      </c>
      <c r="M51" s="14">
        <f>IFERROR(VLOOKUP($A51,'CustoLiqNaoCobertoMesN-1'!$A$3:$F$101,M$2,FALSE),0)</f>
        <v>-412.42999999999995</v>
      </c>
      <c r="N51" s="14">
        <f>IFERROR(VLOOKUP($A51,'CustoLiqNaoCobertoMesN-1'!$A$3:$F$101,N$2,FALSE),0)</f>
        <v>0</v>
      </c>
      <c r="O51" s="14">
        <f>IFERROR(VLOOKUP($A51,'CustoLiqNaoCobertoMesN-1'!$A$3:$F$101,O$2,FALSE),0)</f>
        <v>-412.42999999999995</v>
      </c>
      <c r="P51" s="14">
        <f t="shared" si="8"/>
        <v>0</v>
      </c>
      <c r="Q51" s="14">
        <f t="shared" si="9"/>
        <v>-823.08999999999992</v>
      </c>
      <c r="R51" s="14">
        <f t="shared" si="10"/>
        <v>0</v>
      </c>
      <c r="S51" s="14">
        <f t="shared" si="11"/>
        <v>-823.08999999999992</v>
      </c>
      <c r="T51" s="14">
        <f>IFERROR(VLOOKUP(A51,Prêmio!$A$2:$C$48,3,FALSE),0)</f>
        <v>0</v>
      </c>
      <c r="U51" s="14" t="str">
        <f t="shared" si="12"/>
        <v/>
      </c>
      <c r="V51" s="14" t="str">
        <f t="shared" si="13"/>
        <v/>
      </c>
      <c r="W51" s="14">
        <f t="shared" si="14"/>
        <v>-63748.248627560977</v>
      </c>
      <c r="X51" s="14">
        <f t="shared" si="25"/>
        <v>-631.29862756097282</v>
      </c>
      <c r="Y51" s="47">
        <f t="shared" si="15"/>
        <v>-63748.248627560977</v>
      </c>
      <c r="Z51" s="81">
        <f t="shared" si="26"/>
        <v>0</v>
      </c>
      <c r="AA51" s="81">
        <f t="shared" si="27"/>
        <v>-191.79137243902369</v>
      </c>
      <c r="AB51" s="81">
        <f t="shared" si="28"/>
        <v>0</v>
      </c>
      <c r="AC51" s="81">
        <f t="shared" si="29"/>
        <v>0</v>
      </c>
      <c r="AD51" s="81">
        <f t="shared" si="0"/>
        <v>0</v>
      </c>
      <c r="AE51" s="81">
        <f t="shared" si="1"/>
        <v>-191.79137243902369</v>
      </c>
      <c r="AF51" s="81">
        <f t="shared" si="2"/>
        <v>0</v>
      </c>
      <c r="AG51" s="123">
        <f t="shared" si="3"/>
        <v>0</v>
      </c>
      <c r="AH51" s="123">
        <f t="shared" si="4"/>
        <v>-631.29862756097623</v>
      </c>
      <c r="AI51" s="123">
        <f t="shared" si="5"/>
        <v>0</v>
      </c>
      <c r="AO51" s="27">
        <f t="shared" si="6"/>
        <v>191.79137243902369</v>
      </c>
      <c r="AQ51" s="13"/>
      <c r="AR51" s="27"/>
    </row>
    <row r="52" spans="1:44">
      <c r="A52" s="48" t="s">
        <v>83</v>
      </c>
      <c r="B52" s="45">
        <v>2904</v>
      </c>
      <c r="C52" s="43">
        <v>150261.26</v>
      </c>
      <c r="D52" s="14">
        <f>IFERROR(VLOOKUP(A52,Exposição!$A$2:$M$48,13,FALSE),0)</f>
        <v>0</v>
      </c>
      <c r="E52" s="14">
        <f>IFERROR(VLOOKUP(A52,CCEAR_D!$A$2:$J$48,10,FALSE),0)</f>
        <v>0</v>
      </c>
      <c r="F52" s="14">
        <f>IFERROR(VLOOKUP(A52,'RH Cotas'!$A$2:$C$48,2,FALSE),0)+IFERROR(VLOOKUP(A52,'Efeito RH do ACR'!$A$2:$D$48,3,FALSE),0)</f>
        <v>0</v>
      </c>
      <c r="G52" s="14">
        <f>IFERROR(VLOOKUP(A52,'RH Itaipu'!$A$2:$B$48,2,FALSE),0)</f>
        <v>0</v>
      </c>
      <c r="H52" s="14">
        <f>IFERROR(VLOOKUP(A52,ESS_SE!$A$3:$B$51,2,FALSE),0)</f>
        <v>0</v>
      </c>
      <c r="I52" s="14">
        <f>IFERROR(VLOOKUP(A52,'ESS ME'!$A$3:$C$49,3,FALSE),0)</f>
        <v>0</v>
      </c>
      <c r="J52" s="14">
        <f>IFERROR(VLOOKUP(A52,CONER!$A$2:$B$48,2,FALSE),0)</f>
        <v>0</v>
      </c>
      <c r="K52" s="14">
        <f t="shared" si="7"/>
        <v>0</v>
      </c>
      <c r="L52" s="14">
        <f>IFERROR(VLOOKUP($A52,'CustoLiqNaoCobertoMesN-1'!$A$3:$F$101,L$2,FALSE),0)</f>
        <v>-866.96294249485913</v>
      </c>
      <c r="M52" s="14">
        <f>IFERROR(VLOOKUP($A52,'CustoLiqNaoCobertoMesN-1'!$A$3:$F$101,M$2,FALSE),0)</f>
        <v>0</v>
      </c>
      <c r="N52" s="14">
        <f>IFERROR(VLOOKUP($A52,'CustoLiqNaoCobertoMesN-1'!$A$3:$F$101,N$2,FALSE),0)</f>
        <v>0</v>
      </c>
      <c r="O52" s="14">
        <f>IFERROR(VLOOKUP($A52,'CustoLiqNaoCobertoMesN-1'!$A$3:$F$101,O$2,FALSE),0)</f>
        <v>-866.96294249485913</v>
      </c>
      <c r="P52" s="14">
        <f t="shared" si="8"/>
        <v>-866.96294249485913</v>
      </c>
      <c r="Q52" s="14">
        <f t="shared" si="9"/>
        <v>0</v>
      </c>
      <c r="R52" s="14">
        <f t="shared" si="10"/>
        <v>0</v>
      </c>
      <c r="S52" s="14">
        <f t="shared" si="11"/>
        <v>-866.96294249485913</v>
      </c>
      <c r="T52" s="14">
        <f>IFERROR(VLOOKUP(A52,Prêmio!$A$2:$C$48,3,FALSE),0)</f>
        <v>0</v>
      </c>
      <c r="U52" s="14" t="str">
        <f t="shared" si="12"/>
        <v/>
      </c>
      <c r="V52" s="14" t="str">
        <f t="shared" si="13"/>
        <v/>
      </c>
      <c r="W52" s="14">
        <f t="shared" si="14"/>
        <v>-150059.24562417858</v>
      </c>
      <c r="X52" s="14">
        <f t="shared" si="25"/>
        <v>-664.94856667343993</v>
      </c>
      <c r="Y52" s="47">
        <f t="shared" si="15"/>
        <v>-150059.24562417858</v>
      </c>
      <c r="Z52" s="81">
        <f t="shared" si="26"/>
        <v>-202.01437582142535</v>
      </c>
      <c r="AA52" s="81">
        <f t="shared" si="27"/>
        <v>0</v>
      </c>
      <c r="AB52" s="81">
        <f t="shared" si="28"/>
        <v>0</v>
      </c>
      <c r="AC52" s="81">
        <f t="shared" si="29"/>
        <v>0</v>
      </c>
      <c r="AD52" s="81">
        <f t="shared" si="0"/>
        <v>-202.01437582142535</v>
      </c>
      <c r="AE52" s="81">
        <f t="shared" si="1"/>
        <v>0</v>
      </c>
      <c r="AF52" s="81">
        <f t="shared" si="2"/>
        <v>0</v>
      </c>
      <c r="AG52" s="123">
        <f t="shared" si="3"/>
        <v>-664.94856667343379</v>
      </c>
      <c r="AH52" s="123">
        <f t="shared" si="4"/>
        <v>0</v>
      </c>
      <c r="AI52" s="123">
        <f t="shared" si="5"/>
        <v>0</v>
      </c>
      <c r="AO52" s="27">
        <f t="shared" si="6"/>
        <v>202.01437582142535</v>
      </c>
      <c r="AQ52" s="13"/>
      <c r="AR52" s="27"/>
    </row>
    <row r="53" spans="1:44">
      <c r="A53" s="48" t="s">
        <v>84</v>
      </c>
      <c r="B53" s="45">
        <v>95</v>
      </c>
      <c r="C53" s="43">
        <v>93625.919999999998</v>
      </c>
      <c r="D53" s="14">
        <f>IFERROR(VLOOKUP(A53,Exposição!$A$2:$M$48,13,FALSE),0)</f>
        <v>0</v>
      </c>
      <c r="E53" s="14">
        <f>IFERROR(VLOOKUP(A53,CCEAR_D!$A$2:$J$48,10,FALSE),0)</f>
        <v>0</v>
      </c>
      <c r="F53" s="14">
        <f>IFERROR(VLOOKUP(A53,'RH Cotas'!$A$2:$C$48,2,FALSE),0)+IFERROR(VLOOKUP(A53,'Efeito RH do ACR'!$A$2:$D$48,3,FALSE),0)</f>
        <v>0</v>
      </c>
      <c r="G53" s="14">
        <f>IFERROR(VLOOKUP(A53,'RH Itaipu'!$A$2:$B$48,2,FALSE),0)</f>
        <v>0</v>
      </c>
      <c r="H53" s="14">
        <f>IFERROR(VLOOKUP(A53,ESS_SE!$A$3:$B$51,2,FALSE),0)</f>
        <v>0</v>
      </c>
      <c r="I53" s="14">
        <f>IFERROR(VLOOKUP(A53,'ESS ME'!$A$3:$C$49,3,FALSE),0)</f>
        <v>0</v>
      </c>
      <c r="J53" s="14">
        <f>IFERROR(VLOOKUP(A53,CONER!$A$2:$B$48,2,FALSE),0)</f>
        <v>0</v>
      </c>
      <c r="K53" s="14">
        <f t="shared" si="7"/>
        <v>0</v>
      </c>
      <c r="L53" s="14">
        <f>IFERROR(VLOOKUP($A53,'CustoLiqNaoCobertoMesN-1'!$A$3:$F$101,L$2,FALSE),0)</f>
        <v>-3262.2589745776768</v>
      </c>
      <c r="M53" s="14">
        <f>IFERROR(VLOOKUP($A53,'CustoLiqNaoCobertoMesN-1'!$A$3:$F$101,M$2,FALSE),0)</f>
        <v>0</v>
      </c>
      <c r="N53" s="14">
        <f>IFERROR(VLOOKUP($A53,'CustoLiqNaoCobertoMesN-1'!$A$3:$F$101,N$2,FALSE),0)</f>
        <v>0</v>
      </c>
      <c r="O53" s="14">
        <f>IFERROR(VLOOKUP($A53,'CustoLiqNaoCobertoMesN-1'!$A$3:$F$101,O$2,FALSE),0)</f>
        <v>-3262.2589745776768</v>
      </c>
      <c r="P53" s="14">
        <f t="shared" si="8"/>
        <v>-3262.2589745776768</v>
      </c>
      <c r="Q53" s="14">
        <f t="shared" si="9"/>
        <v>0</v>
      </c>
      <c r="R53" s="14">
        <f t="shared" si="10"/>
        <v>0</v>
      </c>
      <c r="S53" s="14">
        <f t="shared" si="11"/>
        <v>-3262.2589745776768</v>
      </c>
      <c r="T53" s="14">
        <f>IFERROR(VLOOKUP(A53,Prêmio!$A$2:$C$48,3,FALSE),0)</f>
        <v>0</v>
      </c>
      <c r="U53" s="14" t="str">
        <f t="shared" si="12"/>
        <v/>
      </c>
      <c r="V53" s="14" t="str">
        <f>IF($U$2="Déficit","",IF(C53+T53&gt;-S53,IF(S53&lt;0,C53+S53+T53,C53+T53),0))</f>
        <v/>
      </c>
      <c r="W53" s="14">
        <f t="shared" si="14"/>
        <v>-92865.76846616315</v>
      </c>
      <c r="X53" s="14">
        <f t="shared" si="25"/>
        <v>-2502.1074407408305</v>
      </c>
      <c r="Y53" s="47">
        <f t="shared" si="15"/>
        <v>-92865.76846616315</v>
      </c>
      <c r="Z53" s="81">
        <f t="shared" si="26"/>
        <v>-760.1515338368481</v>
      </c>
      <c r="AA53" s="81">
        <f t="shared" si="27"/>
        <v>0</v>
      </c>
      <c r="AB53" s="81">
        <f t="shared" si="28"/>
        <v>0</v>
      </c>
      <c r="AC53" s="81">
        <f t="shared" si="29"/>
        <v>0</v>
      </c>
      <c r="AD53" s="81">
        <f t="shared" si="0"/>
        <v>-760.1515338368481</v>
      </c>
      <c r="AE53" s="81">
        <f t="shared" si="1"/>
        <v>0</v>
      </c>
      <c r="AF53" s="81">
        <f t="shared" si="2"/>
        <v>0</v>
      </c>
      <c r="AG53" s="123">
        <f t="shared" si="3"/>
        <v>-2502.1074407408287</v>
      </c>
      <c r="AH53" s="123">
        <f t="shared" si="4"/>
        <v>0</v>
      </c>
      <c r="AI53" s="123">
        <f t="shared" si="5"/>
        <v>0</v>
      </c>
      <c r="AO53" s="27">
        <f t="shared" si="6"/>
        <v>760.1515338368481</v>
      </c>
      <c r="AQ53" s="13"/>
      <c r="AR53" s="27"/>
    </row>
    <row r="54" spans="1:44">
      <c r="A54" s="48" t="s">
        <v>85</v>
      </c>
      <c r="B54" s="45">
        <v>88</v>
      </c>
      <c r="C54" s="43">
        <v>0</v>
      </c>
      <c r="D54" s="14">
        <f>IFERROR(VLOOKUP(A54,Exposição!$A$2:$M$48,13,FALSE),0)</f>
        <v>0</v>
      </c>
      <c r="E54" s="14">
        <f>IFERROR(VLOOKUP(A54,CCEAR_D!$A$2:$J$48,10,FALSE),0)</f>
        <v>0</v>
      </c>
      <c r="F54" s="14">
        <f>IFERROR(VLOOKUP(A54,'RH Cotas'!$A$2:$C$48,2,FALSE),0)+IFERROR(VLOOKUP(A54,'Efeito RH do ACR'!$A$2:$D$48,3,FALSE),0)</f>
        <v>0</v>
      </c>
      <c r="G54" s="14">
        <f>IFERROR(VLOOKUP(A54,'RH Itaipu'!$A$2:$B$48,2,FALSE),0)</f>
        <v>0</v>
      </c>
      <c r="H54" s="14">
        <f>IFERROR(VLOOKUP(A54,ESS_SE!$A$3:$B$51,2,FALSE),0)</f>
        <v>0</v>
      </c>
      <c r="I54" s="14">
        <f>IFERROR(VLOOKUP(A54,'ESS ME'!$A$3:$C$49,3,FALSE),0)</f>
        <v>0</v>
      </c>
      <c r="J54" s="14">
        <f>IFERROR(VLOOKUP(A54,CONER!$A$2:$B$48,2,FALSE),0)</f>
        <v>0</v>
      </c>
      <c r="K54" s="14">
        <f t="shared" si="7"/>
        <v>0</v>
      </c>
      <c r="L54" s="14">
        <f>IFERROR(VLOOKUP($A54,'CustoLiqNaoCobertoMesN-1'!$A$3:$F$101,L$2,FALSE),0)</f>
        <v>-44.223105893310532</v>
      </c>
      <c r="M54" s="14">
        <f>IFERROR(VLOOKUP($A54,'CustoLiqNaoCobertoMesN-1'!$A$3:$F$101,M$2,FALSE),0)</f>
        <v>0</v>
      </c>
      <c r="N54" s="14">
        <f>IFERROR(VLOOKUP($A54,'CustoLiqNaoCobertoMesN-1'!$A$3:$F$101,N$2,FALSE),0)</f>
        <v>0</v>
      </c>
      <c r="O54" s="14">
        <f>IFERROR(VLOOKUP($A54,'CustoLiqNaoCobertoMesN-1'!$A$3:$F$101,O$2,FALSE),0)</f>
        <v>-44.223105893310532</v>
      </c>
      <c r="P54" s="14">
        <f t="shared" si="8"/>
        <v>-44.223105893310532</v>
      </c>
      <c r="Q54" s="14">
        <f t="shared" si="9"/>
        <v>0</v>
      </c>
      <c r="R54" s="14">
        <f t="shared" si="10"/>
        <v>0</v>
      </c>
      <c r="S54" s="14">
        <f t="shared" si="11"/>
        <v>-44.223105893310532</v>
      </c>
      <c r="T54" s="14">
        <f>IFERROR(VLOOKUP(A54,Prêmio!$A$2:$C$48,3,FALSE),0)</f>
        <v>0</v>
      </c>
      <c r="U54" s="14" t="str">
        <f t="shared" si="12"/>
        <v/>
      </c>
      <c r="V54" s="14" t="str">
        <f t="shared" si="13"/>
        <v/>
      </c>
      <c r="W54" s="14">
        <f t="shared" si="14"/>
        <v>10.304596305135796</v>
      </c>
      <c r="X54" s="14">
        <f t="shared" si="25"/>
        <v>-33.918509588174736</v>
      </c>
      <c r="Y54" s="47">
        <f t="shared" si="15"/>
        <v>10.304596305135796</v>
      </c>
      <c r="Z54" s="81">
        <f t="shared" si="26"/>
        <v>-10.304596305135796</v>
      </c>
      <c r="AA54" s="81">
        <f t="shared" si="27"/>
        <v>0</v>
      </c>
      <c r="AB54" s="81">
        <f t="shared" si="28"/>
        <v>0</v>
      </c>
      <c r="AC54" s="81">
        <f t="shared" si="29"/>
        <v>0</v>
      </c>
      <c r="AD54" s="81">
        <f t="shared" si="0"/>
        <v>-10.304596305135796</v>
      </c>
      <c r="AE54" s="81">
        <f t="shared" si="1"/>
        <v>0</v>
      </c>
      <c r="AF54" s="81">
        <f t="shared" si="2"/>
        <v>0</v>
      </c>
      <c r="AG54" s="123">
        <f t="shared" si="3"/>
        <v>-33.918509588174736</v>
      </c>
      <c r="AH54" s="123">
        <f t="shared" si="4"/>
        <v>0</v>
      </c>
      <c r="AI54" s="123">
        <f t="shared" si="5"/>
        <v>0</v>
      </c>
      <c r="AO54" s="27">
        <f t="shared" si="6"/>
        <v>10.304596305135796</v>
      </c>
      <c r="AQ54" s="13"/>
      <c r="AR54" s="27"/>
    </row>
    <row r="55" spans="1:44">
      <c r="A55" s="48" t="s">
        <v>86</v>
      </c>
      <c r="B55" s="45">
        <v>86</v>
      </c>
      <c r="C55" s="43">
        <v>3448.2599999999998</v>
      </c>
      <c r="D55" s="14">
        <f>IFERROR(VLOOKUP(A55,Exposição!$A$2:$M$48,13,FALSE),0)</f>
        <v>0</v>
      </c>
      <c r="E55" s="14">
        <f>IFERROR(VLOOKUP(A55,CCEAR_D!$A$2:$J$48,10,FALSE),0)</f>
        <v>0</v>
      </c>
      <c r="F55" s="14">
        <f>IFERROR(VLOOKUP(A55,'RH Cotas'!$A$2:$C$48,2,FALSE),0)+IFERROR(VLOOKUP(A55,'Efeito RH do ACR'!$A$2:$D$48,3,FALSE),0)</f>
        <v>0</v>
      </c>
      <c r="G55" s="14">
        <f>IFERROR(VLOOKUP(A55,'RH Itaipu'!$A$2:$B$48,2,FALSE),0)</f>
        <v>0</v>
      </c>
      <c r="H55" s="14">
        <f>IFERROR(VLOOKUP(A55,ESS_SE!$A$3:$B$51,2,FALSE),0)</f>
        <v>0</v>
      </c>
      <c r="I55" s="14">
        <f>IFERROR(VLOOKUP(A55,'ESS ME'!$A$3:$C$49,3,FALSE),0)</f>
        <v>0</v>
      </c>
      <c r="J55" s="14">
        <f>IFERROR(VLOOKUP(A55,CONER!$A$2:$B$48,2,FALSE),0)</f>
        <v>0</v>
      </c>
      <c r="K55" s="14">
        <f t="shared" si="7"/>
        <v>0</v>
      </c>
      <c r="L55" s="14">
        <f>IFERROR(VLOOKUP($A55,'CustoLiqNaoCobertoMesN-1'!$A$3:$F$101,L$2,FALSE),0)</f>
        <v>-120.17079366194733</v>
      </c>
      <c r="M55" s="14">
        <f>IFERROR(VLOOKUP($A55,'CustoLiqNaoCobertoMesN-1'!$A$3:$F$101,M$2,FALSE),0)</f>
        <v>0</v>
      </c>
      <c r="N55" s="14">
        <f>IFERROR(VLOOKUP($A55,'CustoLiqNaoCobertoMesN-1'!$A$3:$F$101,N$2,FALSE),0)</f>
        <v>0</v>
      </c>
      <c r="O55" s="14">
        <f>IFERROR(VLOOKUP($A55,'CustoLiqNaoCobertoMesN-1'!$A$3:$F$101,O$2,FALSE),0)</f>
        <v>-120.17079366194733</v>
      </c>
      <c r="P55" s="14">
        <f t="shared" si="8"/>
        <v>-120.17079366194733</v>
      </c>
      <c r="Q55" s="14">
        <f t="shared" si="9"/>
        <v>0</v>
      </c>
      <c r="R55" s="14">
        <f t="shared" si="10"/>
        <v>0</v>
      </c>
      <c r="S55" s="14">
        <f t="shared" si="11"/>
        <v>-120.17079366194733</v>
      </c>
      <c r="T55" s="14">
        <f>IFERROR(VLOOKUP(A55,Prêmio!$A$2:$C$48,3,FALSE),0)</f>
        <v>0</v>
      </c>
      <c r="U55" s="14" t="str">
        <f t="shared" si="12"/>
        <v/>
      </c>
      <c r="V55" s="14" t="str">
        <f t="shared" si="13"/>
        <v/>
      </c>
      <c r="W55" s="14">
        <f t="shared" si="14"/>
        <v>-3420.2585403254666</v>
      </c>
      <c r="X55" s="14">
        <f t="shared" si="25"/>
        <v>-92.16933398741412</v>
      </c>
      <c r="Y55" s="47">
        <f t="shared" si="15"/>
        <v>-3420.2585403254666</v>
      </c>
      <c r="Z55" s="81">
        <f t="shared" si="26"/>
        <v>-28.00145967453318</v>
      </c>
      <c r="AA55" s="81">
        <f t="shared" si="27"/>
        <v>0</v>
      </c>
      <c r="AB55" s="81">
        <f t="shared" si="28"/>
        <v>0</v>
      </c>
      <c r="AC55" s="81">
        <f t="shared" si="29"/>
        <v>0</v>
      </c>
      <c r="AD55" s="81">
        <f t="shared" si="0"/>
        <v>-28.00145967453318</v>
      </c>
      <c r="AE55" s="81">
        <f t="shared" si="1"/>
        <v>0</v>
      </c>
      <c r="AF55" s="81">
        <f t="shared" si="2"/>
        <v>0</v>
      </c>
      <c r="AG55" s="123">
        <f t="shared" si="3"/>
        <v>-92.169333987414149</v>
      </c>
      <c r="AH55" s="123">
        <f t="shared" si="4"/>
        <v>0</v>
      </c>
      <c r="AI55" s="123">
        <f t="shared" si="5"/>
        <v>0</v>
      </c>
      <c r="AO55" s="27">
        <f t="shared" si="6"/>
        <v>28.00145967453318</v>
      </c>
      <c r="AQ55" s="13"/>
      <c r="AR55" s="27"/>
    </row>
    <row r="56" spans="1:44">
      <c r="A56" s="48" t="s">
        <v>87</v>
      </c>
      <c r="B56" s="45">
        <v>398</v>
      </c>
      <c r="C56" s="43">
        <v>194165.32</v>
      </c>
      <c r="D56" s="14">
        <f>IFERROR(VLOOKUP(A56,Exposição!$A$2:$M$48,13,FALSE),0)</f>
        <v>0</v>
      </c>
      <c r="E56" s="14">
        <f>IFERROR(VLOOKUP(A56,CCEAR_D!$A$2:$J$48,10,FALSE),0)</f>
        <v>0</v>
      </c>
      <c r="F56" s="14">
        <f>IFERROR(VLOOKUP(A56,'RH Cotas'!$A$2:$C$48,2,FALSE),0)+IFERROR(VLOOKUP(A56,'Efeito RH do ACR'!$A$2:$D$48,3,FALSE),0)</f>
        <v>0</v>
      </c>
      <c r="G56" s="14">
        <f>IFERROR(VLOOKUP(A56,'RH Itaipu'!$A$2:$B$48,2,FALSE),0)</f>
        <v>0</v>
      </c>
      <c r="H56" s="14">
        <f>IFERROR(VLOOKUP(A56,ESS_SE!$A$3:$B$51,2,FALSE),0)</f>
        <v>0</v>
      </c>
      <c r="I56" s="14">
        <f>IFERROR(VLOOKUP(A56,'ESS ME'!$A$3:$C$49,3,FALSE),0)</f>
        <v>0</v>
      </c>
      <c r="J56" s="14">
        <f>IFERROR(VLOOKUP(A56,CONER!$A$2:$B$48,2,FALSE),0)</f>
        <v>0</v>
      </c>
      <c r="K56" s="14">
        <f t="shared" si="7"/>
        <v>0</v>
      </c>
      <c r="L56" s="14">
        <f>IFERROR(VLOOKUP($A56,'CustoLiqNaoCobertoMesN-1'!$A$3:$F$101,L$2,FALSE),0)</f>
        <v>-703.71306690310166</v>
      </c>
      <c r="M56" s="14">
        <f>IFERROR(VLOOKUP($A56,'CustoLiqNaoCobertoMesN-1'!$A$3:$F$101,M$2,FALSE),0)</f>
        <v>0</v>
      </c>
      <c r="N56" s="14">
        <f>IFERROR(VLOOKUP($A56,'CustoLiqNaoCobertoMesN-1'!$A$3:$F$101,N$2,FALSE),0)</f>
        <v>0</v>
      </c>
      <c r="O56" s="14">
        <f>IFERROR(VLOOKUP($A56,'CustoLiqNaoCobertoMesN-1'!$A$3:$F$101,O$2,FALSE),0)</f>
        <v>-703.71306690310166</v>
      </c>
      <c r="P56" s="14">
        <f t="shared" si="8"/>
        <v>-703.71306690310166</v>
      </c>
      <c r="Q56" s="14">
        <f t="shared" si="9"/>
        <v>0</v>
      </c>
      <c r="R56" s="14">
        <f t="shared" si="10"/>
        <v>0</v>
      </c>
      <c r="S56" s="14">
        <f t="shared" si="11"/>
        <v>-703.71306690310166</v>
      </c>
      <c r="T56" s="14">
        <f>IFERROR(VLOOKUP(A56,Prêmio!$A$2:$C$48,3,FALSE),0)</f>
        <v>0</v>
      </c>
      <c r="U56" s="14" t="str">
        <f t="shared" si="12"/>
        <v/>
      </c>
      <c r="V56" s="14" t="str">
        <f t="shared" si="13"/>
        <v/>
      </c>
      <c r="W56" s="14">
        <f t="shared" si="14"/>
        <v>-194001.34510672634</v>
      </c>
      <c r="X56" s="14">
        <f t="shared" si="25"/>
        <v>-539.73817362941918</v>
      </c>
      <c r="Y56" s="47">
        <f t="shared" si="15"/>
        <v>-194001.34510672634</v>
      </c>
      <c r="Z56" s="81">
        <f t="shared" si="26"/>
        <v>-163.9748932736693</v>
      </c>
      <c r="AA56" s="81">
        <f t="shared" si="27"/>
        <v>0</v>
      </c>
      <c r="AB56" s="81">
        <f t="shared" si="28"/>
        <v>0</v>
      </c>
      <c r="AC56" s="81">
        <f t="shared" si="29"/>
        <v>0</v>
      </c>
      <c r="AD56" s="81">
        <f t="shared" si="0"/>
        <v>-163.9748932736693</v>
      </c>
      <c r="AE56" s="81">
        <f t="shared" si="1"/>
        <v>0</v>
      </c>
      <c r="AF56" s="81">
        <f t="shared" si="2"/>
        <v>0</v>
      </c>
      <c r="AG56" s="123">
        <f t="shared" si="3"/>
        <v>-539.73817362943237</v>
      </c>
      <c r="AH56" s="123">
        <f t="shared" si="4"/>
        <v>0</v>
      </c>
      <c r="AI56" s="123">
        <f t="shared" si="5"/>
        <v>0</v>
      </c>
      <c r="AO56" s="27">
        <f t="shared" si="6"/>
        <v>163.9748932736693</v>
      </c>
      <c r="AQ56" s="13"/>
      <c r="AR56" s="27"/>
    </row>
    <row r="57" spans="1:44">
      <c r="A57" s="162" t="s">
        <v>88</v>
      </c>
      <c r="B57" s="160">
        <v>381</v>
      </c>
      <c r="C57" s="43">
        <v>532868.90999999992</v>
      </c>
      <c r="D57" s="14">
        <f>IFERROR(VLOOKUP(A57,Exposição!$A$2:$M$48,13,FALSE),0)</f>
        <v>599118.68332778313</v>
      </c>
      <c r="E57" s="14">
        <f>IFERROR(VLOOKUP(A57,CCEAR_D!$A$2:$J$48,10,FALSE),0)</f>
        <v>0</v>
      </c>
      <c r="F57" s="14">
        <f>IFERROR(VLOOKUP(A57,'RH Cotas'!$A$2:$C$48,2,FALSE),0)+IFERROR(VLOOKUP(A57,'Efeito RH do ACR'!$A$2:$D$48,3,FALSE),0)</f>
        <v>-31263.360000000001</v>
      </c>
      <c r="G57" s="14">
        <f>IFERROR(VLOOKUP(A57,'RH Itaipu'!$A$2:$B$48,2,FALSE),0)</f>
        <v>19342.28</v>
      </c>
      <c r="H57" s="14">
        <f>IFERROR(VLOOKUP(A57,ESS_SE!$A$3:$B$51,2,FALSE),0)</f>
        <v>-106741.55</v>
      </c>
      <c r="I57" s="14">
        <f>IFERROR(VLOOKUP(A57,'ESS ME'!$A$3:$C$49,3,FALSE),0)</f>
        <v>-4449.82</v>
      </c>
      <c r="J57" s="14">
        <f>IFERROR(VLOOKUP(A57,CONER!$A$2:$B$48,2,FALSE),0)</f>
        <v>636241.11</v>
      </c>
      <c r="K57" s="14">
        <f t="shared" si="7"/>
        <v>1112247.343327783</v>
      </c>
      <c r="L57" s="14">
        <f>IFERROR(VLOOKUP($A57,'CustoLiqNaoCobertoMesN-1'!$A$3:$F$101,L$2,FALSE),0)</f>
        <v>30905.006432323764</v>
      </c>
      <c r="M57" s="14">
        <f>IFERROR(VLOOKUP($A57,'CustoLiqNaoCobertoMesN-1'!$A$3:$F$101,M$2,FALSE),0)</f>
        <v>-869697.73032309511</v>
      </c>
      <c r="N57" s="14">
        <f>IFERROR(VLOOKUP($A57,'CustoLiqNaoCobertoMesN-1'!$A$3:$F$101,N$2,FALSE),0)</f>
        <v>-3081531.8363975999</v>
      </c>
      <c r="O57" s="14">
        <f>IFERROR(VLOOKUP($A57,'CustoLiqNaoCobertoMesN-1'!$A$3:$F$101,O$2,FALSE),0)</f>
        <v>-3920324.5602883715</v>
      </c>
      <c r="P57" s="14">
        <f t="shared" si="8"/>
        <v>18983.926432323762</v>
      </c>
      <c r="Q57" s="14">
        <f t="shared" si="9"/>
        <v>-344647.99032309512</v>
      </c>
      <c r="R57" s="14">
        <f t="shared" si="10"/>
        <v>-2482413.1530698165</v>
      </c>
      <c r="S57" s="14">
        <f t="shared" si="11"/>
        <v>-2808077.2169605885</v>
      </c>
      <c r="T57" s="14">
        <f>IFERROR(VLOOKUP(A57,Prêmio!$A$2:$C$48,3,FALSE),0)</f>
        <v>2679.8694522179821</v>
      </c>
      <c r="U57" s="14" t="str">
        <f t="shared" si="12"/>
        <v/>
      </c>
      <c r="V57" s="14" t="str">
        <f t="shared" si="13"/>
        <v/>
      </c>
      <c r="W57" s="14">
        <f t="shared" si="14"/>
        <v>124131.85188879263</v>
      </c>
      <c r="X57" s="14">
        <f t="shared" si="25"/>
        <v>-2151076.4550717957</v>
      </c>
      <c r="Y57" s="47">
        <f t="shared" si="15"/>
        <v>124131.85188879263</v>
      </c>
      <c r="Z57" s="81">
        <f t="shared" si="26"/>
        <v>0</v>
      </c>
      <c r="AA57" s="81">
        <f t="shared" si="27"/>
        <v>-344647.99032309512</v>
      </c>
      <c r="AB57" s="81">
        <f t="shared" si="28"/>
        <v>-312352.77156569745</v>
      </c>
      <c r="AC57" s="81">
        <f t="shared" si="29"/>
        <v>0</v>
      </c>
      <c r="AD57" s="81">
        <f t="shared" si="0"/>
        <v>0</v>
      </c>
      <c r="AE57" s="81">
        <f t="shared" si="1"/>
        <v>-344647.99032309512</v>
      </c>
      <c r="AF57" s="81">
        <f t="shared" si="2"/>
        <v>-312352.77156569745</v>
      </c>
      <c r="AG57" s="123">
        <f t="shared" si="3"/>
        <v>18983.926432323762</v>
      </c>
      <c r="AH57" s="123">
        <f t="shared" si="4"/>
        <v>0</v>
      </c>
      <c r="AI57" s="123">
        <f t="shared" si="5"/>
        <v>-2170060.3815041189</v>
      </c>
      <c r="AO57" s="27">
        <f t="shared" si="6"/>
        <v>657000.76188879251</v>
      </c>
      <c r="AQ57" s="13"/>
      <c r="AR57" s="27"/>
    </row>
    <row r="58" spans="1:44">
      <c r="A58" s="48" t="s">
        <v>89</v>
      </c>
      <c r="B58" s="45">
        <v>6612</v>
      </c>
      <c r="C58" s="43">
        <v>321790.58999999997</v>
      </c>
      <c r="D58" s="14">
        <f>IFERROR(VLOOKUP(A58,Exposição!$A$2:$M$48,13,FALSE),0)</f>
        <v>0</v>
      </c>
      <c r="E58" s="14">
        <f>IFERROR(VLOOKUP(A58,CCEAR_D!$A$2:$J$48,10,FALSE),0)</f>
        <v>0</v>
      </c>
      <c r="F58" s="14">
        <f>IFERROR(VLOOKUP(A58,'RH Cotas'!$A$2:$C$48,2,FALSE),0)+IFERROR(VLOOKUP(A58,'Efeito RH do ACR'!$A$2:$D$48,3,FALSE),0)</f>
        <v>0</v>
      </c>
      <c r="G58" s="14">
        <f>IFERROR(VLOOKUP(A58,'RH Itaipu'!$A$2:$B$48,2,FALSE),0)</f>
        <v>0</v>
      </c>
      <c r="H58" s="14">
        <f>IFERROR(VLOOKUP(A58,ESS_SE!$A$3:$B$51,2,FALSE),0)</f>
        <v>0</v>
      </c>
      <c r="I58" s="14">
        <f>IFERROR(VLOOKUP(A58,'ESS ME'!$A$3:$C$49,3,FALSE),0)</f>
        <v>0</v>
      </c>
      <c r="J58" s="14">
        <f>IFERROR(VLOOKUP(A58,CONER!$A$2:$B$48,2,FALSE),0)</f>
        <v>0</v>
      </c>
      <c r="K58" s="14">
        <f t="shared" si="7"/>
        <v>0</v>
      </c>
      <c r="L58" s="14">
        <f>IFERROR(VLOOKUP($A58,'CustoLiqNaoCobertoMesN-1'!$A$3:$F$101,L$2,FALSE),0)</f>
        <v>148751.20392573997</v>
      </c>
      <c r="M58" s="14">
        <f>IFERROR(VLOOKUP($A58,'CustoLiqNaoCobertoMesN-1'!$A$3:$F$101,M$2,FALSE),0)</f>
        <v>0</v>
      </c>
      <c r="N58" s="14">
        <f>IFERROR(VLOOKUP($A58,'CustoLiqNaoCobertoMesN-1'!$A$3:$F$101,N$2,FALSE),0)</f>
        <v>0</v>
      </c>
      <c r="O58" s="14">
        <f>IFERROR(VLOOKUP($A58,'CustoLiqNaoCobertoMesN-1'!$A$3:$F$101,O$2,FALSE),0)</f>
        <v>148751.20392573997</v>
      </c>
      <c r="P58" s="14">
        <f t="shared" si="8"/>
        <v>148751.20392573997</v>
      </c>
      <c r="Q58" s="14">
        <f t="shared" si="9"/>
        <v>0</v>
      </c>
      <c r="R58" s="14">
        <f t="shared" si="10"/>
        <v>0</v>
      </c>
      <c r="S58" s="14">
        <f t="shared" si="11"/>
        <v>148751.20392573997</v>
      </c>
      <c r="T58" s="14">
        <f>IFERROR(VLOOKUP(A58,Prêmio!$A$2:$C$48,3,FALSE),0)</f>
        <v>0</v>
      </c>
      <c r="U58" s="14" t="str">
        <f t="shared" si="12"/>
        <v/>
      </c>
      <c r="V58" s="14" t="str">
        <f t="shared" si="13"/>
        <v/>
      </c>
      <c r="W58" s="14">
        <f t="shared" si="14"/>
        <v>-321790.58999999997</v>
      </c>
      <c r="X58" s="14">
        <f t="shared" si="25"/>
        <v>148751.20392573997</v>
      </c>
      <c r="Y58" s="47">
        <f t="shared" si="15"/>
        <v>-321790.58999999997</v>
      </c>
      <c r="Z58" s="81">
        <f t="shared" si="26"/>
        <v>0</v>
      </c>
      <c r="AA58" s="81">
        <f t="shared" si="27"/>
        <v>0</v>
      </c>
      <c r="AB58" s="81">
        <f t="shared" si="28"/>
        <v>0</v>
      </c>
      <c r="AC58" s="81">
        <f t="shared" si="29"/>
        <v>0</v>
      </c>
      <c r="AD58" s="81">
        <f t="shared" si="0"/>
        <v>0</v>
      </c>
      <c r="AE58" s="81">
        <f t="shared" si="1"/>
        <v>0</v>
      </c>
      <c r="AF58" s="81">
        <f t="shared" si="2"/>
        <v>0</v>
      </c>
      <c r="AG58" s="123">
        <f t="shared" si="3"/>
        <v>148751.20392573997</v>
      </c>
      <c r="AH58" s="123">
        <f t="shared" si="4"/>
        <v>0</v>
      </c>
      <c r="AI58" s="123">
        <f t="shared" si="5"/>
        <v>0</v>
      </c>
      <c r="AO58" s="27">
        <f t="shared" si="6"/>
        <v>0</v>
      </c>
      <c r="AQ58" s="13"/>
      <c r="AR58" s="27"/>
    </row>
    <row r="59" spans="1:44">
      <c r="A59" s="48" t="s">
        <v>90</v>
      </c>
      <c r="B59" s="45">
        <v>83</v>
      </c>
      <c r="C59" s="43">
        <v>63942.340000000004</v>
      </c>
      <c r="D59" s="14">
        <f>IFERROR(VLOOKUP(A59,Exposição!$A$2:$M$48,13,FALSE),0)</f>
        <v>0</v>
      </c>
      <c r="E59" s="14">
        <f>IFERROR(VLOOKUP(A59,CCEAR_D!$A$2:$J$48,10,FALSE),0)</f>
        <v>0</v>
      </c>
      <c r="F59" s="14">
        <f>IFERROR(VLOOKUP(A59,'RH Cotas'!$A$2:$C$48,2,FALSE),0)+IFERROR(VLOOKUP(A59,'Efeito RH do ACR'!$A$2:$D$48,3,FALSE),0)</f>
        <v>0</v>
      </c>
      <c r="G59" s="14">
        <f>IFERROR(VLOOKUP(A59,'RH Itaipu'!$A$2:$B$48,2,FALSE),0)</f>
        <v>0</v>
      </c>
      <c r="H59" s="14">
        <f>IFERROR(VLOOKUP(A59,ESS_SE!$A$3:$B$51,2,FALSE),0)</f>
        <v>0</v>
      </c>
      <c r="I59" s="14">
        <f>IFERROR(VLOOKUP(A59,'ESS ME'!$A$3:$C$49,3,FALSE),0)</f>
        <v>0</v>
      </c>
      <c r="J59" s="14">
        <f>IFERROR(VLOOKUP(A59,CONER!$A$2:$B$48,2,FALSE),0)</f>
        <v>0</v>
      </c>
      <c r="K59" s="14">
        <f t="shared" si="7"/>
        <v>0</v>
      </c>
      <c r="L59" s="14">
        <f>IFERROR(VLOOKUP($A59,'CustoLiqNaoCobertoMesN-1'!$A$3:$F$101,L$2,FALSE),0)</f>
        <v>-131.33812974003808</v>
      </c>
      <c r="M59" s="14">
        <f>IFERROR(VLOOKUP($A59,'CustoLiqNaoCobertoMesN-1'!$A$3:$F$101,M$2,FALSE),0)</f>
        <v>0</v>
      </c>
      <c r="N59" s="14">
        <f>IFERROR(VLOOKUP($A59,'CustoLiqNaoCobertoMesN-1'!$A$3:$F$101,N$2,FALSE),0)</f>
        <v>0</v>
      </c>
      <c r="O59" s="14">
        <f>IFERROR(VLOOKUP($A59,'CustoLiqNaoCobertoMesN-1'!$A$3:$F$101,O$2,FALSE),0)</f>
        <v>-131.33812974003808</v>
      </c>
      <c r="P59" s="14">
        <f t="shared" si="8"/>
        <v>-131.33812974003808</v>
      </c>
      <c r="Q59" s="14">
        <f t="shared" si="9"/>
        <v>0</v>
      </c>
      <c r="R59" s="14">
        <f t="shared" si="10"/>
        <v>0</v>
      </c>
      <c r="S59" s="14">
        <f t="shared" si="11"/>
        <v>-131.33812974003808</v>
      </c>
      <c r="T59" s="14">
        <f>IFERROR(VLOOKUP(A59,Prêmio!$A$2:$C$48,3,FALSE),0)</f>
        <v>0</v>
      </c>
      <c r="U59" s="14" t="str">
        <f t="shared" si="12"/>
        <v/>
      </c>
      <c r="V59" s="14" t="str">
        <f t="shared" si="13"/>
        <v/>
      </c>
      <c r="W59" s="14">
        <f t="shared" si="14"/>
        <v>-63911.73639631582</v>
      </c>
      <c r="X59" s="14">
        <f t="shared" si="25"/>
        <v>-100.73452605585771</v>
      </c>
      <c r="Y59" s="47">
        <f t="shared" si="15"/>
        <v>-63911.73639631582</v>
      </c>
      <c r="Z59" s="81">
        <f t="shared" si="26"/>
        <v>-30.603603684183327</v>
      </c>
      <c r="AA59" s="81">
        <f t="shared" si="27"/>
        <v>0</v>
      </c>
      <c r="AB59" s="81">
        <f t="shared" si="28"/>
        <v>0</v>
      </c>
      <c r="AC59" s="81">
        <f t="shared" si="29"/>
        <v>0</v>
      </c>
      <c r="AD59" s="81">
        <f t="shared" si="0"/>
        <v>-30.603603684183327</v>
      </c>
      <c r="AE59" s="81">
        <f t="shared" si="1"/>
        <v>0</v>
      </c>
      <c r="AF59" s="81">
        <f t="shared" si="2"/>
        <v>0</v>
      </c>
      <c r="AG59" s="123">
        <f t="shared" si="3"/>
        <v>-100.73452605585476</v>
      </c>
      <c r="AH59" s="123">
        <f t="shared" si="4"/>
        <v>0</v>
      </c>
      <c r="AI59" s="123">
        <f t="shared" si="5"/>
        <v>0</v>
      </c>
      <c r="AO59" s="27">
        <f t="shared" si="6"/>
        <v>30.603603684183327</v>
      </c>
      <c r="AQ59" s="13"/>
      <c r="AR59" s="27"/>
    </row>
    <row r="60" spans="1:44">
      <c r="A60" s="48" t="s">
        <v>91</v>
      </c>
      <c r="B60" s="45">
        <v>399</v>
      </c>
      <c r="C60" s="43">
        <v>129329.03</v>
      </c>
      <c r="D60" s="14">
        <f>IFERROR(VLOOKUP(A60,Exposição!$A$2:$M$48,13,FALSE),0)</f>
        <v>0</v>
      </c>
      <c r="E60" s="14">
        <f>IFERROR(VLOOKUP(A60,CCEAR_D!$A$2:$J$48,10,FALSE),0)</f>
        <v>0</v>
      </c>
      <c r="F60" s="14">
        <f>IFERROR(VLOOKUP(A60,'RH Cotas'!$A$2:$C$48,2,FALSE),0)+IFERROR(VLOOKUP(A60,'Efeito RH do ACR'!$A$2:$D$48,3,FALSE),0)</f>
        <v>0</v>
      </c>
      <c r="G60" s="14">
        <f>IFERROR(VLOOKUP(A60,'RH Itaipu'!$A$2:$B$48,2,FALSE),0)</f>
        <v>0</v>
      </c>
      <c r="H60" s="14">
        <f>IFERROR(VLOOKUP(A60,ESS_SE!$A$3:$B$51,2,FALSE),0)</f>
        <v>0</v>
      </c>
      <c r="I60" s="14">
        <f>IFERROR(VLOOKUP(A60,'ESS ME'!$A$3:$C$49,3,FALSE),0)</f>
        <v>0</v>
      </c>
      <c r="J60" s="14">
        <f>IFERROR(VLOOKUP(A60,CONER!$A$2:$B$48,2,FALSE),0)</f>
        <v>0</v>
      </c>
      <c r="K60" s="14">
        <f t="shared" si="7"/>
        <v>0</v>
      </c>
      <c r="L60" s="14">
        <f>IFERROR(VLOOKUP($A60,'CustoLiqNaoCobertoMesN-1'!$A$3:$F$101,L$2,FALSE),0)</f>
        <v>-299.08061230611884</v>
      </c>
      <c r="M60" s="14">
        <f>IFERROR(VLOOKUP($A60,'CustoLiqNaoCobertoMesN-1'!$A$3:$F$101,M$2,FALSE),0)</f>
        <v>0</v>
      </c>
      <c r="N60" s="14">
        <f>IFERROR(VLOOKUP($A60,'CustoLiqNaoCobertoMesN-1'!$A$3:$F$101,N$2,FALSE),0)</f>
        <v>0</v>
      </c>
      <c r="O60" s="14">
        <f>IFERROR(VLOOKUP($A60,'CustoLiqNaoCobertoMesN-1'!$A$3:$F$101,O$2,FALSE),0)</f>
        <v>-299.08061230611884</v>
      </c>
      <c r="P60" s="14">
        <f t="shared" si="8"/>
        <v>-299.08061230611884</v>
      </c>
      <c r="Q60" s="14">
        <f t="shared" si="9"/>
        <v>0</v>
      </c>
      <c r="R60" s="14">
        <f t="shared" si="10"/>
        <v>0</v>
      </c>
      <c r="S60" s="14">
        <f t="shared" si="11"/>
        <v>-299.08061230611884</v>
      </c>
      <c r="T60" s="14">
        <f>IFERROR(VLOOKUP(A60,Prêmio!$A$2:$C$48,3,FALSE),0)</f>
        <v>0</v>
      </c>
      <c r="U60" s="14" t="str">
        <f t="shared" si="12"/>
        <v/>
      </c>
      <c r="V60" s="14" t="str">
        <f t="shared" si="13"/>
        <v/>
      </c>
      <c r="W60" s="14">
        <f t="shared" si="14"/>
        <v>-129259.340074106</v>
      </c>
      <c r="X60" s="14">
        <f t="shared" si="25"/>
        <v>-229.39068641212361</v>
      </c>
      <c r="Y60" s="47">
        <f t="shared" si="15"/>
        <v>-129259.340074106</v>
      </c>
      <c r="Z60" s="81">
        <f t="shared" si="26"/>
        <v>-69.689925893995678</v>
      </c>
      <c r="AA60" s="81">
        <f t="shared" si="27"/>
        <v>0</v>
      </c>
      <c r="AB60" s="81">
        <f t="shared" si="28"/>
        <v>0</v>
      </c>
      <c r="AC60" s="81">
        <f t="shared" si="29"/>
        <v>0</v>
      </c>
      <c r="AD60" s="81">
        <f t="shared" si="0"/>
        <v>-69.689925893995678</v>
      </c>
      <c r="AE60" s="81">
        <f t="shared" si="1"/>
        <v>0</v>
      </c>
      <c r="AF60" s="81">
        <f t="shared" si="2"/>
        <v>0</v>
      </c>
      <c r="AG60" s="123">
        <f t="shared" si="3"/>
        <v>-229.39068641212316</v>
      </c>
      <c r="AH60" s="123">
        <f t="shared" si="4"/>
        <v>0</v>
      </c>
      <c r="AI60" s="123">
        <f t="shared" si="5"/>
        <v>0</v>
      </c>
      <c r="AO60" s="27">
        <f t="shared" si="6"/>
        <v>69.689925893995678</v>
      </c>
      <c r="AQ60" s="13"/>
      <c r="AR60" s="27"/>
    </row>
    <row r="61" spans="1:44">
      <c r="A61" s="48" t="s">
        <v>92</v>
      </c>
      <c r="B61" s="45">
        <v>401</v>
      </c>
      <c r="C61" s="43">
        <v>75714.509999999995</v>
      </c>
      <c r="D61" s="14">
        <f>IFERROR(VLOOKUP(A61,Exposição!$A$2:$M$48,13,FALSE),0)</f>
        <v>0</v>
      </c>
      <c r="E61" s="14">
        <f>IFERROR(VLOOKUP(A61,CCEAR_D!$A$2:$J$48,10,FALSE),0)</f>
        <v>0</v>
      </c>
      <c r="F61" s="14">
        <f>IFERROR(VLOOKUP(A61,'RH Cotas'!$A$2:$C$48,2,FALSE),0)+IFERROR(VLOOKUP(A61,'Efeito RH do ACR'!$A$2:$D$48,3,FALSE),0)</f>
        <v>0</v>
      </c>
      <c r="G61" s="14">
        <f>IFERROR(VLOOKUP(A61,'RH Itaipu'!$A$2:$B$48,2,FALSE),0)</f>
        <v>0</v>
      </c>
      <c r="H61" s="14">
        <f>IFERROR(VLOOKUP(A61,ESS_SE!$A$3:$B$51,2,FALSE),0)</f>
        <v>0</v>
      </c>
      <c r="I61" s="14">
        <f>IFERROR(VLOOKUP(A61,'ESS ME'!$A$3:$C$49,3,FALSE),0)</f>
        <v>0</v>
      </c>
      <c r="J61" s="14">
        <f>IFERROR(VLOOKUP(A61,CONER!$A$2:$B$48,2,FALSE),0)</f>
        <v>0</v>
      </c>
      <c r="K61" s="14">
        <f t="shared" si="7"/>
        <v>0</v>
      </c>
      <c r="L61" s="14">
        <f>IFERROR(VLOOKUP($A61,'CustoLiqNaoCobertoMesN-1'!$A$3:$F$101,L$2,FALSE),0)</f>
        <v>-187.83210546148942</v>
      </c>
      <c r="M61" s="14">
        <f>IFERROR(VLOOKUP($A61,'CustoLiqNaoCobertoMesN-1'!$A$3:$F$101,M$2,FALSE),0)</f>
        <v>0</v>
      </c>
      <c r="N61" s="14">
        <f>IFERROR(VLOOKUP($A61,'CustoLiqNaoCobertoMesN-1'!$A$3:$F$101,N$2,FALSE),0)</f>
        <v>0</v>
      </c>
      <c r="O61" s="14">
        <f>IFERROR(VLOOKUP($A61,'CustoLiqNaoCobertoMesN-1'!$A$3:$F$101,O$2,FALSE),0)</f>
        <v>-187.83210546148942</v>
      </c>
      <c r="P61" s="14">
        <f t="shared" si="8"/>
        <v>-187.83210546148942</v>
      </c>
      <c r="Q61" s="14">
        <f t="shared" si="9"/>
        <v>0</v>
      </c>
      <c r="R61" s="14">
        <f t="shared" si="10"/>
        <v>0</v>
      </c>
      <c r="S61" s="14">
        <f t="shared" si="11"/>
        <v>-187.83210546148942</v>
      </c>
      <c r="T61" s="14">
        <f>IFERROR(VLOOKUP(A61,Prêmio!$A$2:$C$48,3,FALSE),0)</f>
        <v>0</v>
      </c>
      <c r="U61" s="14" t="str">
        <f t="shared" si="12"/>
        <v/>
      </c>
      <c r="V61" s="14" t="str">
        <f t="shared" si="13"/>
        <v/>
      </c>
      <c r="W61" s="14">
        <f t="shared" si="14"/>
        <v>-75670.742517349776</v>
      </c>
      <c r="X61" s="14">
        <f t="shared" si="25"/>
        <v>-144.0646228112746</v>
      </c>
      <c r="Y61" s="47">
        <f t="shared" si="15"/>
        <v>-75670.742517349776</v>
      </c>
      <c r="Z61" s="81">
        <f t="shared" si="26"/>
        <v>-43.767482650218881</v>
      </c>
      <c r="AA61" s="81">
        <f t="shared" si="27"/>
        <v>0</v>
      </c>
      <c r="AB61" s="81">
        <f t="shared" si="28"/>
        <v>0</v>
      </c>
      <c r="AC61" s="81">
        <f t="shared" si="29"/>
        <v>0</v>
      </c>
      <c r="AD61" s="81">
        <f t="shared" si="0"/>
        <v>-43.767482650218881</v>
      </c>
      <c r="AE61" s="81">
        <f t="shared" si="1"/>
        <v>0</v>
      </c>
      <c r="AF61" s="81">
        <f t="shared" si="2"/>
        <v>0</v>
      </c>
      <c r="AG61" s="123">
        <f t="shared" si="3"/>
        <v>-144.06462281127054</v>
      </c>
      <c r="AH61" s="123">
        <f t="shared" si="4"/>
        <v>0</v>
      </c>
      <c r="AI61" s="123">
        <f t="shared" si="5"/>
        <v>0</v>
      </c>
      <c r="AO61" s="27">
        <f t="shared" si="6"/>
        <v>43.767482650218881</v>
      </c>
      <c r="AQ61" s="13"/>
      <c r="AR61" s="27"/>
    </row>
    <row r="62" spans="1:44">
      <c r="A62" s="48" t="s">
        <v>93</v>
      </c>
      <c r="B62" s="45">
        <v>46</v>
      </c>
      <c r="C62" s="43">
        <v>195101.34</v>
      </c>
      <c r="D62" s="14">
        <f>IFERROR(VLOOKUP(A62,Exposição!$A$2:$M$48,13,FALSE),0)</f>
        <v>0</v>
      </c>
      <c r="E62" s="14">
        <f>IFERROR(VLOOKUP(A62,CCEAR_D!$A$2:$J$48,10,FALSE),0)</f>
        <v>0</v>
      </c>
      <c r="F62" s="14">
        <f>IFERROR(VLOOKUP(A62,'RH Cotas'!$A$2:$C$48,2,FALSE),0)+IFERROR(VLOOKUP(A62,'Efeito RH do ACR'!$A$2:$D$48,3,FALSE),0)</f>
        <v>0</v>
      </c>
      <c r="G62" s="14">
        <f>IFERROR(VLOOKUP(A62,'RH Itaipu'!$A$2:$B$48,2,FALSE),0)</f>
        <v>0</v>
      </c>
      <c r="H62" s="14">
        <f>IFERROR(VLOOKUP(A62,ESS_SE!$A$3:$B$51,2,FALSE),0)</f>
        <v>0</v>
      </c>
      <c r="I62" s="14">
        <f>IFERROR(VLOOKUP(A62,'ESS ME'!$A$3:$C$49,3,FALSE),0)</f>
        <v>0</v>
      </c>
      <c r="J62" s="14">
        <f>IFERROR(VLOOKUP(A62,CONER!$A$2:$B$48,2,FALSE),0)</f>
        <v>0</v>
      </c>
      <c r="K62" s="14">
        <f t="shared" si="7"/>
        <v>0</v>
      </c>
      <c r="L62" s="14">
        <f>IFERROR(VLOOKUP($A62,'CustoLiqNaoCobertoMesN-1'!$A$3:$F$101,L$2,FALSE),0)</f>
        <v>8633341.3509229012</v>
      </c>
      <c r="M62" s="14">
        <f>IFERROR(VLOOKUP($A62,'CustoLiqNaoCobertoMesN-1'!$A$3:$F$101,M$2,FALSE),0)</f>
        <v>0</v>
      </c>
      <c r="N62" s="14">
        <f>IFERROR(VLOOKUP($A62,'CustoLiqNaoCobertoMesN-1'!$A$3:$F$101,N$2,FALSE),0)</f>
        <v>0</v>
      </c>
      <c r="O62" s="14">
        <f>IFERROR(VLOOKUP($A62,'CustoLiqNaoCobertoMesN-1'!$A$3:$F$101,O$2,FALSE),0)</f>
        <v>8633341.3509229012</v>
      </c>
      <c r="P62" s="14">
        <f t="shared" si="8"/>
        <v>8633341.3509229012</v>
      </c>
      <c r="Q62" s="14">
        <f t="shared" si="9"/>
        <v>0</v>
      </c>
      <c r="R62" s="14">
        <f t="shared" si="10"/>
        <v>0</v>
      </c>
      <c r="S62" s="14">
        <f t="shared" si="11"/>
        <v>8633341.3509229012</v>
      </c>
      <c r="T62" s="14">
        <f>IFERROR(VLOOKUP(A62,Prêmio!$A$2:$C$48,3,FALSE),0)</f>
        <v>0</v>
      </c>
      <c r="U62" s="14" t="str">
        <f t="shared" si="12"/>
        <v/>
      </c>
      <c r="V62" s="14" t="str">
        <f t="shared" si="13"/>
        <v/>
      </c>
      <c r="W62" s="14">
        <f t="shared" si="14"/>
        <v>-195101.34</v>
      </c>
      <c r="X62" s="14">
        <f t="shared" si="25"/>
        <v>8633341.3509229012</v>
      </c>
      <c r="Y62" s="47">
        <f t="shared" si="15"/>
        <v>-195101.34</v>
      </c>
      <c r="Z62" s="81">
        <f t="shared" si="26"/>
        <v>0</v>
      </c>
      <c r="AA62" s="81">
        <f t="shared" si="27"/>
        <v>0</v>
      </c>
      <c r="AB62" s="81">
        <f t="shared" si="28"/>
        <v>0</v>
      </c>
      <c r="AC62" s="81">
        <f t="shared" si="29"/>
        <v>0</v>
      </c>
      <c r="AD62" s="81">
        <f t="shared" si="0"/>
        <v>0</v>
      </c>
      <c r="AE62" s="81">
        <f t="shared" si="1"/>
        <v>0</v>
      </c>
      <c r="AF62" s="81">
        <f t="shared" si="2"/>
        <v>0</v>
      </c>
      <c r="AG62" s="123">
        <f t="shared" si="3"/>
        <v>8633341.3509229012</v>
      </c>
      <c r="AH62" s="123">
        <f t="shared" si="4"/>
        <v>0</v>
      </c>
      <c r="AI62" s="123">
        <f t="shared" si="5"/>
        <v>0</v>
      </c>
      <c r="AO62" s="27">
        <f t="shared" si="6"/>
        <v>0</v>
      </c>
      <c r="AQ62" s="13"/>
      <c r="AR62" s="27"/>
    </row>
    <row r="63" spans="1:44">
      <c r="A63" s="48" t="s">
        <v>94</v>
      </c>
      <c r="B63" s="45">
        <v>400</v>
      </c>
      <c r="C63" s="43">
        <v>48976.86</v>
      </c>
      <c r="D63" s="14">
        <f>IFERROR(VLOOKUP(A63,Exposição!$A$2:$M$48,13,FALSE),0)</f>
        <v>0</v>
      </c>
      <c r="E63" s="14">
        <f>IFERROR(VLOOKUP(A63,CCEAR_D!$A$2:$J$48,10,FALSE),0)</f>
        <v>0</v>
      </c>
      <c r="F63" s="14">
        <f>IFERROR(VLOOKUP(A63,'RH Cotas'!$A$2:$C$48,2,FALSE),0)+IFERROR(VLOOKUP(A63,'Efeito RH do ACR'!$A$2:$D$48,3,FALSE),0)</f>
        <v>0</v>
      </c>
      <c r="G63" s="14">
        <f>IFERROR(VLOOKUP(A63,'RH Itaipu'!$A$2:$B$48,2,FALSE),0)</f>
        <v>0</v>
      </c>
      <c r="H63" s="14">
        <f>IFERROR(VLOOKUP(A63,ESS_SE!$A$3:$B$51,2,FALSE),0)</f>
        <v>0</v>
      </c>
      <c r="I63" s="14">
        <f>IFERROR(VLOOKUP(A63,'ESS ME'!$A$3:$C$49,3,FALSE),0)</f>
        <v>0</v>
      </c>
      <c r="J63" s="14">
        <f>IFERROR(VLOOKUP(A63,CONER!$A$2:$B$48,2,FALSE),0)</f>
        <v>0</v>
      </c>
      <c r="K63" s="14">
        <f t="shared" si="7"/>
        <v>0</v>
      </c>
      <c r="L63" s="14">
        <f>IFERROR(VLOOKUP($A63,'CustoLiqNaoCobertoMesN-1'!$A$3:$F$101,L$2,FALSE),0)</f>
        <v>152120.85531097199</v>
      </c>
      <c r="M63" s="14">
        <f>IFERROR(VLOOKUP($A63,'CustoLiqNaoCobertoMesN-1'!$A$3:$F$101,M$2,FALSE),0)</f>
        <v>0</v>
      </c>
      <c r="N63" s="14">
        <f>IFERROR(VLOOKUP($A63,'CustoLiqNaoCobertoMesN-1'!$A$3:$F$101,N$2,FALSE),0)</f>
        <v>0</v>
      </c>
      <c r="O63" s="14">
        <f>IFERROR(VLOOKUP($A63,'CustoLiqNaoCobertoMesN-1'!$A$3:$F$101,O$2,FALSE),0)</f>
        <v>152120.85531097199</v>
      </c>
      <c r="P63" s="14">
        <f t="shared" si="8"/>
        <v>152120.85531097199</v>
      </c>
      <c r="Q63" s="14">
        <f t="shared" si="9"/>
        <v>0</v>
      </c>
      <c r="R63" s="14">
        <f t="shared" si="10"/>
        <v>0</v>
      </c>
      <c r="S63" s="14">
        <f t="shared" si="11"/>
        <v>152120.85531097199</v>
      </c>
      <c r="T63" s="14">
        <f>IFERROR(VLOOKUP(A63,Prêmio!$A$2:$C$48,3,FALSE),0)</f>
        <v>0</v>
      </c>
      <c r="U63" s="14" t="str">
        <f t="shared" si="12"/>
        <v/>
      </c>
      <c r="V63" s="14" t="str">
        <f t="shared" si="13"/>
        <v/>
      </c>
      <c r="W63" s="14">
        <f t="shared" si="14"/>
        <v>-48976.86</v>
      </c>
      <c r="X63" s="14">
        <f t="shared" si="25"/>
        <v>152120.85531097199</v>
      </c>
      <c r="Y63" s="47">
        <f t="shared" si="15"/>
        <v>-48976.86</v>
      </c>
      <c r="Z63" s="81">
        <f t="shared" si="26"/>
        <v>0</v>
      </c>
      <c r="AA63" s="81">
        <f t="shared" si="27"/>
        <v>0</v>
      </c>
      <c r="AB63" s="81">
        <f t="shared" si="28"/>
        <v>0</v>
      </c>
      <c r="AC63" s="81">
        <f t="shared" si="29"/>
        <v>0</v>
      </c>
      <c r="AD63" s="81">
        <f t="shared" si="0"/>
        <v>0</v>
      </c>
      <c r="AE63" s="81">
        <f t="shared" si="1"/>
        <v>0</v>
      </c>
      <c r="AF63" s="81">
        <f t="shared" si="2"/>
        <v>0</v>
      </c>
      <c r="AG63" s="123">
        <f t="shared" si="3"/>
        <v>152120.85531097199</v>
      </c>
      <c r="AH63" s="123">
        <f t="shared" si="4"/>
        <v>0</v>
      </c>
      <c r="AI63" s="123">
        <f t="shared" si="5"/>
        <v>0</v>
      </c>
      <c r="AO63" s="27">
        <f t="shared" si="6"/>
        <v>0</v>
      </c>
      <c r="AQ63" s="13"/>
      <c r="AR63" s="27"/>
    </row>
    <row r="64" spans="1:44">
      <c r="A64" s="48" t="s">
        <v>122</v>
      </c>
      <c r="B64" s="45">
        <v>84</v>
      </c>
      <c r="C64" s="43">
        <v>261060.05000000115</v>
      </c>
      <c r="D64" s="14">
        <f>IFERROR(VLOOKUP(A64,Exposição!$A$2:$M$48,13,FALSE),0)</f>
        <v>0</v>
      </c>
      <c r="E64" s="14">
        <f>IFERROR(VLOOKUP(A64,CCEAR_D!$A$2:$J$48,10,FALSE),0)</f>
        <v>0</v>
      </c>
      <c r="F64" s="14">
        <f>IFERROR(VLOOKUP(A64,'RH Cotas'!$A$2:$C$48,2,FALSE),0)+IFERROR(VLOOKUP(A64,'Efeito RH do ACR'!$A$2:$D$48,3,FALSE),0)</f>
        <v>0</v>
      </c>
      <c r="G64" s="14">
        <f>IFERROR(VLOOKUP(A64,'RH Itaipu'!$A$2:$B$48,2,FALSE),0)</f>
        <v>0</v>
      </c>
      <c r="H64" s="14">
        <f>IFERROR(VLOOKUP(A64,ESS_SE!$A$3:$B$51,2,FALSE),0)</f>
        <v>0</v>
      </c>
      <c r="I64" s="14">
        <f>IFERROR(VLOOKUP(A64,'ESS ME'!$A$3:$C$49,3,FALSE),0)</f>
        <v>0</v>
      </c>
      <c r="J64" s="14">
        <f>IFERROR(VLOOKUP(A64,CONER!$A$2:$B$48,2,FALSE),0)</f>
        <v>0</v>
      </c>
      <c r="K64" s="14">
        <f t="shared" si="7"/>
        <v>0</v>
      </c>
      <c r="L64" s="14">
        <f>IFERROR(VLOOKUP($A64,'CustoLiqNaoCobertoMesN-1'!$A$3:$F$101,L$2,FALSE),0)</f>
        <v>116107.71723740168</v>
      </c>
      <c r="M64" s="14">
        <f>IFERROR(VLOOKUP($A64,'CustoLiqNaoCobertoMesN-1'!$A$3:$F$101,M$2,FALSE),0)</f>
        <v>0</v>
      </c>
      <c r="N64" s="14">
        <f>IFERROR(VLOOKUP($A64,'CustoLiqNaoCobertoMesN-1'!$A$3:$F$101,N$2,FALSE),0)</f>
        <v>0</v>
      </c>
      <c r="O64" s="14">
        <f>IFERROR(VLOOKUP($A64,'CustoLiqNaoCobertoMesN-1'!$A$3:$F$101,O$2,FALSE),0)</f>
        <v>116107.71723740168</v>
      </c>
      <c r="P64" s="14">
        <f t="shared" si="8"/>
        <v>116107.71723740168</v>
      </c>
      <c r="Q64" s="14">
        <f t="shared" si="9"/>
        <v>0</v>
      </c>
      <c r="R64" s="14">
        <f t="shared" si="10"/>
        <v>0</v>
      </c>
      <c r="S64" s="14">
        <f t="shared" si="11"/>
        <v>116107.71723740168</v>
      </c>
      <c r="T64" s="14">
        <f>IFERROR(VLOOKUP(A64,Prêmio!$A$2:$C$48,3,FALSE),0)</f>
        <v>0</v>
      </c>
      <c r="U64" s="14" t="str">
        <f t="shared" si="12"/>
        <v/>
      </c>
      <c r="V64" s="14" t="str">
        <f t="shared" si="13"/>
        <v/>
      </c>
      <c r="W64" s="14">
        <f t="shared" si="14"/>
        <v>-261060.05000000115</v>
      </c>
      <c r="X64" s="14">
        <f t="shared" si="25"/>
        <v>116107.7172374017</v>
      </c>
      <c r="Y64" s="47">
        <f t="shared" si="15"/>
        <v>-261060.05000000115</v>
      </c>
      <c r="Z64" s="81">
        <f t="shared" si="26"/>
        <v>0</v>
      </c>
      <c r="AA64" s="81">
        <f t="shared" si="27"/>
        <v>0</v>
      </c>
      <c r="AB64" s="81">
        <f t="shared" si="28"/>
        <v>0</v>
      </c>
      <c r="AC64" s="81">
        <f t="shared" si="29"/>
        <v>0</v>
      </c>
      <c r="AD64" s="81">
        <f t="shared" si="0"/>
        <v>0</v>
      </c>
      <c r="AE64" s="81">
        <f t="shared" si="1"/>
        <v>0</v>
      </c>
      <c r="AF64" s="81">
        <f t="shared" si="2"/>
        <v>0</v>
      </c>
      <c r="AG64" s="123">
        <f t="shared" si="3"/>
        <v>116107.71723740168</v>
      </c>
      <c r="AH64" s="123">
        <f t="shared" si="4"/>
        <v>0</v>
      </c>
      <c r="AI64" s="123">
        <f t="shared" si="5"/>
        <v>0</v>
      </c>
      <c r="AO64" s="27">
        <f t="shared" si="6"/>
        <v>0</v>
      </c>
      <c r="AQ64" s="13"/>
      <c r="AR64" s="27"/>
    </row>
    <row r="65" spans="1:44">
      <c r="A65" s="103" t="s">
        <v>174</v>
      </c>
      <c r="B65" s="104">
        <v>5381</v>
      </c>
      <c r="C65" s="43">
        <v>23015.27</v>
      </c>
      <c r="D65" s="14">
        <f>IFERROR(VLOOKUP(A65,Exposição!$A$2:$M$48,13,FALSE),0)</f>
        <v>0</v>
      </c>
      <c r="E65" s="14">
        <f>IFERROR(VLOOKUP(A65,CCEAR_D!$A$2:$J$48,10,FALSE),0)</f>
        <v>0</v>
      </c>
      <c r="F65" s="14">
        <f>IFERROR(VLOOKUP(A65,'RH Cotas'!$A$2:$C$48,2,FALSE),0)+IFERROR(VLOOKUP(A65,'Efeito RH do ACR'!$A$2:$D$48,3,FALSE),0)</f>
        <v>0</v>
      </c>
      <c r="G65" s="14">
        <f>IFERROR(VLOOKUP(A65,'RH Itaipu'!$A$2:$B$48,2,FALSE),0)</f>
        <v>0</v>
      </c>
      <c r="H65" s="14">
        <f>IFERROR(VLOOKUP(A65,ESS_SE!$A$3:$B$51,2,FALSE),0)</f>
        <v>0</v>
      </c>
      <c r="I65" s="14">
        <f>IFERROR(VLOOKUP(A65,'ESS ME'!$A$3:$C$49,3,FALSE),0)</f>
        <v>0</v>
      </c>
      <c r="J65" s="14">
        <f>IFERROR(VLOOKUP(A65,CONER!$A$2:$B$48,2,FALSE),0)</f>
        <v>0</v>
      </c>
      <c r="K65" s="14">
        <f t="shared" ref="K65:K102" si="30">SUM(D65:I65)+J65</f>
        <v>0</v>
      </c>
      <c r="L65" s="14">
        <f>IFERROR(VLOOKUP($A65,'CustoLiqNaoCobertoMesN-1'!$A$3:$F$101,L$2,FALSE),0)</f>
        <v>-267.9957379644527</v>
      </c>
      <c r="M65" s="14">
        <f>IFERROR(VLOOKUP($A65,'CustoLiqNaoCobertoMesN-1'!$A$3:$F$101,M$2,FALSE),0)</f>
        <v>0</v>
      </c>
      <c r="N65" s="14">
        <f>IFERROR(VLOOKUP($A65,'CustoLiqNaoCobertoMesN-1'!$A$3:$F$101,N$2,FALSE),0)</f>
        <v>0</v>
      </c>
      <c r="O65" s="14">
        <f>IFERROR(VLOOKUP($A65,'CustoLiqNaoCobertoMesN-1'!$A$3:$F$101,O$2,FALSE),0)</f>
        <v>-267.9957379644527</v>
      </c>
      <c r="P65" s="14">
        <f t="shared" ref="P65:P102" si="31">L65+SUM(E65:G65)</f>
        <v>-267.9957379644527</v>
      </c>
      <c r="Q65" s="14">
        <f t="shared" ref="Q65:Q102" si="32">M65+SUM(H65:J65)</f>
        <v>0</v>
      </c>
      <c r="R65" s="14">
        <f t="shared" ref="R65:R102" si="33">N65+D65</f>
        <v>0</v>
      </c>
      <c r="S65" s="14">
        <f t="shared" ref="S65:S101" si="34">K65+O65</f>
        <v>-267.9957379644527</v>
      </c>
      <c r="T65" s="14">
        <f>IFERROR(VLOOKUP(A65,Prêmio!$A$2:$C$48,3,FALSE),0)</f>
        <v>0</v>
      </c>
      <c r="U65" s="14" t="str">
        <f t="shared" si="12"/>
        <v/>
      </c>
      <c r="V65" s="14" t="str">
        <f t="shared" si="13"/>
        <v/>
      </c>
      <c r="W65" s="14">
        <f t="shared" si="14"/>
        <v>-22952.823280452914</v>
      </c>
      <c r="X65" s="14">
        <f t="shared" si="25"/>
        <v>-205.54901841736501</v>
      </c>
      <c r="Y65" s="47">
        <f t="shared" si="15"/>
        <v>-22952.823280452914</v>
      </c>
      <c r="Z65" s="81">
        <f t="shared" si="26"/>
        <v>-62.446719547086104</v>
      </c>
      <c r="AA65" s="81">
        <f t="shared" si="27"/>
        <v>0</v>
      </c>
      <c r="AB65" s="81">
        <f t="shared" si="28"/>
        <v>0</v>
      </c>
      <c r="AC65" s="81">
        <f t="shared" si="29"/>
        <v>0</v>
      </c>
      <c r="AD65" s="81">
        <f t="shared" si="0"/>
        <v>-62.446719547086104</v>
      </c>
      <c r="AE65" s="81">
        <f t="shared" si="1"/>
        <v>0</v>
      </c>
      <c r="AF65" s="81">
        <f t="shared" si="2"/>
        <v>0</v>
      </c>
      <c r="AG65" s="122">
        <f t="shared" si="3"/>
        <v>-205.5490184173666</v>
      </c>
      <c r="AH65" s="122">
        <f t="shared" si="4"/>
        <v>0</v>
      </c>
      <c r="AI65" s="122">
        <f t="shared" si="5"/>
        <v>0</v>
      </c>
      <c r="AO65" s="27">
        <f t="shared" si="6"/>
        <v>62.446719547086104</v>
      </c>
      <c r="AQ65" s="13"/>
      <c r="AR65" s="27"/>
    </row>
    <row r="66" spans="1:44">
      <c r="A66" s="103" t="s">
        <v>175</v>
      </c>
      <c r="B66" s="104">
        <v>5366</v>
      </c>
      <c r="C66" s="43">
        <v>11879.01</v>
      </c>
      <c r="D66" s="14">
        <f>IFERROR(VLOOKUP(A66,Exposição!$A$2:$M$48,13,FALSE),0)</f>
        <v>0</v>
      </c>
      <c r="E66" s="14">
        <f>IFERROR(VLOOKUP(A66,CCEAR_D!$A$2:$J$48,10,FALSE),0)</f>
        <v>0</v>
      </c>
      <c r="F66" s="14">
        <f>IFERROR(VLOOKUP(A66,'RH Cotas'!$A$2:$C$48,2,FALSE),0)+IFERROR(VLOOKUP(A66,'Efeito RH do ACR'!$A$2:$D$48,3,FALSE),0)</f>
        <v>0</v>
      </c>
      <c r="G66" s="14">
        <f>IFERROR(VLOOKUP(A66,'RH Itaipu'!$A$2:$B$48,2,FALSE),0)</f>
        <v>0</v>
      </c>
      <c r="H66" s="14">
        <f>IFERROR(VLOOKUP(A66,ESS_SE!$A$3:$B$51,2,FALSE),0)</f>
        <v>0</v>
      </c>
      <c r="I66" s="14">
        <f>IFERROR(VLOOKUP(A66,'ESS ME'!$A$3:$C$49,3,FALSE),0)</f>
        <v>0</v>
      </c>
      <c r="J66" s="14">
        <f>IFERROR(VLOOKUP(A66,CONER!$A$2:$B$48,2,FALSE),0)</f>
        <v>0</v>
      </c>
      <c r="K66" s="14">
        <f t="shared" si="30"/>
        <v>0</v>
      </c>
      <c r="L66" s="14">
        <f>IFERROR(VLOOKUP($A66,'CustoLiqNaoCobertoMesN-1'!$A$3:$F$101,L$2,FALSE),0)</f>
        <v>-52.999362576247862</v>
      </c>
      <c r="M66" s="14">
        <f>IFERROR(VLOOKUP($A66,'CustoLiqNaoCobertoMesN-1'!$A$3:$F$101,M$2,FALSE),0)</f>
        <v>0</v>
      </c>
      <c r="N66" s="14">
        <f>IFERROR(VLOOKUP($A66,'CustoLiqNaoCobertoMesN-1'!$A$3:$F$101,N$2,FALSE),0)</f>
        <v>0</v>
      </c>
      <c r="O66" s="14">
        <f>IFERROR(VLOOKUP($A66,'CustoLiqNaoCobertoMesN-1'!$A$3:$F$101,O$2,FALSE),0)</f>
        <v>-52.999362576247862</v>
      </c>
      <c r="P66" s="14">
        <f t="shared" si="31"/>
        <v>-52.999362576247862</v>
      </c>
      <c r="Q66" s="14">
        <f t="shared" si="32"/>
        <v>0</v>
      </c>
      <c r="R66" s="14">
        <f t="shared" si="33"/>
        <v>0</v>
      </c>
      <c r="S66" s="14">
        <f t="shared" si="34"/>
        <v>-52.999362576247862</v>
      </c>
      <c r="T66" s="14">
        <f>IFERROR(VLOOKUP(A66,Prêmio!$A$2:$C$48,3,FALSE),0)</f>
        <v>0</v>
      </c>
      <c r="U66" s="14" t="str">
        <f t="shared" si="12"/>
        <v/>
      </c>
      <c r="V66" s="14" t="str">
        <f t="shared" si="13"/>
        <v/>
      </c>
      <c r="W66" s="14">
        <f t="shared" si="14"/>
        <v>-11866.66041430841</v>
      </c>
      <c r="X66" s="14">
        <f t="shared" si="25"/>
        <v>-40.649776884656603</v>
      </c>
      <c r="Y66" s="47">
        <f t="shared" si="15"/>
        <v>-11866.66041430841</v>
      </c>
      <c r="Z66" s="81">
        <f t="shared" si="26"/>
        <v>-12.349585691590619</v>
      </c>
      <c r="AA66" s="81">
        <f t="shared" si="27"/>
        <v>0</v>
      </c>
      <c r="AB66" s="81">
        <f t="shared" si="28"/>
        <v>0</v>
      </c>
      <c r="AC66" s="81">
        <f t="shared" si="29"/>
        <v>0</v>
      </c>
      <c r="AD66" s="81">
        <f t="shared" si="0"/>
        <v>-12.349585691590619</v>
      </c>
      <c r="AE66" s="81">
        <f t="shared" si="1"/>
        <v>0</v>
      </c>
      <c r="AF66" s="81">
        <f t="shared" si="2"/>
        <v>0</v>
      </c>
      <c r="AG66" s="122">
        <f t="shared" si="3"/>
        <v>-40.649776884657243</v>
      </c>
      <c r="AH66" s="122">
        <f t="shared" si="4"/>
        <v>0</v>
      </c>
      <c r="AI66" s="122">
        <f t="shared" si="5"/>
        <v>0</v>
      </c>
      <c r="AO66" s="27">
        <f t="shared" si="6"/>
        <v>12.349585691590619</v>
      </c>
      <c r="AQ66" s="13"/>
      <c r="AR66" s="27"/>
    </row>
    <row r="67" spans="1:44">
      <c r="A67" s="103" t="s">
        <v>176</v>
      </c>
      <c r="B67" s="104">
        <v>5386</v>
      </c>
      <c r="C67" s="43">
        <v>8559.91</v>
      </c>
      <c r="D67" s="14">
        <f>IFERROR(VLOOKUP(A67,Exposição!$A$2:$M$48,13,FALSE),0)</f>
        <v>0</v>
      </c>
      <c r="E67" s="14">
        <f>IFERROR(VLOOKUP(A67,CCEAR_D!$A$2:$J$48,10,FALSE),0)</f>
        <v>0</v>
      </c>
      <c r="F67" s="14">
        <f>IFERROR(VLOOKUP(A67,'RH Cotas'!$A$2:$C$48,2,FALSE),0)+IFERROR(VLOOKUP(A67,'Efeito RH do ACR'!$A$2:$D$48,3,FALSE),0)</f>
        <v>0</v>
      </c>
      <c r="G67" s="14">
        <f>IFERROR(VLOOKUP(A67,'RH Itaipu'!$A$2:$B$48,2,FALSE),0)</f>
        <v>0</v>
      </c>
      <c r="H67" s="14">
        <f>IFERROR(VLOOKUP(A67,ESS_SE!$A$3:$B$51,2,FALSE),0)</f>
        <v>0</v>
      </c>
      <c r="I67" s="14">
        <f>IFERROR(VLOOKUP(A67,'ESS ME'!$A$3:$C$49,3,FALSE),0)</f>
        <v>0</v>
      </c>
      <c r="J67" s="14">
        <f>IFERROR(VLOOKUP(A67,CONER!$A$2:$B$48,2,FALSE),0)</f>
        <v>0</v>
      </c>
      <c r="K67" s="14">
        <f t="shared" si="30"/>
        <v>0</v>
      </c>
      <c r="L67" s="14">
        <f>IFERROR(VLOOKUP($A67,'CustoLiqNaoCobertoMesN-1'!$A$3:$F$101,L$2,FALSE),0)</f>
        <v>-359.77255418320914</v>
      </c>
      <c r="M67" s="14">
        <f>IFERROR(VLOOKUP($A67,'CustoLiqNaoCobertoMesN-1'!$A$3:$F$101,M$2,FALSE),0)</f>
        <v>0</v>
      </c>
      <c r="N67" s="14">
        <f>IFERROR(VLOOKUP($A67,'CustoLiqNaoCobertoMesN-1'!$A$3:$F$101,N$2,FALSE),0)</f>
        <v>0</v>
      </c>
      <c r="O67" s="14">
        <f>IFERROR(VLOOKUP($A67,'CustoLiqNaoCobertoMesN-1'!$A$3:$F$101,O$2,FALSE),0)</f>
        <v>-359.77255418320914</v>
      </c>
      <c r="P67" s="14">
        <f t="shared" si="31"/>
        <v>-359.77255418320914</v>
      </c>
      <c r="Q67" s="14">
        <f t="shared" si="32"/>
        <v>0</v>
      </c>
      <c r="R67" s="14">
        <f t="shared" si="33"/>
        <v>0</v>
      </c>
      <c r="S67" s="14">
        <f t="shared" si="34"/>
        <v>-359.77255418320914</v>
      </c>
      <c r="T67" s="14">
        <f>IFERROR(VLOOKUP(A67,Prêmio!$A$2:$C$48,3,FALSE),0)</f>
        <v>0</v>
      </c>
      <c r="U67" s="14" t="str">
        <f t="shared" si="12"/>
        <v/>
      </c>
      <c r="V67" s="14" t="str">
        <f t="shared" si="13"/>
        <v/>
      </c>
      <c r="W67" s="14">
        <f t="shared" si="14"/>
        <v>-8476.0780108703912</v>
      </c>
      <c r="X67" s="14">
        <f t="shared" si="25"/>
        <v>-275.94056505360095</v>
      </c>
      <c r="Y67" s="47">
        <f t="shared" si="15"/>
        <v>-8476.0780108703912</v>
      </c>
      <c r="Z67" s="81">
        <f t="shared" si="26"/>
        <v>-83.831989129608701</v>
      </c>
      <c r="AA67" s="81">
        <f t="shared" si="27"/>
        <v>0</v>
      </c>
      <c r="AB67" s="81">
        <f t="shared" si="28"/>
        <v>0</v>
      </c>
      <c r="AC67" s="81">
        <f t="shared" si="29"/>
        <v>0</v>
      </c>
      <c r="AD67" s="81">
        <f t="shared" si="0"/>
        <v>-83.831989129608701</v>
      </c>
      <c r="AE67" s="81">
        <f t="shared" si="1"/>
        <v>0</v>
      </c>
      <c r="AF67" s="81">
        <f t="shared" si="2"/>
        <v>0</v>
      </c>
      <c r="AG67" s="122">
        <f t="shared" si="3"/>
        <v>-275.94056505360044</v>
      </c>
      <c r="AH67" s="122">
        <f t="shared" si="4"/>
        <v>0</v>
      </c>
      <c r="AI67" s="122">
        <f t="shared" si="5"/>
        <v>0</v>
      </c>
      <c r="AO67" s="27">
        <f t="shared" si="6"/>
        <v>83.831989129608701</v>
      </c>
      <c r="AQ67" s="13"/>
      <c r="AR67" s="27"/>
    </row>
    <row r="68" spans="1:44">
      <c r="A68" s="103" t="s">
        <v>177</v>
      </c>
      <c r="B68" s="104">
        <v>5378</v>
      </c>
      <c r="C68" s="43">
        <v>153194.24000000002</v>
      </c>
      <c r="D68" s="14">
        <f>IFERROR(VLOOKUP(A68,Exposição!$A$2:$M$48,13,FALSE),0)</f>
        <v>0</v>
      </c>
      <c r="E68" s="14">
        <f>IFERROR(VLOOKUP(A68,CCEAR_D!$A$2:$J$48,10,FALSE),0)</f>
        <v>0</v>
      </c>
      <c r="F68" s="14">
        <f>IFERROR(VLOOKUP(A68,'RH Cotas'!$A$2:$C$48,2,FALSE),0)+IFERROR(VLOOKUP(A68,'Efeito RH do ACR'!$A$2:$D$48,3,FALSE),0)</f>
        <v>0</v>
      </c>
      <c r="G68" s="14">
        <f>IFERROR(VLOOKUP(A68,'RH Itaipu'!$A$2:$B$48,2,FALSE),0)</f>
        <v>0</v>
      </c>
      <c r="H68" s="14">
        <f>IFERROR(VLOOKUP(A68,ESS_SE!$A$3:$B$51,2,FALSE),0)</f>
        <v>0</v>
      </c>
      <c r="I68" s="14">
        <f>IFERROR(VLOOKUP(A68,'ESS ME'!$A$3:$C$49,3,FALSE),0)</f>
        <v>0</v>
      </c>
      <c r="J68" s="14">
        <f>IFERROR(VLOOKUP(A68,CONER!$A$2:$B$48,2,FALSE),0)</f>
        <v>0</v>
      </c>
      <c r="K68" s="14">
        <f t="shared" si="30"/>
        <v>0</v>
      </c>
      <c r="L68" s="14">
        <f>IFERROR(VLOOKUP($A68,'CustoLiqNaoCobertoMesN-1'!$A$3:$F$101,L$2,FALSE),0)</f>
        <v>-8</v>
      </c>
      <c r="M68" s="14">
        <f>IFERROR(VLOOKUP($A68,'CustoLiqNaoCobertoMesN-1'!$A$3:$F$101,M$2,FALSE),0)</f>
        <v>0</v>
      </c>
      <c r="N68" s="14">
        <f>IFERROR(VLOOKUP($A68,'CustoLiqNaoCobertoMesN-1'!$A$3:$F$101,N$2,FALSE),0)</f>
        <v>0</v>
      </c>
      <c r="O68" s="14">
        <f>IFERROR(VLOOKUP($A68,'CustoLiqNaoCobertoMesN-1'!$A$3:$F$101,O$2,FALSE),0)</f>
        <v>-8</v>
      </c>
      <c r="P68" s="14">
        <f t="shared" si="31"/>
        <v>-8</v>
      </c>
      <c r="Q68" s="14">
        <f t="shared" si="32"/>
        <v>0</v>
      </c>
      <c r="R68" s="14">
        <f t="shared" si="33"/>
        <v>0</v>
      </c>
      <c r="S68" s="14">
        <f t="shared" si="34"/>
        <v>-8</v>
      </c>
      <c r="T68" s="14">
        <f>IFERROR(VLOOKUP(A68,Prêmio!$A$2:$C$48,3,FALSE),0)</f>
        <v>0</v>
      </c>
      <c r="U68" s="14" t="str">
        <f t="shared" si="12"/>
        <v/>
      </c>
      <c r="V68" s="14" t="str">
        <f t="shared" si="13"/>
        <v/>
      </c>
      <c r="W68" s="14">
        <f t="shared" si="14"/>
        <v>-153192.37588917435</v>
      </c>
      <c r="X68" s="14">
        <f t="shared" si="25"/>
        <v>-6.1358891743293498</v>
      </c>
      <c r="Y68" s="47">
        <f t="shared" si="15"/>
        <v>-153192.37588917435</v>
      </c>
      <c r="Z68" s="81">
        <f t="shared" si="26"/>
        <v>-1.8641108256706502</v>
      </c>
      <c r="AA68" s="81">
        <f t="shared" si="27"/>
        <v>0</v>
      </c>
      <c r="AB68" s="81">
        <f t="shared" si="28"/>
        <v>0</v>
      </c>
      <c r="AC68" s="81">
        <f t="shared" si="29"/>
        <v>0</v>
      </c>
      <c r="AD68" s="81">
        <f t="shared" si="0"/>
        <v>-1.8641108256706502</v>
      </c>
      <c r="AE68" s="81">
        <f t="shared" si="1"/>
        <v>0</v>
      </c>
      <c r="AF68" s="81">
        <f t="shared" si="2"/>
        <v>0</v>
      </c>
      <c r="AG68" s="122">
        <f t="shared" si="3"/>
        <v>-6.1358891743293498</v>
      </c>
      <c r="AH68" s="122">
        <f t="shared" si="4"/>
        <v>0</v>
      </c>
      <c r="AI68" s="122">
        <f t="shared" si="5"/>
        <v>0</v>
      </c>
      <c r="AO68" s="27">
        <f t="shared" si="6"/>
        <v>1.8641108256706502</v>
      </c>
      <c r="AQ68" s="13"/>
      <c r="AR68" s="27"/>
    </row>
    <row r="69" spans="1:44">
      <c r="A69" s="103" t="s">
        <v>178</v>
      </c>
      <c r="B69" s="104">
        <v>5382</v>
      </c>
      <c r="C69" s="43">
        <v>16757.779999999995</v>
      </c>
      <c r="D69" s="14">
        <f>IFERROR(VLOOKUP(A69,Exposição!$A$2:$M$48,13,FALSE),0)</f>
        <v>0</v>
      </c>
      <c r="E69" s="14">
        <f>IFERROR(VLOOKUP(A69,CCEAR_D!$A$2:$J$48,10,FALSE),0)</f>
        <v>0</v>
      </c>
      <c r="F69" s="14">
        <f>IFERROR(VLOOKUP(A69,'RH Cotas'!$A$2:$C$48,2,FALSE),0)+IFERROR(VLOOKUP(A69,'Efeito RH do ACR'!$A$2:$D$48,3,FALSE),0)</f>
        <v>0</v>
      </c>
      <c r="G69" s="14">
        <f>IFERROR(VLOOKUP(A69,'RH Itaipu'!$A$2:$B$48,2,FALSE),0)</f>
        <v>0</v>
      </c>
      <c r="H69" s="14">
        <f>IFERROR(VLOOKUP(A69,ESS_SE!$A$3:$B$51,2,FALSE),0)</f>
        <v>0</v>
      </c>
      <c r="I69" s="14">
        <f>IFERROR(VLOOKUP(A69,'ESS ME'!$A$3:$C$49,3,FALSE),0)</f>
        <v>0</v>
      </c>
      <c r="J69" s="14">
        <f>IFERROR(VLOOKUP(A69,CONER!$A$2:$B$48,2,FALSE),0)</f>
        <v>0</v>
      </c>
      <c r="K69" s="14">
        <f t="shared" si="30"/>
        <v>0</v>
      </c>
      <c r="L69" s="14">
        <f>IFERROR(VLOOKUP($A69,'CustoLiqNaoCobertoMesN-1'!$A$3:$F$101,L$2,FALSE),0)</f>
        <v>417949.51265146409</v>
      </c>
      <c r="M69" s="14">
        <f>IFERROR(VLOOKUP($A69,'CustoLiqNaoCobertoMesN-1'!$A$3:$F$101,M$2,FALSE),0)</f>
        <v>0</v>
      </c>
      <c r="N69" s="14">
        <f>IFERROR(VLOOKUP($A69,'CustoLiqNaoCobertoMesN-1'!$A$3:$F$101,N$2,FALSE),0)</f>
        <v>0</v>
      </c>
      <c r="O69" s="14">
        <f>IFERROR(VLOOKUP($A69,'CustoLiqNaoCobertoMesN-1'!$A$3:$F$101,O$2,FALSE),0)</f>
        <v>417949.51265146409</v>
      </c>
      <c r="P69" s="14">
        <f t="shared" si="31"/>
        <v>417949.51265146409</v>
      </c>
      <c r="Q69" s="14">
        <f t="shared" si="32"/>
        <v>0</v>
      </c>
      <c r="R69" s="14">
        <f t="shared" si="33"/>
        <v>0</v>
      </c>
      <c r="S69" s="14">
        <f t="shared" si="34"/>
        <v>417949.51265146409</v>
      </c>
      <c r="T69" s="14">
        <f>IFERROR(VLOOKUP(A69,Prêmio!$A$2:$C$48,3,FALSE),0)</f>
        <v>0</v>
      </c>
      <c r="U69" s="14" t="str">
        <f t="shared" ref="U69:U102" si="35">IF($U$2="Déficit","",IF(C69+T69&gt;-S69,0,IF((C69+S69+T69)&gt;0,0,C69+S69+T69)))</f>
        <v/>
      </c>
      <c r="V69" s="14" t="str">
        <f t="shared" ref="V69:V102" si="36">IF($U$2="Déficit","",IF(C69+T69&gt;-S69,IF(S69&lt;0,C69+S69+T69,C69+T69),0))</f>
        <v/>
      </c>
      <c r="W69" s="14">
        <f t="shared" ref="W69:W102" si="37">IF($U$2="Déficit",IF(S69&lt;0,(MIN($C$105,-$S$104)*S69/$S$104),0)-C69,IF(V69&gt;0,-V69*$V$2,-U69))+T69</f>
        <v>-16757.779999999995</v>
      </c>
      <c r="X69" s="14">
        <f t="shared" si="25"/>
        <v>417949.51265146409</v>
      </c>
      <c r="Y69" s="47">
        <f t="shared" ref="Y69:Y102" si="38">W69</f>
        <v>-16757.779999999995</v>
      </c>
      <c r="Z69" s="81">
        <f t="shared" si="26"/>
        <v>0</v>
      </c>
      <c r="AA69" s="81">
        <f t="shared" si="27"/>
        <v>0</v>
      </c>
      <c r="AB69" s="81">
        <f t="shared" si="28"/>
        <v>0</v>
      </c>
      <c r="AC69" s="81">
        <f t="shared" si="29"/>
        <v>0</v>
      </c>
      <c r="AD69" s="81">
        <f t="shared" ref="AD69:AD102" si="39">IF(AC69&gt;0,-AC69+Z69,+Z69)-AK69</f>
        <v>0</v>
      </c>
      <c r="AE69" s="81">
        <f t="shared" ref="AE69:AE102" si="40">AA69</f>
        <v>0</v>
      </c>
      <c r="AF69" s="81">
        <f t="shared" ref="AF69:AF102" si="41">AB69</f>
        <v>0</v>
      </c>
      <c r="AG69" s="122">
        <f t="shared" ref="AG69:AG102" si="42">P69-AD69</f>
        <v>417949.51265146409</v>
      </c>
      <c r="AH69" s="122">
        <f t="shared" ref="AH69:AH102" si="43">Q69-AE69</f>
        <v>0</v>
      </c>
      <c r="AI69" s="122">
        <f t="shared" ref="AI69:AI102" si="44">R69-AF69</f>
        <v>0</v>
      </c>
      <c r="AO69" s="27">
        <f t="shared" ref="AO69:AO102" si="45">C69+W69</f>
        <v>0</v>
      </c>
      <c r="AQ69" s="13"/>
      <c r="AR69" s="27"/>
    </row>
    <row r="70" spans="1:44">
      <c r="A70" s="103" t="s">
        <v>179</v>
      </c>
      <c r="B70" s="104">
        <v>6610</v>
      </c>
      <c r="C70" s="43">
        <v>3616.2000000000003</v>
      </c>
      <c r="D70" s="14">
        <f>IFERROR(VLOOKUP(A70,Exposição!$A$2:$M$48,13,FALSE),0)</f>
        <v>0</v>
      </c>
      <c r="E70" s="14">
        <f>IFERROR(VLOOKUP(A70,CCEAR_D!$A$2:$J$48,10,FALSE),0)</f>
        <v>0</v>
      </c>
      <c r="F70" s="14">
        <f>IFERROR(VLOOKUP(A70,'RH Cotas'!$A$2:$C$48,2,FALSE),0)+IFERROR(VLOOKUP(A70,'Efeito RH do ACR'!$A$2:$D$48,3,FALSE),0)</f>
        <v>0</v>
      </c>
      <c r="G70" s="14">
        <f>IFERROR(VLOOKUP(A70,'RH Itaipu'!$A$2:$B$48,2,FALSE),0)</f>
        <v>0</v>
      </c>
      <c r="H70" s="14">
        <f>IFERROR(VLOOKUP(A70,ESS_SE!$A$3:$B$51,2,FALSE),0)</f>
        <v>0</v>
      </c>
      <c r="I70" s="14">
        <f>IFERROR(VLOOKUP(A70,'ESS ME'!$A$3:$C$49,3,FALSE),0)</f>
        <v>0</v>
      </c>
      <c r="J70" s="14">
        <f>IFERROR(VLOOKUP(A70,CONER!$A$2:$B$48,2,FALSE),0)</f>
        <v>0</v>
      </c>
      <c r="K70" s="14">
        <f t="shared" si="30"/>
        <v>0</v>
      </c>
      <c r="L70" s="14">
        <f>IFERROR(VLOOKUP($A70,'CustoLiqNaoCobertoMesN-1'!$A$3:$F$101,L$2,FALSE),0)</f>
        <v>-61.755816685719793</v>
      </c>
      <c r="M70" s="14">
        <f>IFERROR(VLOOKUP($A70,'CustoLiqNaoCobertoMesN-1'!$A$3:$F$101,M$2,FALSE),0)</f>
        <v>0</v>
      </c>
      <c r="N70" s="14">
        <f>IFERROR(VLOOKUP($A70,'CustoLiqNaoCobertoMesN-1'!$A$3:$F$101,N$2,FALSE),0)</f>
        <v>0</v>
      </c>
      <c r="O70" s="14">
        <f>IFERROR(VLOOKUP($A70,'CustoLiqNaoCobertoMesN-1'!$A$3:$F$101,O$2,FALSE),0)</f>
        <v>-61.755816685719793</v>
      </c>
      <c r="P70" s="14">
        <f t="shared" si="31"/>
        <v>-61.755816685719793</v>
      </c>
      <c r="Q70" s="14">
        <f t="shared" si="32"/>
        <v>0</v>
      </c>
      <c r="R70" s="14">
        <f t="shared" si="33"/>
        <v>0</v>
      </c>
      <c r="S70" s="14">
        <f t="shared" si="34"/>
        <v>-61.755816685719793</v>
      </c>
      <c r="T70" s="14">
        <f>IFERROR(VLOOKUP(A70,Prêmio!$A$2:$C$48,3,FALSE),0)</f>
        <v>0</v>
      </c>
      <c r="U70" s="14" t="str">
        <f t="shared" si="35"/>
        <v/>
      </c>
      <c r="V70" s="14" t="str">
        <f t="shared" si="36"/>
        <v/>
      </c>
      <c r="W70" s="14">
        <f t="shared" si="37"/>
        <v>-3601.8100391959001</v>
      </c>
      <c r="X70" s="14">
        <f t="shared" si="25"/>
        <v>-47.365855881619609</v>
      </c>
      <c r="Y70" s="47">
        <f t="shared" si="38"/>
        <v>-3601.8100391959001</v>
      </c>
      <c r="Z70" s="81">
        <f t="shared" si="26"/>
        <v>-14.389960804100156</v>
      </c>
      <c r="AA70" s="81">
        <f t="shared" si="27"/>
        <v>0</v>
      </c>
      <c r="AB70" s="81">
        <f t="shared" si="28"/>
        <v>0</v>
      </c>
      <c r="AC70" s="81">
        <f t="shared" si="29"/>
        <v>0</v>
      </c>
      <c r="AD70" s="81">
        <f t="shared" si="39"/>
        <v>-14.389960804100156</v>
      </c>
      <c r="AE70" s="81">
        <f t="shared" si="40"/>
        <v>0</v>
      </c>
      <c r="AF70" s="81">
        <f t="shared" si="41"/>
        <v>0</v>
      </c>
      <c r="AG70" s="122">
        <f t="shared" si="42"/>
        <v>-47.365855881619638</v>
      </c>
      <c r="AH70" s="122">
        <f t="shared" si="43"/>
        <v>0</v>
      </c>
      <c r="AI70" s="122">
        <f t="shared" si="44"/>
        <v>0</v>
      </c>
      <c r="AO70" s="27">
        <f t="shared" si="45"/>
        <v>14.389960804100156</v>
      </c>
      <c r="AQ70" s="13"/>
      <c r="AR70" s="27"/>
    </row>
    <row r="71" spans="1:44">
      <c r="A71" s="103" t="s">
        <v>180</v>
      </c>
      <c r="B71" s="104">
        <v>6609</v>
      </c>
      <c r="C71" s="43">
        <v>3294.44</v>
      </c>
      <c r="D71" s="14">
        <f>IFERROR(VLOOKUP(A71,Exposição!$A$2:$M$48,13,FALSE),0)</f>
        <v>0</v>
      </c>
      <c r="E71" s="14">
        <f>IFERROR(VLOOKUP(A71,CCEAR_D!$A$2:$J$48,10,FALSE),0)</f>
        <v>0</v>
      </c>
      <c r="F71" s="14">
        <f>IFERROR(VLOOKUP(A71,'RH Cotas'!$A$2:$C$48,2,FALSE),0)+IFERROR(VLOOKUP(A71,'Efeito RH do ACR'!$A$2:$D$48,3,FALSE),0)</f>
        <v>0</v>
      </c>
      <c r="G71" s="14">
        <f>IFERROR(VLOOKUP(A71,'RH Itaipu'!$A$2:$B$48,2,FALSE),0)</f>
        <v>0</v>
      </c>
      <c r="H71" s="14">
        <f>IFERROR(VLOOKUP(A71,ESS_SE!$A$3:$B$51,2,FALSE),0)</f>
        <v>0</v>
      </c>
      <c r="I71" s="14">
        <f>IFERROR(VLOOKUP(A71,'ESS ME'!$A$3:$C$49,3,FALSE),0)</f>
        <v>0</v>
      </c>
      <c r="J71" s="14">
        <f>IFERROR(VLOOKUP(A71,CONER!$A$2:$B$48,2,FALSE),0)</f>
        <v>0</v>
      </c>
      <c r="K71" s="14">
        <f t="shared" si="30"/>
        <v>0</v>
      </c>
      <c r="L71" s="14">
        <f>IFERROR(VLOOKUP($A71,'CustoLiqNaoCobertoMesN-1'!$A$3:$F$101,L$2,FALSE),0)</f>
        <v>355622.59541846265</v>
      </c>
      <c r="M71" s="14">
        <f>IFERROR(VLOOKUP($A71,'CustoLiqNaoCobertoMesN-1'!$A$3:$F$101,M$2,FALSE),0)</f>
        <v>0</v>
      </c>
      <c r="N71" s="14">
        <f>IFERROR(VLOOKUP($A71,'CustoLiqNaoCobertoMesN-1'!$A$3:$F$101,N$2,FALSE),0)</f>
        <v>0</v>
      </c>
      <c r="O71" s="14">
        <f>IFERROR(VLOOKUP($A71,'CustoLiqNaoCobertoMesN-1'!$A$3:$F$101,O$2,FALSE),0)</f>
        <v>355622.59541846265</v>
      </c>
      <c r="P71" s="14">
        <f t="shared" si="31"/>
        <v>355622.59541846265</v>
      </c>
      <c r="Q71" s="14">
        <f t="shared" si="32"/>
        <v>0</v>
      </c>
      <c r="R71" s="14">
        <f t="shared" si="33"/>
        <v>0</v>
      </c>
      <c r="S71" s="14">
        <f t="shared" si="34"/>
        <v>355622.59541846265</v>
      </c>
      <c r="T71" s="14">
        <f>IFERROR(VLOOKUP(A71,Prêmio!$A$2:$C$48,3,FALSE),0)</f>
        <v>0</v>
      </c>
      <c r="U71" s="14" t="str">
        <f t="shared" si="35"/>
        <v/>
      </c>
      <c r="V71" s="14" t="str">
        <f t="shared" si="36"/>
        <v/>
      </c>
      <c r="W71" s="14">
        <f t="shared" si="37"/>
        <v>-3294.44</v>
      </c>
      <c r="X71" s="14">
        <f t="shared" si="25"/>
        <v>355622.59541846265</v>
      </c>
      <c r="Y71" s="47">
        <f t="shared" si="38"/>
        <v>-3294.44</v>
      </c>
      <c r="Z71" s="81">
        <f t="shared" si="26"/>
        <v>0</v>
      </c>
      <c r="AA71" s="81">
        <f t="shared" si="27"/>
        <v>0</v>
      </c>
      <c r="AB71" s="81">
        <f t="shared" si="28"/>
        <v>0</v>
      </c>
      <c r="AC71" s="81">
        <f t="shared" si="29"/>
        <v>0</v>
      </c>
      <c r="AD71" s="81">
        <f t="shared" si="39"/>
        <v>0</v>
      </c>
      <c r="AE71" s="81">
        <f t="shared" si="40"/>
        <v>0</v>
      </c>
      <c r="AF71" s="81">
        <f t="shared" si="41"/>
        <v>0</v>
      </c>
      <c r="AG71" s="122">
        <f t="shared" si="42"/>
        <v>355622.59541846265</v>
      </c>
      <c r="AH71" s="122">
        <f t="shared" si="43"/>
        <v>0</v>
      </c>
      <c r="AI71" s="122">
        <f t="shared" si="44"/>
        <v>0</v>
      </c>
      <c r="AO71" s="27">
        <f t="shared" si="45"/>
        <v>0</v>
      </c>
      <c r="AQ71" s="13"/>
      <c r="AR71" s="27"/>
    </row>
    <row r="72" spans="1:44">
      <c r="A72" s="103" t="s">
        <v>181</v>
      </c>
      <c r="B72" s="104">
        <v>5384</v>
      </c>
      <c r="C72" s="43">
        <v>0</v>
      </c>
      <c r="D72" s="14">
        <f>IFERROR(VLOOKUP(A72,Exposição!$A$2:$M$48,13,FALSE),0)</f>
        <v>0</v>
      </c>
      <c r="E72" s="14">
        <f>IFERROR(VLOOKUP(A72,CCEAR_D!$A$2:$J$48,10,FALSE),0)</f>
        <v>0</v>
      </c>
      <c r="F72" s="14">
        <f>IFERROR(VLOOKUP(A72,'RH Cotas'!$A$2:$C$48,2,FALSE),0)+IFERROR(VLOOKUP(A72,'Efeito RH do ACR'!$A$2:$D$48,3,FALSE),0)</f>
        <v>0</v>
      </c>
      <c r="G72" s="14">
        <f>IFERROR(VLOOKUP(A72,'RH Itaipu'!$A$2:$B$48,2,FALSE),0)</f>
        <v>0</v>
      </c>
      <c r="H72" s="14">
        <f>IFERROR(VLOOKUP(A72,ESS_SE!$A$3:$B$51,2,FALSE),0)</f>
        <v>0</v>
      </c>
      <c r="I72" s="14">
        <f>IFERROR(VLOOKUP(A72,'ESS ME'!$A$3:$C$49,3,FALSE),0)</f>
        <v>0</v>
      </c>
      <c r="J72" s="14">
        <f>IFERROR(VLOOKUP(A72,CONER!$A$2:$B$48,2,FALSE),0)</f>
        <v>0</v>
      </c>
      <c r="K72" s="14">
        <f t="shared" si="30"/>
        <v>0</v>
      </c>
      <c r="L72" s="14">
        <f>IFERROR(VLOOKUP($A72,'CustoLiqNaoCobertoMesN-1'!$A$3:$F$101,L$2,FALSE),0)</f>
        <v>580799.17612456786</v>
      </c>
      <c r="M72" s="14">
        <f>IFERROR(VLOOKUP($A72,'CustoLiqNaoCobertoMesN-1'!$A$3:$F$101,M$2,FALSE),0)</f>
        <v>0</v>
      </c>
      <c r="N72" s="14">
        <f>IFERROR(VLOOKUP($A72,'CustoLiqNaoCobertoMesN-1'!$A$3:$F$101,N$2,FALSE),0)</f>
        <v>0</v>
      </c>
      <c r="O72" s="14">
        <f>IFERROR(VLOOKUP($A72,'CustoLiqNaoCobertoMesN-1'!$A$3:$F$101,O$2,FALSE),0)</f>
        <v>580799.17612456786</v>
      </c>
      <c r="P72" s="14">
        <f t="shared" si="31"/>
        <v>580799.17612456786</v>
      </c>
      <c r="Q72" s="14">
        <f t="shared" si="32"/>
        <v>0</v>
      </c>
      <c r="R72" s="14">
        <f t="shared" si="33"/>
        <v>0</v>
      </c>
      <c r="S72" s="14">
        <f t="shared" si="34"/>
        <v>580799.17612456786</v>
      </c>
      <c r="T72" s="14">
        <f>IFERROR(VLOOKUP(A72,Prêmio!$A$2:$C$48,3,FALSE),0)</f>
        <v>0</v>
      </c>
      <c r="U72" s="14" t="str">
        <f t="shared" si="35"/>
        <v/>
      </c>
      <c r="V72" s="14" t="str">
        <f t="shared" si="36"/>
        <v/>
      </c>
      <c r="W72" s="14">
        <f t="shared" si="37"/>
        <v>0</v>
      </c>
      <c r="X72" s="14">
        <f t="shared" si="25"/>
        <v>580799.17612456786</v>
      </c>
      <c r="Y72" s="47">
        <f t="shared" si="38"/>
        <v>0</v>
      </c>
      <c r="Z72" s="81">
        <f t="shared" si="26"/>
        <v>0</v>
      </c>
      <c r="AA72" s="81">
        <f t="shared" si="27"/>
        <v>0</v>
      </c>
      <c r="AB72" s="81">
        <f t="shared" si="28"/>
        <v>0</v>
      </c>
      <c r="AC72" s="81">
        <f t="shared" si="29"/>
        <v>0</v>
      </c>
      <c r="AD72" s="81">
        <f t="shared" si="39"/>
        <v>0</v>
      </c>
      <c r="AE72" s="81">
        <f t="shared" si="40"/>
        <v>0</v>
      </c>
      <c r="AF72" s="81">
        <f t="shared" si="41"/>
        <v>0</v>
      </c>
      <c r="AG72" s="122">
        <f t="shared" si="42"/>
        <v>580799.17612456786</v>
      </c>
      <c r="AH72" s="122">
        <f t="shared" si="43"/>
        <v>0</v>
      </c>
      <c r="AI72" s="122">
        <f t="shared" si="44"/>
        <v>0</v>
      </c>
      <c r="AO72" s="27">
        <f t="shared" si="45"/>
        <v>0</v>
      </c>
      <c r="AQ72" s="13"/>
      <c r="AR72" s="27"/>
    </row>
    <row r="73" spans="1:44">
      <c r="A73" s="103" t="s">
        <v>182</v>
      </c>
      <c r="B73" s="104">
        <v>5385</v>
      </c>
      <c r="C73" s="43">
        <v>61748.55</v>
      </c>
      <c r="D73" s="14">
        <f>IFERROR(VLOOKUP(A73,Exposição!$A$2:$M$48,13,FALSE),0)</f>
        <v>0</v>
      </c>
      <c r="E73" s="14">
        <f>IFERROR(VLOOKUP(A73,CCEAR_D!$A$2:$J$48,10,FALSE),0)</f>
        <v>0</v>
      </c>
      <c r="F73" s="14">
        <f>IFERROR(VLOOKUP(A73,'RH Cotas'!$A$2:$C$48,2,FALSE),0)+IFERROR(VLOOKUP(A73,'Efeito RH do ACR'!$A$2:$D$48,3,FALSE),0)</f>
        <v>0</v>
      </c>
      <c r="G73" s="14">
        <f>IFERROR(VLOOKUP(A73,'RH Itaipu'!$A$2:$B$48,2,FALSE),0)</f>
        <v>0</v>
      </c>
      <c r="H73" s="14">
        <f>IFERROR(VLOOKUP(A73,ESS_SE!$A$3:$B$51,2,FALSE),0)</f>
        <v>0</v>
      </c>
      <c r="I73" s="14">
        <f>IFERROR(VLOOKUP(A73,'ESS ME'!$A$3:$C$49,3,FALSE),0)</f>
        <v>0</v>
      </c>
      <c r="J73" s="14">
        <f>IFERROR(VLOOKUP(A73,CONER!$A$2:$B$48,2,FALSE),0)</f>
        <v>0</v>
      </c>
      <c r="K73" s="14">
        <f t="shared" si="30"/>
        <v>0</v>
      </c>
      <c r="L73" s="14">
        <f>IFERROR(VLOOKUP($A73,'CustoLiqNaoCobertoMesN-1'!$A$3:$F$101,L$2,FALSE),0)</f>
        <v>-0.37999999988824129</v>
      </c>
      <c r="M73" s="14">
        <f>IFERROR(VLOOKUP($A73,'CustoLiqNaoCobertoMesN-1'!$A$3:$F$101,M$2,FALSE),0)</f>
        <v>0</v>
      </c>
      <c r="N73" s="14">
        <f>IFERROR(VLOOKUP($A73,'CustoLiqNaoCobertoMesN-1'!$A$3:$F$101,N$2,FALSE),0)</f>
        <v>0</v>
      </c>
      <c r="O73" s="14">
        <f>IFERROR(VLOOKUP($A73,'CustoLiqNaoCobertoMesN-1'!$A$3:$F$101,O$2,FALSE),0)</f>
        <v>-0.37999999988824129</v>
      </c>
      <c r="P73" s="14">
        <f t="shared" si="31"/>
        <v>-0.37999999988824129</v>
      </c>
      <c r="Q73" s="14">
        <f t="shared" si="32"/>
        <v>0</v>
      </c>
      <c r="R73" s="14">
        <f t="shared" si="33"/>
        <v>0</v>
      </c>
      <c r="S73" s="14">
        <f t="shared" si="34"/>
        <v>-0.37999999988824129</v>
      </c>
      <c r="T73" s="14">
        <f>IFERROR(VLOOKUP(A73,Prêmio!$A$2:$C$48,3,FALSE),0)</f>
        <v>0</v>
      </c>
      <c r="U73" s="14" t="str">
        <f t="shared" si="35"/>
        <v/>
      </c>
      <c r="V73" s="14" t="str">
        <f t="shared" si="36"/>
        <v/>
      </c>
      <c r="W73" s="14">
        <f t="shared" si="37"/>
        <v>-61748.461454735807</v>
      </c>
      <c r="X73" s="14">
        <f t="shared" si="25"/>
        <v>-0.29145473569224123</v>
      </c>
      <c r="Y73" s="47">
        <f t="shared" si="38"/>
        <v>-61748.461454735807</v>
      </c>
      <c r="Z73" s="81">
        <f t="shared" si="26"/>
        <v>-8.8545264196000062E-2</v>
      </c>
      <c r="AA73" s="81">
        <f t="shared" si="27"/>
        <v>0</v>
      </c>
      <c r="AB73" s="81">
        <f t="shared" si="28"/>
        <v>0</v>
      </c>
      <c r="AC73" s="81">
        <f t="shared" si="29"/>
        <v>0</v>
      </c>
      <c r="AD73" s="81">
        <f t="shared" si="39"/>
        <v>-8.8545264196000062E-2</v>
      </c>
      <c r="AE73" s="81">
        <f t="shared" si="40"/>
        <v>0</v>
      </c>
      <c r="AF73" s="81">
        <f t="shared" si="41"/>
        <v>0</v>
      </c>
      <c r="AG73" s="122">
        <f t="shared" si="42"/>
        <v>-0.29145473569224123</v>
      </c>
      <c r="AH73" s="122">
        <f t="shared" si="43"/>
        <v>0</v>
      </c>
      <c r="AI73" s="122">
        <f t="shared" si="44"/>
        <v>0</v>
      </c>
      <c r="AO73" s="27">
        <f t="shared" si="45"/>
        <v>8.8545264196000062E-2</v>
      </c>
      <c r="AQ73" s="13"/>
      <c r="AR73" s="27"/>
    </row>
    <row r="74" spans="1:44">
      <c r="A74" s="103" t="s">
        <v>183</v>
      </c>
      <c r="B74" s="104">
        <v>5379</v>
      </c>
      <c r="C74" s="43">
        <v>54317.729999999996</v>
      </c>
      <c r="D74" s="14">
        <f>IFERROR(VLOOKUP(A74,Exposição!$A$2:$M$48,13,FALSE),0)</f>
        <v>0</v>
      </c>
      <c r="E74" s="14">
        <f>IFERROR(VLOOKUP(A74,CCEAR_D!$A$2:$J$48,10,FALSE),0)</f>
        <v>0</v>
      </c>
      <c r="F74" s="14">
        <f>IFERROR(VLOOKUP(A74,'RH Cotas'!$A$2:$C$48,2,FALSE),0)+IFERROR(VLOOKUP(A74,'Efeito RH do ACR'!$A$2:$D$48,3,FALSE),0)</f>
        <v>0</v>
      </c>
      <c r="G74" s="14">
        <f>IFERROR(VLOOKUP(A74,'RH Itaipu'!$A$2:$B$48,2,FALSE),0)</f>
        <v>0</v>
      </c>
      <c r="H74" s="14">
        <f>IFERROR(VLOOKUP(A74,ESS_SE!$A$3:$B$51,2,FALSE),0)</f>
        <v>0</v>
      </c>
      <c r="I74" s="14">
        <f>IFERROR(VLOOKUP(A74,'ESS ME'!$A$3:$C$49,3,FALSE),0)</f>
        <v>0</v>
      </c>
      <c r="J74" s="14">
        <f>IFERROR(VLOOKUP(A74,CONER!$A$2:$B$48,2,FALSE),0)</f>
        <v>0</v>
      </c>
      <c r="K74" s="14">
        <f t="shared" si="30"/>
        <v>0</v>
      </c>
      <c r="L74" s="14">
        <f>IFERROR(VLOOKUP($A74,'CustoLiqNaoCobertoMesN-1'!$A$3:$F$101,L$2,FALSE),0)</f>
        <v>-212.39715591541682</v>
      </c>
      <c r="M74" s="14">
        <f>IFERROR(VLOOKUP($A74,'CustoLiqNaoCobertoMesN-1'!$A$3:$F$101,M$2,FALSE),0)</f>
        <v>0</v>
      </c>
      <c r="N74" s="14">
        <f>IFERROR(VLOOKUP($A74,'CustoLiqNaoCobertoMesN-1'!$A$3:$F$101,N$2,FALSE),0)</f>
        <v>0</v>
      </c>
      <c r="O74" s="14">
        <f>IFERROR(VLOOKUP($A74,'CustoLiqNaoCobertoMesN-1'!$A$3:$F$101,O$2,FALSE),0)</f>
        <v>-212.39715591541682</v>
      </c>
      <c r="P74" s="14">
        <f t="shared" si="31"/>
        <v>-212.39715591541682</v>
      </c>
      <c r="Q74" s="14">
        <f t="shared" si="32"/>
        <v>0</v>
      </c>
      <c r="R74" s="14">
        <f t="shared" si="33"/>
        <v>0</v>
      </c>
      <c r="S74" s="14">
        <f t="shared" si="34"/>
        <v>-212.39715591541682</v>
      </c>
      <c r="T74" s="14">
        <f>IFERROR(VLOOKUP(A74,Prêmio!$A$2:$C$48,3,FALSE),0)</f>
        <v>0</v>
      </c>
      <c r="U74" s="14" t="str">
        <f t="shared" si="35"/>
        <v/>
      </c>
      <c r="V74" s="14" t="str">
        <f t="shared" si="36"/>
        <v/>
      </c>
      <c r="W74" s="14">
        <f t="shared" si="37"/>
        <v>-54268.238520289196</v>
      </c>
      <c r="X74" s="14">
        <f t="shared" ref="X74:X102" si="46">Y74+S74+C74</f>
        <v>-162.90567620461661</v>
      </c>
      <c r="Y74" s="47">
        <f t="shared" si="38"/>
        <v>-54268.238520289196</v>
      </c>
      <c r="Z74" s="81">
        <f t="shared" ref="Z74:Z102" si="47">IF(P74&lt;0,IF(C74+Y74&gt;-P74,P74,-C74-Y74),0)</f>
        <v>-49.491479710799467</v>
      </c>
      <c r="AA74" s="81">
        <f t="shared" ref="AA74:AA102" si="48">IF(Q74&lt;0,IF(C74+Z74+Y74&gt;-Q74,Q74,-C74-Z74-Y74),0)</f>
        <v>0</v>
      </c>
      <c r="AB74" s="81">
        <f t="shared" ref="AB74:AB102" si="49">IF(R74&lt;0,IF(C74+Z74+AA74+Y74&gt;-R74,R74,-C74-Z74-AA74-Y74),0)</f>
        <v>0</v>
      </c>
      <c r="AC74" s="81">
        <f t="shared" ref="AC74:AC102" si="50">C74+Y74+Z74+AB74+AA74</f>
        <v>0</v>
      </c>
      <c r="AD74" s="81">
        <f t="shared" si="39"/>
        <v>-49.491479710799467</v>
      </c>
      <c r="AE74" s="81">
        <f t="shared" si="40"/>
        <v>0</v>
      </c>
      <c r="AF74" s="81">
        <f t="shared" si="41"/>
        <v>0</v>
      </c>
      <c r="AG74" s="122">
        <f t="shared" si="42"/>
        <v>-162.90567620461735</v>
      </c>
      <c r="AH74" s="122">
        <f t="shared" si="43"/>
        <v>0</v>
      </c>
      <c r="AI74" s="122">
        <f t="shared" si="44"/>
        <v>0</v>
      </c>
      <c r="AO74" s="27">
        <f t="shared" si="45"/>
        <v>49.491479710799467</v>
      </c>
      <c r="AQ74" s="13"/>
      <c r="AR74" s="27"/>
    </row>
    <row r="75" spans="1:44">
      <c r="A75" s="103" t="s">
        <v>184</v>
      </c>
      <c r="B75" s="104">
        <v>6896</v>
      </c>
      <c r="C75" s="43">
        <v>39954.29</v>
      </c>
      <c r="D75" s="14">
        <f>IFERROR(VLOOKUP(A75,Exposição!$A$2:$M$48,13,FALSE),0)</f>
        <v>0</v>
      </c>
      <c r="E75" s="14">
        <f>IFERROR(VLOOKUP(A75,CCEAR_D!$A$2:$J$48,10,FALSE),0)</f>
        <v>0</v>
      </c>
      <c r="F75" s="14">
        <f>IFERROR(VLOOKUP(A75,'RH Cotas'!$A$2:$C$48,2,FALSE),0)+IFERROR(VLOOKUP(A75,'Efeito RH do ACR'!$A$2:$D$48,3,FALSE),0)</f>
        <v>0</v>
      </c>
      <c r="G75" s="14">
        <f>IFERROR(VLOOKUP(A75,'RH Itaipu'!$A$2:$B$48,2,FALSE),0)</f>
        <v>0</v>
      </c>
      <c r="H75" s="14">
        <f>IFERROR(VLOOKUP(A75,ESS_SE!$A$3:$B$51,2,FALSE),0)</f>
        <v>0</v>
      </c>
      <c r="I75" s="14">
        <f>IFERROR(VLOOKUP(A75,'ESS ME'!$A$3:$C$49,3,FALSE),0)</f>
        <v>0</v>
      </c>
      <c r="J75" s="14">
        <f>IFERROR(VLOOKUP(A75,CONER!$A$2:$B$48,2,FALSE),0)</f>
        <v>0</v>
      </c>
      <c r="K75" s="14">
        <f t="shared" si="30"/>
        <v>0</v>
      </c>
      <c r="L75" s="14">
        <f>IFERROR(VLOOKUP($A75,'CustoLiqNaoCobertoMesN-1'!$A$3:$F$101,L$2,FALSE),0)</f>
        <v>-100.44808888738936</v>
      </c>
      <c r="M75" s="14">
        <f>IFERROR(VLOOKUP($A75,'CustoLiqNaoCobertoMesN-1'!$A$3:$F$101,M$2,FALSE),0)</f>
        <v>0</v>
      </c>
      <c r="N75" s="14">
        <f>IFERROR(VLOOKUP($A75,'CustoLiqNaoCobertoMesN-1'!$A$3:$F$101,N$2,FALSE),0)</f>
        <v>0</v>
      </c>
      <c r="O75" s="14">
        <f>IFERROR(VLOOKUP($A75,'CustoLiqNaoCobertoMesN-1'!$A$3:$F$101,O$2,FALSE),0)</f>
        <v>-100.44808888738936</v>
      </c>
      <c r="P75" s="14">
        <f t="shared" si="31"/>
        <v>-100.44808888738936</v>
      </c>
      <c r="Q75" s="14">
        <f t="shared" si="32"/>
        <v>0</v>
      </c>
      <c r="R75" s="14">
        <f t="shared" si="33"/>
        <v>0</v>
      </c>
      <c r="S75" s="14">
        <f t="shared" si="34"/>
        <v>-100.44808888738936</v>
      </c>
      <c r="T75" s="14">
        <f>IFERROR(VLOOKUP(A75,Prêmio!$A$2:$C$48,3,FALSE),0)</f>
        <v>0</v>
      </c>
      <c r="U75" s="14" t="str">
        <f t="shared" si="35"/>
        <v/>
      </c>
      <c r="V75" s="14" t="str">
        <f t="shared" si="36"/>
        <v/>
      </c>
      <c r="W75" s="14">
        <f t="shared" si="37"/>
        <v>-39930.884203760717</v>
      </c>
      <c r="X75" s="14">
        <f t="shared" si="46"/>
        <v>-77.042292648104194</v>
      </c>
      <c r="Y75" s="47">
        <f t="shared" si="38"/>
        <v>-39930.884203760717</v>
      </c>
      <c r="Z75" s="81">
        <f t="shared" si="47"/>
        <v>-23.405796239283518</v>
      </c>
      <c r="AA75" s="81">
        <f t="shared" si="48"/>
        <v>0</v>
      </c>
      <c r="AB75" s="81">
        <f t="shared" si="49"/>
        <v>0</v>
      </c>
      <c r="AC75" s="81">
        <f t="shared" si="50"/>
        <v>0</v>
      </c>
      <c r="AD75" s="81">
        <f t="shared" si="39"/>
        <v>-23.405796239283518</v>
      </c>
      <c r="AE75" s="81">
        <f t="shared" si="40"/>
        <v>0</v>
      </c>
      <c r="AF75" s="81">
        <f t="shared" si="41"/>
        <v>0</v>
      </c>
      <c r="AG75" s="122">
        <f t="shared" si="42"/>
        <v>-77.042292648105843</v>
      </c>
      <c r="AH75" s="122">
        <f t="shared" si="43"/>
        <v>0</v>
      </c>
      <c r="AI75" s="122">
        <f t="shared" si="44"/>
        <v>0</v>
      </c>
      <c r="AO75" s="27">
        <f t="shared" si="45"/>
        <v>23.405796239283518</v>
      </c>
      <c r="AQ75" s="13"/>
      <c r="AR75" s="27"/>
    </row>
    <row r="76" spans="1:44">
      <c r="A76" s="103" t="s">
        <v>185</v>
      </c>
      <c r="B76" s="104">
        <v>5367</v>
      </c>
      <c r="C76" s="43">
        <v>56736.299999999996</v>
      </c>
      <c r="D76" s="14">
        <f>IFERROR(VLOOKUP(A76,Exposição!$A$2:$M$48,13,FALSE),0)</f>
        <v>0</v>
      </c>
      <c r="E76" s="14">
        <f>IFERROR(VLOOKUP(A76,CCEAR_D!$A$2:$J$48,10,FALSE),0)</f>
        <v>0</v>
      </c>
      <c r="F76" s="14">
        <f>IFERROR(VLOOKUP(A76,'RH Cotas'!$A$2:$C$48,2,FALSE),0)+IFERROR(VLOOKUP(A76,'Efeito RH do ACR'!$A$2:$D$48,3,FALSE),0)</f>
        <v>0</v>
      </c>
      <c r="G76" s="14">
        <f>IFERROR(VLOOKUP(A76,'RH Itaipu'!$A$2:$B$48,2,FALSE),0)</f>
        <v>0</v>
      </c>
      <c r="H76" s="14">
        <f>IFERROR(VLOOKUP(A76,ESS_SE!$A$3:$B$51,2,FALSE),0)</f>
        <v>0</v>
      </c>
      <c r="I76" s="14">
        <f>IFERROR(VLOOKUP(A76,'ESS ME'!$A$3:$C$49,3,FALSE),0)</f>
        <v>0</v>
      </c>
      <c r="J76" s="14">
        <f>IFERROR(VLOOKUP(A76,CONER!$A$2:$B$48,2,FALSE),0)</f>
        <v>0</v>
      </c>
      <c r="K76" s="14">
        <f t="shared" si="30"/>
        <v>0</v>
      </c>
      <c r="L76" s="14">
        <f>IFERROR(VLOOKUP($A76,'CustoLiqNaoCobertoMesN-1'!$A$3:$F$101,L$2,FALSE),0)</f>
        <v>-1162.2819258535944</v>
      </c>
      <c r="M76" s="14">
        <f>IFERROR(VLOOKUP($A76,'CustoLiqNaoCobertoMesN-1'!$A$3:$F$101,M$2,FALSE),0)</f>
        <v>0</v>
      </c>
      <c r="N76" s="14">
        <f>IFERROR(VLOOKUP($A76,'CustoLiqNaoCobertoMesN-1'!$A$3:$F$101,N$2,FALSE),0)</f>
        <v>0</v>
      </c>
      <c r="O76" s="14">
        <f>IFERROR(VLOOKUP($A76,'CustoLiqNaoCobertoMesN-1'!$A$3:$F$101,O$2,FALSE),0)</f>
        <v>-1162.2819258535944</v>
      </c>
      <c r="P76" s="14">
        <f t="shared" si="31"/>
        <v>-1162.2819258535944</v>
      </c>
      <c r="Q76" s="14">
        <f t="shared" si="32"/>
        <v>0</v>
      </c>
      <c r="R76" s="14">
        <f t="shared" si="33"/>
        <v>0</v>
      </c>
      <c r="S76" s="14">
        <f t="shared" si="34"/>
        <v>-1162.2819258535944</v>
      </c>
      <c r="T76" s="14">
        <f>IFERROR(VLOOKUP(A76,Prêmio!$A$2:$C$48,3,FALSE),0)</f>
        <v>0</v>
      </c>
      <c r="U76" s="14" t="str">
        <f t="shared" si="35"/>
        <v/>
      </c>
      <c r="V76" s="14" t="str">
        <f t="shared" si="36"/>
        <v/>
      </c>
      <c r="W76" s="14">
        <f t="shared" si="37"/>
        <v>-56465.472209939944</v>
      </c>
      <c r="X76" s="14">
        <f t="shared" si="46"/>
        <v>-891.45413579354499</v>
      </c>
      <c r="Y76" s="47">
        <f t="shared" si="38"/>
        <v>-56465.472209939944</v>
      </c>
      <c r="Z76" s="81">
        <f t="shared" si="47"/>
        <v>-270.82779006005148</v>
      </c>
      <c r="AA76" s="81">
        <f t="shared" si="48"/>
        <v>0</v>
      </c>
      <c r="AB76" s="81">
        <f t="shared" si="49"/>
        <v>0</v>
      </c>
      <c r="AC76" s="81">
        <f t="shared" si="50"/>
        <v>0</v>
      </c>
      <c r="AD76" s="81">
        <f t="shared" si="39"/>
        <v>-270.82779006005148</v>
      </c>
      <c r="AE76" s="81">
        <f t="shared" si="40"/>
        <v>0</v>
      </c>
      <c r="AF76" s="81">
        <f t="shared" si="41"/>
        <v>0</v>
      </c>
      <c r="AG76" s="122">
        <f t="shared" si="42"/>
        <v>-891.45413579354295</v>
      </c>
      <c r="AH76" s="122">
        <f t="shared" si="43"/>
        <v>0</v>
      </c>
      <c r="AI76" s="122">
        <f t="shared" si="44"/>
        <v>0</v>
      </c>
      <c r="AO76" s="27">
        <f t="shared" si="45"/>
        <v>270.82779006005148</v>
      </c>
      <c r="AQ76" s="13"/>
      <c r="AR76" s="27"/>
    </row>
    <row r="77" spans="1:44">
      <c r="A77" s="103" t="s">
        <v>186</v>
      </c>
      <c r="B77" s="104">
        <v>6897</v>
      </c>
      <c r="C77" s="43">
        <v>67917.66</v>
      </c>
      <c r="D77" s="14">
        <f>IFERROR(VLOOKUP(A77,Exposição!$A$2:$M$48,13,FALSE),0)</f>
        <v>0</v>
      </c>
      <c r="E77" s="14">
        <f>IFERROR(VLOOKUP(A77,CCEAR_D!$A$2:$J$48,10,FALSE),0)</f>
        <v>0</v>
      </c>
      <c r="F77" s="14">
        <f>IFERROR(VLOOKUP(A77,'RH Cotas'!$A$2:$C$48,2,FALSE),0)+IFERROR(VLOOKUP(A77,'Efeito RH do ACR'!$A$2:$D$48,3,FALSE),0)</f>
        <v>0</v>
      </c>
      <c r="G77" s="14">
        <f>IFERROR(VLOOKUP(A77,'RH Itaipu'!$A$2:$B$48,2,FALSE),0)</f>
        <v>0</v>
      </c>
      <c r="H77" s="14">
        <f>IFERROR(VLOOKUP(A77,ESS_SE!$A$3:$B$51,2,FALSE),0)</f>
        <v>0</v>
      </c>
      <c r="I77" s="14">
        <f>IFERROR(VLOOKUP(A77,'ESS ME'!$A$3:$C$49,3,FALSE),0)</f>
        <v>0</v>
      </c>
      <c r="J77" s="14">
        <f>IFERROR(VLOOKUP(A77,CONER!$A$2:$B$48,2,FALSE),0)</f>
        <v>0</v>
      </c>
      <c r="K77" s="14">
        <f t="shared" si="30"/>
        <v>0</v>
      </c>
      <c r="L77" s="14">
        <f>IFERROR(VLOOKUP($A77,'CustoLiqNaoCobertoMesN-1'!$A$3:$F$101,L$2,FALSE),0)</f>
        <v>-281.86071957626353</v>
      </c>
      <c r="M77" s="14">
        <f>IFERROR(VLOOKUP($A77,'CustoLiqNaoCobertoMesN-1'!$A$3:$F$101,M$2,FALSE),0)</f>
        <v>0</v>
      </c>
      <c r="N77" s="14">
        <f>IFERROR(VLOOKUP($A77,'CustoLiqNaoCobertoMesN-1'!$A$3:$F$101,N$2,FALSE),0)</f>
        <v>0</v>
      </c>
      <c r="O77" s="14">
        <f>IFERROR(VLOOKUP($A77,'CustoLiqNaoCobertoMesN-1'!$A$3:$F$101,O$2,FALSE),0)</f>
        <v>-281.86071957626353</v>
      </c>
      <c r="P77" s="14">
        <f t="shared" si="31"/>
        <v>-281.86071957626353</v>
      </c>
      <c r="Q77" s="14">
        <f t="shared" si="32"/>
        <v>0</v>
      </c>
      <c r="R77" s="14">
        <f t="shared" si="33"/>
        <v>0</v>
      </c>
      <c r="S77" s="14">
        <f t="shared" si="34"/>
        <v>-281.86071957626353</v>
      </c>
      <c r="T77" s="14">
        <f>IFERROR(VLOOKUP(A77,Prêmio!$A$2:$C$48,3,FALSE),0)</f>
        <v>0</v>
      </c>
      <c r="U77" s="14" t="str">
        <f t="shared" si="35"/>
        <v/>
      </c>
      <c r="V77" s="14" t="str">
        <f t="shared" si="36"/>
        <v/>
      </c>
      <c r="W77" s="14">
        <f t="shared" si="37"/>
        <v>-67851.982547662861</v>
      </c>
      <c r="X77" s="14">
        <f t="shared" si="46"/>
        <v>-216.18326723911741</v>
      </c>
      <c r="Y77" s="47">
        <f t="shared" si="38"/>
        <v>-67851.982547662861</v>
      </c>
      <c r="Z77" s="81">
        <f t="shared" si="47"/>
        <v>-65.677452337142313</v>
      </c>
      <c r="AA77" s="81">
        <f t="shared" si="48"/>
        <v>0</v>
      </c>
      <c r="AB77" s="81">
        <f t="shared" si="49"/>
        <v>0</v>
      </c>
      <c r="AC77" s="81">
        <f t="shared" si="50"/>
        <v>0</v>
      </c>
      <c r="AD77" s="81">
        <f t="shared" si="39"/>
        <v>-65.677452337142313</v>
      </c>
      <c r="AE77" s="81">
        <f t="shared" si="40"/>
        <v>0</v>
      </c>
      <c r="AF77" s="81">
        <f t="shared" si="41"/>
        <v>0</v>
      </c>
      <c r="AG77" s="122">
        <f t="shared" si="42"/>
        <v>-216.18326723912122</v>
      </c>
      <c r="AH77" s="122">
        <f t="shared" si="43"/>
        <v>0</v>
      </c>
      <c r="AI77" s="122">
        <f t="shared" si="44"/>
        <v>0</v>
      </c>
      <c r="AO77" s="27">
        <f t="shared" si="45"/>
        <v>65.677452337142313</v>
      </c>
      <c r="AQ77" s="13"/>
      <c r="AR77" s="27"/>
    </row>
    <row r="78" spans="1:44">
      <c r="A78" s="103" t="s">
        <v>187</v>
      </c>
      <c r="B78" s="104">
        <v>5351</v>
      </c>
      <c r="C78" s="43">
        <v>12097.72</v>
      </c>
      <c r="D78" s="14">
        <f>IFERROR(VLOOKUP(A78,Exposição!$A$2:$M$48,13,FALSE),0)</f>
        <v>0</v>
      </c>
      <c r="E78" s="14">
        <f>IFERROR(VLOOKUP(A78,CCEAR_D!$A$2:$J$48,10,FALSE),0)</f>
        <v>0</v>
      </c>
      <c r="F78" s="14">
        <f>IFERROR(VLOOKUP(A78,'RH Cotas'!$A$2:$C$48,2,FALSE),0)+IFERROR(VLOOKUP(A78,'Efeito RH do ACR'!$A$2:$D$48,3,FALSE),0)</f>
        <v>0</v>
      </c>
      <c r="G78" s="14">
        <f>IFERROR(VLOOKUP(A78,'RH Itaipu'!$A$2:$B$48,2,FALSE),0)</f>
        <v>0</v>
      </c>
      <c r="H78" s="14">
        <f>IFERROR(VLOOKUP(A78,ESS_SE!$A$3:$B$51,2,FALSE),0)</f>
        <v>0</v>
      </c>
      <c r="I78" s="14">
        <f>IFERROR(VLOOKUP(A78,'ESS ME'!$A$3:$C$49,3,FALSE),0)</f>
        <v>0</v>
      </c>
      <c r="J78" s="14">
        <f>IFERROR(VLOOKUP(A78,CONER!$A$2:$B$48,2,FALSE),0)</f>
        <v>0</v>
      </c>
      <c r="K78" s="14">
        <f t="shared" si="30"/>
        <v>0</v>
      </c>
      <c r="L78" s="14">
        <f>IFERROR(VLOOKUP($A78,'CustoLiqNaoCobertoMesN-1'!$A$3:$F$101,L$2,FALSE),0)</f>
        <v>-26.35785398202038</v>
      </c>
      <c r="M78" s="14">
        <f>IFERROR(VLOOKUP($A78,'CustoLiqNaoCobertoMesN-1'!$A$3:$F$101,M$2,FALSE),0)</f>
        <v>0</v>
      </c>
      <c r="N78" s="14">
        <f>IFERROR(VLOOKUP($A78,'CustoLiqNaoCobertoMesN-1'!$A$3:$F$101,N$2,FALSE),0)</f>
        <v>0</v>
      </c>
      <c r="O78" s="14">
        <f>IFERROR(VLOOKUP($A78,'CustoLiqNaoCobertoMesN-1'!$A$3:$F$101,O$2,FALSE),0)</f>
        <v>-26.35785398202038</v>
      </c>
      <c r="P78" s="14">
        <f t="shared" si="31"/>
        <v>-26.35785398202038</v>
      </c>
      <c r="Q78" s="14">
        <f t="shared" si="32"/>
        <v>0</v>
      </c>
      <c r="R78" s="14">
        <f t="shared" si="33"/>
        <v>0</v>
      </c>
      <c r="S78" s="14">
        <f t="shared" si="34"/>
        <v>-26.35785398202038</v>
      </c>
      <c r="T78" s="14">
        <f>IFERROR(VLOOKUP(A78,Prêmio!$A$2:$C$48,3,FALSE),0)</f>
        <v>0</v>
      </c>
      <c r="U78" s="14" t="str">
        <f t="shared" si="35"/>
        <v/>
      </c>
      <c r="V78" s="14" t="str">
        <f t="shared" si="36"/>
        <v/>
      </c>
      <c r="W78" s="14">
        <f t="shared" si="37"/>
        <v>-12091.578254881289</v>
      </c>
      <c r="X78" s="14">
        <f t="shared" si="46"/>
        <v>-20.216108863311092</v>
      </c>
      <c r="Y78" s="47">
        <f t="shared" si="38"/>
        <v>-12091.578254881289</v>
      </c>
      <c r="Z78" s="81">
        <f t="shared" si="47"/>
        <v>-6.1417451187098777</v>
      </c>
      <c r="AA78" s="81">
        <f t="shared" si="48"/>
        <v>0</v>
      </c>
      <c r="AB78" s="81">
        <f t="shared" si="49"/>
        <v>0</v>
      </c>
      <c r="AC78" s="81">
        <f t="shared" si="50"/>
        <v>0</v>
      </c>
      <c r="AD78" s="81">
        <f t="shared" si="39"/>
        <v>-6.1417451187098777</v>
      </c>
      <c r="AE78" s="81">
        <f t="shared" si="40"/>
        <v>0</v>
      </c>
      <c r="AF78" s="81">
        <f t="shared" si="41"/>
        <v>0</v>
      </c>
      <c r="AG78" s="122">
        <f t="shared" si="42"/>
        <v>-20.216108863310502</v>
      </c>
      <c r="AH78" s="122">
        <f t="shared" si="43"/>
        <v>0</v>
      </c>
      <c r="AI78" s="122">
        <f t="shared" si="44"/>
        <v>0</v>
      </c>
      <c r="AO78" s="27">
        <f t="shared" si="45"/>
        <v>6.1417451187098777</v>
      </c>
      <c r="AQ78" s="13"/>
      <c r="AR78" s="27"/>
    </row>
    <row r="79" spans="1:44">
      <c r="A79" s="103" t="s">
        <v>188</v>
      </c>
      <c r="B79" s="104">
        <v>6898</v>
      </c>
      <c r="C79" s="43">
        <v>151755.73000000001</v>
      </c>
      <c r="D79" s="14">
        <f>IFERROR(VLOOKUP(A79,Exposição!$A$2:$M$48,13,FALSE),0)</f>
        <v>0</v>
      </c>
      <c r="E79" s="14">
        <f>IFERROR(VLOOKUP(A79,CCEAR_D!$A$2:$J$48,10,FALSE),0)</f>
        <v>0</v>
      </c>
      <c r="F79" s="14">
        <f>IFERROR(VLOOKUP(A79,'RH Cotas'!$A$2:$C$48,2,FALSE),0)+IFERROR(VLOOKUP(A79,'Efeito RH do ACR'!$A$2:$D$48,3,FALSE),0)</f>
        <v>0</v>
      </c>
      <c r="G79" s="14">
        <f>IFERROR(VLOOKUP(A79,'RH Itaipu'!$A$2:$B$48,2,FALSE),0)</f>
        <v>0</v>
      </c>
      <c r="H79" s="14">
        <f>IFERROR(VLOOKUP(A79,ESS_SE!$A$3:$B$51,2,FALSE),0)</f>
        <v>0</v>
      </c>
      <c r="I79" s="14">
        <f>IFERROR(VLOOKUP(A79,'ESS ME'!$A$3:$C$49,3,FALSE),0)</f>
        <v>0</v>
      </c>
      <c r="J79" s="14">
        <f>IFERROR(VLOOKUP(A79,CONER!$A$2:$B$48,2,FALSE),0)</f>
        <v>0</v>
      </c>
      <c r="K79" s="14">
        <f t="shared" si="30"/>
        <v>0</v>
      </c>
      <c r="L79" s="14">
        <f>IFERROR(VLOOKUP($A79,'CustoLiqNaoCobertoMesN-1'!$A$3:$F$101,L$2,FALSE),0)</f>
        <v>-395.39433058164593</v>
      </c>
      <c r="M79" s="14">
        <f>IFERROR(VLOOKUP($A79,'CustoLiqNaoCobertoMesN-1'!$A$3:$F$101,M$2,FALSE),0)</f>
        <v>0</v>
      </c>
      <c r="N79" s="14">
        <f>IFERROR(VLOOKUP($A79,'CustoLiqNaoCobertoMesN-1'!$A$3:$F$101,N$2,FALSE),0)</f>
        <v>0</v>
      </c>
      <c r="O79" s="14">
        <f>IFERROR(VLOOKUP($A79,'CustoLiqNaoCobertoMesN-1'!$A$3:$F$101,O$2,FALSE),0)</f>
        <v>-395.39433058164593</v>
      </c>
      <c r="P79" s="14">
        <f t="shared" si="31"/>
        <v>-395.39433058164593</v>
      </c>
      <c r="Q79" s="14">
        <f t="shared" si="32"/>
        <v>0</v>
      </c>
      <c r="R79" s="14">
        <f t="shared" si="33"/>
        <v>0</v>
      </c>
      <c r="S79" s="14">
        <f t="shared" si="34"/>
        <v>-395.39433058164593</v>
      </c>
      <c r="T79" s="14">
        <f>IFERROR(VLOOKUP(A79,Prêmio!$A$2:$C$48,3,FALSE),0)</f>
        <v>0</v>
      </c>
      <c r="U79" s="14" t="str">
        <f t="shared" si="35"/>
        <v/>
      </c>
      <c r="V79" s="14" t="str">
        <f t="shared" si="36"/>
        <v/>
      </c>
      <c r="W79" s="14">
        <f t="shared" si="37"/>
        <v>-151663.59764349359</v>
      </c>
      <c r="X79" s="14">
        <f t="shared" si="46"/>
        <v>-303.26197407522704</v>
      </c>
      <c r="Y79" s="47">
        <f t="shared" si="38"/>
        <v>-151663.59764349359</v>
      </c>
      <c r="Z79" s="81">
        <f t="shared" si="47"/>
        <v>-92.132356506423093</v>
      </c>
      <c r="AA79" s="81">
        <f t="shared" si="48"/>
        <v>0</v>
      </c>
      <c r="AB79" s="81">
        <f t="shared" si="49"/>
        <v>0</v>
      </c>
      <c r="AC79" s="81">
        <f t="shared" si="50"/>
        <v>0</v>
      </c>
      <c r="AD79" s="81">
        <f t="shared" si="39"/>
        <v>-92.132356506423093</v>
      </c>
      <c r="AE79" s="81">
        <f t="shared" si="40"/>
        <v>0</v>
      </c>
      <c r="AF79" s="81">
        <f t="shared" si="41"/>
        <v>0</v>
      </c>
      <c r="AG79" s="122">
        <f t="shared" si="42"/>
        <v>-303.26197407522284</v>
      </c>
      <c r="AH79" s="122">
        <f t="shared" si="43"/>
        <v>0</v>
      </c>
      <c r="AI79" s="122">
        <f t="shared" si="44"/>
        <v>0</v>
      </c>
      <c r="AO79" s="27">
        <f t="shared" si="45"/>
        <v>92.132356506423093</v>
      </c>
      <c r="AQ79" s="13"/>
      <c r="AR79" s="27"/>
    </row>
    <row r="80" spans="1:44">
      <c r="A80" s="103" t="s">
        <v>189</v>
      </c>
      <c r="B80" s="104">
        <v>5352</v>
      </c>
      <c r="C80" s="43">
        <v>43137.360000000008</v>
      </c>
      <c r="D80" s="14">
        <f>IFERROR(VLOOKUP(A80,Exposição!$A$2:$M$48,13,FALSE),0)</f>
        <v>0</v>
      </c>
      <c r="E80" s="14">
        <f>IFERROR(VLOOKUP(A80,CCEAR_D!$A$2:$J$48,10,FALSE),0)</f>
        <v>0</v>
      </c>
      <c r="F80" s="14">
        <f>IFERROR(VLOOKUP(A80,'RH Cotas'!$A$2:$C$48,2,FALSE),0)+IFERROR(VLOOKUP(A80,'Efeito RH do ACR'!$A$2:$D$48,3,FALSE),0)</f>
        <v>0</v>
      </c>
      <c r="G80" s="14">
        <f>IFERROR(VLOOKUP(A80,'RH Itaipu'!$A$2:$B$48,2,FALSE),0)</f>
        <v>0</v>
      </c>
      <c r="H80" s="14">
        <f>IFERROR(VLOOKUP(A80,ESS_SE!$A$3:$B$51,2,FALSE),0)</f>
        <v>0</v>
      </c>
      <c r="I80" s="14">
        <f>IFERROR(VLOOKUP(A80,'ESS ME'!$A$3:$C$49,3,FALSE),0)</f>
        <v>0</v>
      </c>
      <c r="J80" s="14">
        <f>IFERROR(VLOOKUP(A80,CONER!$A$2:$B$48,2,FALSE),0)</f>
        <v>0</v>
      </c>
      <c r="K80" s="14">
        <f t="shared" si="30"/>
        <v>0</v>
      </c>
      <c r="L80" s="14">
        <f>IFERROR(VLOOKUP($A80,'CustoLiqNaoCobertoMesN-1'!$A$3:$F$101,L$2,FALSE),0)</f>
        <v>-111.59312468332882</v>
      </c>
      <c r="M80" s="14">
        <f>IFERROR(VLOOKUP($A80,'CustoLiqNaoCobertoMesN-1'!$A$3:$F$101,M$2,FALSE),0)</f>
        <v>0</v>
      </c>
      <c r="N80" s="14">
        <f>IFERROR(VLOOKUP($A80,'CustoLiqNaoCobertoMesN-1'!$A$3:$F$101,N$2,FALSE),0)</f>
        <v>0</v>
      </c>
      <c r="O80" s="14">
        <f>IFERROR(VLOOKUP($A80,'CustoLiqNaoCobertoMesN-1'!$A$3:$F$101,O$2,FALSE),0)</f>
        <v>-111.59312468332882</v>
      </c>
      <c r="P80" s="14">
        <f t="shared" si="31"/>
        <v>-111.59312468332882</v>
      </c>
      <c r="Q80" s="14">
        <f t="shared" si="32"/>
        <v>0</v>
      </c>
      <c r="R80" s="14">
        <f t="shared" si="33"/>
        <v>0</v>
      </c>
      <c r="S80" s="14">
        <f t="shared" si="34"/>
        <v>-111.59312468332882</v>
      </c>
      <c r="T80" s="14">
        <f>IFERROR(VLOOKUP(A80,Prêmio!$A$2:$C$48,3,FALSE),0)</f>
        <v>0</v>
      </c>
      <c r="U80" s="14" t="str">
        <f t="shared" si="35"/>
        <v/>
      </c>
      <c r="V80" s="14" t="str">
        <f t="shared" si="36"/>
        <v/>
      </c>
      <c r="W80" s="14">
        <f t="shared" si="37"/>
        <v>-43111.357256025745</v>
      </c>
      <c r="X80" s="14">
        <f t="shared" si="46"/>
        <v>-85.590380709065357</v>
      </c>
      <c r="Y80" s="47">
        <f t="shared" si="38"/>
        <v>-43111.357256025745</v>
      </c>
      <c r="Z80" s="81">
        <f t="shared" si="47"/>
        <v>-26.002743974262557</v>
      </c>
      <c r="AA80" s="81">
        <f t="shared" si="48"/>
        <v>0</v>
      </c>
      <c r="AB80" s="81">
        <f t="shared" si="49"/>
        <v>0</v>
      </c>
      <c r="AC80" s="81">
        <f t="shared" si="50"/>
        <v>0</v>
      </c>
      <c r="AD80" s="81">
        <f t="shared" si="39"/>
        <v>-26.002743974262557</v>
      </c>
      <c r="AE80" s="81">
        <f t="shared" si="40"/>
        <v>0</v>
      </c>
      <c r="AF80" s="81">
        <f t="shared" si="41"/>
        <v>0</v>
      </c>
      <c r="AG80" s="122">
        <f t="shared" si="42"/>
        <v>-85.590380709066267</v>
      </c>
      <c r="AH80" s="122">
        <f t="shared" si="43"/>
        <v>0</v>
      </c>
      <c r="AI80" s="122">
        <f t="shared" si="44"/>
        <v>0</v>
      </c>
      <c r="AO80" s="27">
        <f t="shared" si="45"/>
        <v>26.002743974262557</v>
      </c>
      <c r="AQ80" s="13"/>
      <c r="AR80" s="27"/>
    </row>
    <row r="81" spans="1:44">
      <c r="A81" s="103" t="s">
        <v>190</v>
      </c>
      <c r="B81" s="104">
        <v>5353</v>
      </c>
      <c r="C81" s="43">
        <v>27547.859999999997</v>
      </c>
      <c r="D81" s="14">
        <f>IFERROR(VLOOKUP(A81,Exposição!$A$2:$M$48,13,FALSE),0)</f>
        <v>0</v>
      </c>
      <c r="E81" s="14">
        <f>IFERROR(VLOOKUP(A81,CCEAR_D!$A$2:$J$48,10,FALSE),0)</f>
        <v>0</v>
      </c>
      <c r="F81" s="14">
        <f>IFERROR(VLOOKUP(A81,'RH Cotas'!$A$2:$C$48,2,FALSE),0)+IFERROR(VLOOKUP(A81,'Efeito RH do ACR'!$A$2:$D$48,3,FALSE),0)</f>
        <v>0</v>
      </c>
      <c r="G81" s="14">
        <f>IFERROR(VLOOKUP(A81,'RH Itaipu'!$A$2:$B$48,2,FALSE),0)</f>
        <v>0</v>
      </c>
      <c r="H81" s="14">
        <f>IFERROR(VLOOKUP(A81,ESS_SE!$A$3:$B$51,2,FALSE),0)</f>
        <v>0</v>
      </c>
      <c r="I81" s="14">
        <f>IFERROR(VLOOKUP(A81,'ESS ME'!$A$3:$C$49,3,FALSE),0)</f>
        <v>0</v>
      </c>
      <c r="J81" s="14">
        <f>IFERROR(VLOOKUP(A81,CONER!$A$2:$B$48,2,FALSE),0)</f>
        <v>0</v>
      </c>
      <c r="K81" s="14">
        <f t="shared" si="30"/>
        <v>0</v>
      </c>
      <c r="L81" s="14">
        <f>IFERROR(VLOOKUP($A81,'CustoLiqNaoCobertoMesN-1'!$A$3:$F$101,L$2,FALSE),0)</f>
        <v>-185.98935064461321</v>
      </c>
      <c r="M81" s="14">
        <f>IFERROR(VLOOKUP($A81,'CustoLiqNaoCobertoMesN-1'!$A$3:$F$101,M$2,FALSE),0)</f>
        <v>0</v>
      </c>
      <c r="N81" s="14">
        <f>IFERROR(VLOOKUP($A81,'CustoLiqNaoCobertoMesN-1'!$A$3:$F$101,N$2,FALSE),0)</f>
        <v>0</v>
      </c>
      <c r="O81" s="14">
        <f>IFERROR(VLOOKUP($A81,'CustoLiqNaoCobertoMesN-1'!$A$3:$F$101,O$2,FALSE),0)</f>
        <v>-185.98935064461321</v>
      </c>
      <c r="P81" s="14">
        <f t="shared" si="31"/>
        <v>-185.98935064461321</v>
      </c>
      <c r="Q81" s="14">
        <f t="shared" si="32"/>
        <v>0</v>
      </c>
      <c r="R81" s="14">
        <f t="shared" si="33"/>
        <v>0</v>
      </c>
      <c r="S81" s="14">
        <f t="shared" si="34"/>
        <v>-185.98935064461321</v>
      </c>
      <c r="T81" s="14">
        <f>IFERROR(VLOOKUP(A81,Prêmio!$A$2:$C$48,3,FALSE),0)</f>
        <v>0</v>
      </c>
      <c r="U81" s="14" t="str">
        <f t="shared" si="35"/>
        <v/>
      </c>
      <c r="V81" s="14" t="str">
        <f t="shared" si="36"/>
        <v/>
      </c>
      <c r="W81" s="14">
        <f t="shared" si="37"/>
        <v>-27504.521904750178</v>
      </c>
      <c r="X81" s="14">
        <f t="shared" si="46"/>
        <v>-142.65125539479413</v>
      </c>
      <c r="Y81" s="47">
        <f t="shared" si="38"/>
        <v>-27504.521904750178</v>
      </c>
      <c r="Z81" s="81">
        <f t="shared" si="47"/>
        <v>-43.338095249819162</v>
      </c>
      <c r="AA81" s="81">
        <f t="shared" si="48"/>
        <v>0</v>
      </c>
      <c r="AB81" s="81">
        <f t="shared" si="49"/>
        <v>0</v>
      </c>
      <c r="AC81" s="81">
        <f t="shared" si="50"/>
        <v>0</v>
      </c>
      <c r="AD81" s="81">
        <f t="shared" si="39"/>
        <v>-43.338095249819162</v>
      </c>
      <c r="AE81" s="81">
        <f t="shared" si="40"/>
        <v>0</v>
      </c>
      <c r="AF81" s="81">
        <f t="shared" si="41"/>
        <v>0</v>
      </c>
      <c r="AG81" s="122">
        <f t="shared" si="42"/>
        <v>-142.65125539479405</v>
      </c>
      <c r="AH81" s="122">
        <f t="shared" si="43"/>
        <v>0</v>
      </c>
      <c r="AI81" s="122">
        <f t="shared" si="44"/>
        <v>0</v>
      </c>
      <c r="AO81" s="27">
        <f t="shared" si="45"/>
        <v>43.338095249819162</v>
      </c>
      <c r="AQ81" s="13"/>
      <c r="AR81" s="27"/>
    </row>
    <row r="82" spans="1:44">
      <c r="A82" s="103" t="s">
        <v>191</v>
      </c>
      <c r="B82" s="104">
        <v>5355</v>
      </c>
      <c r="C82" s="43">
        <v>42037.520000000004</v>
      </c>
      <c r="D82" s="14">
        <f>IFERROR(VLOOKUP(A82,Exposição!$A$2:$M$48,13,FALSE),0)</f>
        <v>0</v>
      </c>
      <c r="E82" s="14">
        <f>IFERROR(VLOOKUP(A82,CCEAR_D!$A$2:$J$48,10,FALSE),0)</f>
        <v>0</v>
      </c>
      <c r="F82" s="14">
        <f>IFERROR(VLOOKUP(A82,'RH Cotas'!$A$2:$C$48,2,FALSE),0)+IFERROR(VLOOKUP(A82,'Efeito RH do ACR'!$A$2:$D$48,3,FALSE),0)</f>
        <v>0</v>
      </c>
      <c r="G82" s="14">
        <f>IFERROR(VLOOKUP(A82,'RH Itaipu'!$A$2:$B$48,2,FALSE),0)</f>
        <v>0</v>
      </c>
      <c r="H82" s="14">
        <f>IFERROR(VLOOKUP(A82,ESS_SE!$A$3:$B$51,2,FALSE),0)</f>
        <v>0</v>
      </c>
      <c r="I82" s="14">
        <f>IFERROR(VLOOKUP(A82,'ESS ME'!$A$3:$C$49,3,FALSE),0)</f>
        <v>0</v>
      </c>
      <c r="J82" s="14">
        <f>IFERROR(VLOOKUP(A82,CONER!$A$2:$B$48,2,FALSE),0)</f>
        <v>0</v>
      </c>
      <c r="K82" s="14">
        <f t="shared" si="30"/>
        <v>0</v>
      </c>
      <c r="L82" s="14">
        <f>IFERROR(VLOOKUP($A82,'CustoLiqNaoCobertoMesN-1'!$A$3:$F$101,L$2,FALSE),0)</f>
        <v>-104.49547301119247</v>
      </c>
      <c r="M82" s="14">
        <f>IFERROR(VLOOKUP($A82,'CustoLiqNaoCobertoMesN-1'!$A$3:$F$101,M$2,FALSE),0)</f>
        <v>0</v>
      </c>
      <c r="N82" s="14">
        <f>IFERROR(VLOOKUP($A82,'CustoLiqNaoCobertoMesN-1'!$A$3:$F$101,N$2,FALSE),0)</f>
        <v>0</v>
      </c>
      <c r="O82" s="14">
        <f>IFERROR(VLOOKUP($A82,'CustoLiqNaoCobertoMesN-1'!$A$3:$F$101,O$2,FALSE),0)</f>
        <v>-104.49547301119247</v>
      </c>
      <c r="P82" s="14">
        <f t="shared" si="31"/>
        <v>-104.49547301119247</v>
      </c>
      <c r="Q82" s="14">
        <f t="shared" si="32"/>
        <v>0</v>
      </c>
      <c r="R82" s="14">
        <f t="shared" si="33"/>
        <v>0</v>
      </c>
      <c r="S82" s="14">
        <f t="shared" si="34"/>
        <v>-104.49547301119247</v>
      </c>
      <c r="T82" s="14">
        <f>IFERROR(VLOOKUP(A82,Prêmio!$A$2:$C$48,3,FALSE),0)</f>
        <v>0</v>
      </c>
      <c r="U82" s="14" t="str">
        <f t="shared" si="35"/>
        <v/>
      </c>
      <c r="V82" s="14" t="str">
        <f t="shared" si="36"/>
        <v/>
      </c>
      <c r="W82" s="14">
        <f t="shared" si="37"/>
        <v>-42013.17110719061</v>
      </c>
      <c r="X82" s="14">
        <f t="shared" si="46"/>
        <v>-80.146580201799225</v>
      </c>
      <c r="Y82" s="47">
        <f t="shared" si="38"/>
        <v>-42013.17110719061</v>
      </c>
      <c r="Z82" s="81">
        <f t="shared" si="47"/>
        <v>-24.348892809393874</v>
      </c>
      <c r="AA82" s="81">
        <f t="shared" si="48"/>
        <v>0</v>
      </c>
      <c r="AB82" s="81">
        <f t="shared" si="49"/>
        <v>0</v>
      </c>
      <c r="AC82" s="81">
        <f t="shared" si="50"/>
        <v>0</v>
      </c>
      <c r="AD82" s="81">
        <f t="shared" si="39"/>
        <v>-24.348892809393874</v>
      </c>
      <c r="AE82" s="81">
        <f t="shared" si="40"/>
        <v>0</v>
      </c>
      <c r="AF82" s="81">
        <f t="shared" si="41"/>
        <v>0</v>
      </c>
      <c r="AG82" s="122">
        <f t="shared" si="42"/>
        <v>-80.146580201798599</v>
      </c>
      <c r="AH82" s="122">
        <f t="shared" si="43"/>
        <v>0</v>
      </c>
      <c r="AI82" s="122">
        <f t="shared" si="44"/>
        <v>0</v>
      </c>
      <c r="AO82" s="27">
        <f t="shared" si="45"/>
        <v>24.348892809393874</v>
      </c>
      <c r="AQ82" s="13"/>
      <c r="AR82" s="27"/>
    </row>
    <row r="83" spans="1:44">
      <c r="A83" s="103" t="s">
        <v>192</v>
      </c>
      <c r="B83" s="104">
        <v>5363</v>
      </c>
      <c r="C83" s="43">
        <v>39629.629999999997</v>
      </c>
      <c r="D83" s="14">
        <f>IFERROR(VLOOKUP(A83,Exposição!$A$2:$M$48,13,FALSE),0)</f>
        <v>0</v>
      </c>
      <c r="E83" s="14">
        <f>IFERROR(VLOOKUP(A83,CCEAR_D!$A$2:$J$48,10,FALSE),0)</f>
        <v>0</v>
      </c>
      <c r="F83" s="14">
        <f>IFERROR(VLOOKUP(A83,'RH Cotas'!$A$2:$C$48,2,FALSE),0)+IFERROR(VLOOKUP(A83,'Efeito RH do ACR'!$A$2:$D$48,3,FALSE),0)</f>
        <v>0</v>
      </c>
      <c r="G83" s="14">
        <f>IFERROR(VLOOKUP(A83,'RH Itaipu'!$A$2:$B$48,2,FALSE),0)</f>
        <v>0</v>
      </c>
      <c r="H83" s="14">
        <f>IFERROR(VLOOKUP(A83,ESS_SE!$A$3:$B$51,2,FALSE),0)</f>
        <v>0</v>
      </c>
      <c r="I83" s="14">
        <f>IFERROR(VLOOKUP(A83,'ESS ME'!$A$3:$C$49,3,FALSE),0)</f>
        <v>0</v>
      </c>
      <c r="J83" s="14">
        <f>IFERROR(VLOOKUP(A83,CONER!$A$2:$B$48,2,FALSE),0)</f>
        <v>0</v>
      </c>
      <c r="K83" s="14">
        <f t="shared" si="30"/>
        <v>0</v>
      </c>
      <c r="L83" s="14">
        <f>IFERROR(VLOOKUP($A83,'CustoLiqNaoCobertoMesN-1'!$A$3:$F$101,L$2,FALSE),0)</f>
        <v>-212.1495341500115</v>
      </c>
      <c r="M83" s="14">
        <f>IFERROR(VLOOKUP($A83,'CustoLiqNaoCobertoMesN-1'!$A$3:$F$101,M$2,FALSE),0)</f>
        <v>0</v>
      </c>
      <c r="N83" s="14">
        <f>IFERROR(VLOOKUP($A83,'CustoLiqNaoCobertoMesN-1'!$A$3:$F$101,N$2,FALSE),0)</f>
        <v>0</v>
      </c>
      <c r="O83" s="14">
        <f>IFERROR(VLOOKUP($A83,'CustoLiqNaoCobertoMesN-1'!$A$3:$F$101,O$2,FALSE),0)</f>
        <v>-212.1495341500115</v>
      </c>
      <c r="P83" s="14">
        <f t="shared" si="31"/>
        <v>-212.1495341500115</v>
      </c>
      <c r="Q83" s="14">
        <f t="shared" si="32"/>
        <v>0</v>
      </c>
      <c r="R83" s="14">
        <f t="shared" si="33"/>
        <v>0</v>
      </c>
      <c r="S83" s="14">
        <f t="shared" si="34"/>
        <v>-212.1495341500115</v>
      </c>
      <c r="T83" s="14">
        <f>IFERROR(VLOOKUP(A83,Prêmio!$A$2:$C$48,3,FALSE),0)</f>
        <v>0</v>
      </c>
      <c r="U83" s="14" t="str">
        <f t="shared" si="35"/>
        <v/>
      </c>
      <c r="V83" s="14" t="str">
        <f t="shared" si="36"/>
        <v/>
      </c>
      <c r="W83" s="14">
        <f t="shared" si="37"/>
        <v>-39580.196219590893</v>
      </c>
      <c r="X83" s="14">
        <f t="shared" si="46"/>
        <v>-162.71575374090753</v>
      </c>
      <c r="Y83" s="47">
        <f t="shared" si="38"/>
        <v>-39580.196219590893</v>
      </c>
      <c r="Z83" s="81">
        <f t="shared" si="47"/>
        <v>-49.433780409104656</v>
      </c>
      <c r="AA83" s="81">
        <f t="shared" si="48"/>
        <v>0</v>
      </c>
      <c r="AB83" s="81">
        <f t="shared" si="49"/>
        <v>0</v>
      </c>
      <c r="AC83" s="81">
        <f t="shared" si="50"/>
        <v>0</v>
      </c>
      <c r="AD83" s="81">
        <f t="shared" si="39"/>
        <v>-49.433780409104656</v>
      </c>
      <c r="AE83" s="81">
        <f t="shared" si="40"/>
        <v>0</v>
      </c>
      <c r="AF83" s="81">
        <f t="shared" si="41"/>
        <v>0</v>
      </c>
      <c r="AG83" s="122">
        <f t="shared" si="42"/>
        <v>-162.71575374090685</v>
      </c>
      <c r="AH83" s="122">
        <f t="shared" si="43"/>
        <v>0</v>
      </c>
      <c r="AI83" s="122">
        <f t="shared" si="44"/>
        <v>0</v>
      </c>
      <c r="AO83" s="27">
        <f t="shared" si="45"/>
        <v>49.433780409104656</v>
      </c>
      <c r="AQ83" s="13"/>
      <c r="AR83" s="27"/>
    </row>
    <row r="84" spans="1:44">
      <c r="A84" s="103" t="s">
        <v>193</v>
      </c>
      <c r="B84" s="104">
        <v>5364</v>
      </c>
      <c r="C84" s="43">
        <v>171888.52</v>
      </c>
      <c r="D84" s="14">
        <f>IFERROR(VLOOKUP(A84,Exposição!$A$2:$M$48,13,FALSE),0)</f>
        <v>0</v>
      </c>
      <c r="E84" s="14">
        <f>IFERROR(VLOOKUP(A84,CCEAR_D!$A$2:$J$48,10,FALSE),0)</f>
        <v>0</v>
      </c>
      <c r="F84" s="14">
        <f>IFERROR(VLOOKUP(A84,'RH Cotas'!$A$2:$C$48,2,FALSE),0)+IFERROR(VLOOKUP(A84,'Efeito RH do ACR'!$A$2:$D$48,3,FALSE),0)</f>
        <v>0</v>
      </c>
      <c r="G84" s="14">
        <f>IFERROR(VLOOKUP(A84,'RH Itaipu'!$A$2:$B$48,2,FALSE),0)</f>
        <v>0</v>
      </c>
      <c r="H84" s="14">
        <f>IFERROR(VLOOKUP(A84,ESS_SE!$A$3:$B$51,2,FALSE),0)</f>
        <v>0</v>
      </c>
      <c r="I84" s="14">
        <f>IFERROR(VLOOKUP(A84,'ESS ME'!$A$3:$C$49,3,FALSE),0)</f>
        <v>0</v>
      </c>
      <c r="J84" s="14">
        <f>IFERROR(VLOOKUP(A84,CONER!$A$2:$B$48,2,FALSE),0)</f>
        <v>0</v>
      </c>
      <c r="K84" s="14">
        <f t="shared" si="30"/>
        <v>0</v>
      </c>
      <c r="L84" s="14">
        <f>IFERROR(VLOOKUP($A84,'CustoLiqNaoCobertoMesN-1'!$A$3:$F$101,L$2,FALSE),0)</f>
        <v>-393.4736161120112</v>
      </c>
      <c r="M84" s="14">
        <f>IFERROR(VLOOKUP($A84,'CustoLiqNaoCobertoMesN-1'!$A$3:$F$101,M$2,FALSE),0)</f>
        <v>0</v>
      </c>
      <c r="N84" s="14">
        <f>IFERROR(VLOOKUP($A84,'CustoLiqNaoCobertoMesN-1'!$A$3:$F$101,N$2,FALSE),0)</f>
        <v>0</v>
      </c>
      <c r="O84" s="14">
        <f>IFERROR(VLOOKUP($A84,'CustoLiqNaoCobertoMesN-1'!$A$3:$F$101,O$2,FALSE),0)</f>
        <v>-393.4736161120112</v>
      </c>
      <c r="P84" s="14">
        <f t="shared" si="31"/>
        <v>-393.4736161120112</v>
      </c>
      <c r="Q84" s="14">
        <f t="shared" si="32"/>
        <v>0</v>
      </c>
      <c r="R84" s="14">
        <f t="shared" si="33"/>
        <v>0</v>
      </c>
      <c r="S84" s="14">
        <f t="shared" si="34"/>
        <v>-393.4736161120112</v>
      </c>
      <c r="T84" s="14">
        <f>IFERROR(VLOOKUP(A84,Prêmio!$A$2:$C$48,3,FALSE),0)</f>
        <v>0</v>
      </c>
      <c r="U84" s="14" t="str">
        <f t="shared" si="35"/>
        <v/>
      </c>
      <c r="V84" s="14" t="str">
        <f t="shared" si="36"/>
        <v/>
      </c>
      <c r="W84" s="14">
        <f t="shared" si="37"/>
        <v>-171796.83519657305</v>
      </c>
      <c r="X84" s="14">
        <f t="shared" si="46"/>
        <v>-301.78881268508849</v>
      </c>
      <c r="Y84" s="47">
        <f t="shared" si="38"/>
        <v>-171796.83519657305</v>
      </c>
      <c r="Z84" s="81">
        <f t="shared" si="47"/>
        <v>-91.684803426935105</v>
      </c>
      <c r="AA84" s="81">
        <f t="shared" si="48"/>
        <v>0</v>
      </c>
      <c r="AB84" s="81">
        <f t="shared" si="49"/>
        <v>0</v>
      </c>
      <c r="AC84" s="81">
        <f t="shared" si="50"/>
        <v>0</v>
      </c>
      <c r="AD84" s="81">
        <f t="shared" si="39"/>
        <v>-91.684803426935105</v>
      </c>
      <c r="AE84" s="81">
        <f t="shared" si="40"/>
        <v>0</v>
      </c>
      <c r="AF84" s="81">
        <f t="shared" si="41"/>
        <v>0</v>
      </c>
      <c r="AG84" s="122">
        <f t="shared" si="42"/>
        <v>-301.7888126850761</v>
      </c>
      <c r="AH84" s="122">
        <f t="shared" si="43"/>
        <v>0</v>
      </c>
      <c r="AI84" s="122">
        <f t="shared" si="44"/>
        <v>0</v>
      </c>
      <c r="AO84" s="27">
        <f t="shared" si="45"/>
        <v>91.684803426935105</v>
      </c>
      <c r="AQ84" s="13"/>
      <c r="AR84" s="27"/>
    </row>
    <row r="85" spans="1:44">
      <c r="A85" s="103" t="s">
        <v>194</v>
      </c>
      <c r="B85" s="104">
        <v>5365</v>
      </c>
      <c r="C85" s="43">
        <v>51584.07</v>
      </c>
      <c r="D85" s="14">
        <f>IFERROR(VLOOKUP(A85,Exposição!$A$2:$M$48,13,FALSE),0)</f>
        <v>0</v>
      </c>
      <c r="E85" s="14">
        <f>IFERROR(VLOOKUP(A85,CCEAR_D!$A$2:$J$48,10,FALSE),0)</f>
        <v>0</v>
      </c>
      <c r="F85" s="14">
        <f>IFERROR(VLOOKUP(A85,'RH Cotas'!$A$2:$C$48,2,FALSE),0)+IFERROR(VLOOKUP(A85,'Efeito RH do ACR'!$A$2:$D$48,3,FALSE),0)</f>
        <v>0</v>
      </c>
      <c r="G85" s="14">
        <f>IFERROR(VLOOKUP(A85,'RH Itaipu'!$A$2:$B$48,2,FALSE),0)</f>
        <v>0</v>
      </c>
      <c r="H85" s="14">
        <f>IFERROR(VLOOKUP(A85,ESS_SE!$A$3:$B$51,2,FALSE),0)</f>
        <v>0</v>
      </c>
      <c r="I85" s="14">
        <f>IFERROR(VLOOKUP(A85,'ESS ME'!$A$3:$C$49,3,FALSE),0)</f>
        <v>0</v>
      </c>
      <c r="J85" s="14">
        <f>IFERROR(VLOOKUP(A85,CONER!$A$2:$B$48,2,FALSE),0)</f>
        <v>0</v>
      </c>
      <c r="K85" s="14">
        <f t="shared" si="30"/>
        <v>0</v>
      </c>
      <c r="L85" s="14">
        <f>IFERROR(VLOOKUP($A85,'CustoLiqNaoCobertoMesN-1'!$A$3:$F$101,L$2,FALSE),0)</f>
        <v>-131.68819841729933</v>
      </c>
      <c r="M85" s="14">
        <f>IFERROR(VLOOKUP($A85,'CustoLiqNaoCobertoMesN-1'!$A$3:$F$101,M$2,FALSE),0)</f>
        <v>0</v>
      </c>
      <c r="N85" s="14">
        <f>IFERROR(VLOOKUP($A85,'CustoLiqNaoCobertoMesN-1'!$A$3:$F$101,N$2,FALSE),0)</f>
        <v>0</v>
      </c>
      <c r="O85" s="14">
        <f>IFERROR(VLOOKUP($A85,'CustoLiqNaoCobertoMesN-1'!$A$3:$F$101,O$2,FALSE),0)</f>
        <v>-131.68819841729933</v>
      </c>
      <c r="P85" s="14">
        <f t="shared" si="31"/>
        <v>-131.68819841729933</v>
      </c>
      <c r="Q85" s="14">
        <f t="shared" si="32"/>
        <v>0</v>
      </c>
      <c r="R85" s="14">
        <f t="shared" si="33"/>
        <v>0</v>
      </c>
      <c r="S85" s="14">
        <f t="shared" si="34"/>
        <v>-131.68819841729933</v>
      </c>
      <c r="T85" s="14">
        <f>IFERROR(VLOOKUP(A85,Prêmio!$A$2:$C$48,3,FALSE),0)</f>
        <v>0</v>
      </c>
      <c r="U85" s="14" t="str">
        <f t="shared" si="35"/>
        <v/>
      </c>
      <c r="V85" s="14" t="str">
        <f t="shared" si="36"/>
        <v/>
      </c>
      <c r="W85" s="14">
        <f t="shared" si="37"/>
        <v>-51553.38482546444</v>
      </c>
      <c r="X85" s="14">
        <f t="shared" si="46"/>
        <v>-101.00302388174168</v>
      </c>
      <c r="Y85" s="47">
        <f t="shared" si="38"/>
        <v>-51553.38482546444</v>
      </c>
      <c r="Z85" s="81">
        <f t="shared" si="47"/>
        <v>-30.685174535559781</v>
      </c>
      <c r="AA85" s="81">
        <f t="shared" si="48"/>
        <v>0</v>
      </c>
      <c r="AB85" s="81">
        <f t="shared" si="49"/>
        <v>0</v>
      </c>
      <c r="AC85" s="81">
        <f t="shared" si="50"/>
        <v>0</v>
      </c>
      <c r="AD85" s="81">
        <f t="shared" si="39"/>
        <v>-30.685174535559781</v>
      </c>
      <c r="AE85" s="81">
        <f t="shared" si="40"/>
        <v>0</v>
      </c>
      <c r="AF85" s="81">
        <f t="shared" si="41"/>
        <v>0</v>
      </c>
      <c r="AG85" s="122">
        <f t="shared" si="42"/>
        <v>-101.00302388173955</v>
      </c>
      <c r="AH85" s="122">
        <f t="shared" si="43"/>
        <v>0</v>
      </c>
      <c r="AI85" s="122">
        <f t="shared" si="44"/>
        <v>0</v>
      </c>
      <c r="AO85" s="27">
        <f t="shared" si="45"/>
        <v>30.685174535559781</v>
      </c>
      <c r="AQ85" s="13"/>
      <c r="AR85" s="27"/>
    </row>
    <row r="86" spans="1:44">
      <c r="A86" s="103" t="s">
        <v>195</v>
      </c>
      <c r="B86" s="104">
        <v>5368</v>
      </c>
      <c r="C86" s="43">
        <v>182174.13999999998</v>
      </c>
      <c r="D86" s="14">
        <f>IFERROR(VLOOKUP(A86,Exposição!$A$2:$M$48,13,FALSE),0)</f>
        <v>0</v>
      </c>
      <c r="E86" s="14">
        <f>IFERROR(VLOOKUP(A86,CCEAR_D!$A$2:$J$48,10,FALSE),0)</f>
        <v>0</v>
      </c>
      <c r="F86" s="14">
        <f>IFERROR(VLOOKUP(A86,'RH Cotas'!$A$2:$C$48,2,FALSE),0)+IFERROR(VLOOKUP(A86,'Efeito RH do ACR'!$A$2:$D$48,3,FALSE),0)</f>
        <v>0</v>
      </c>
      <c r="G86" s="14">
        <f>IFERROR(VLOOKUP(A86,'RH Itaipu'!$A$2:$B$48,2,FALSE),0)</f>
        <v>0</v>
      </c>
      <c r="H86" s="14">
        <f>IFERROR(VLOOKUP(A86,ESS_SE!$A$3:$B$51,2,FALSE),0)</f>
        <v>0</v>
      </c>
      <c r="I86" s="14">
        <f>IFERROR(VLOOKUP(A86,'ESS ME'!$A$3:$C$49,3,FALSE),0)</f>
        <v>0</v>
      </c>
      <c r="J86" s="14">
        <f>IFERROR(VLOOKUP(A86,CONER!$A$2:$B$48,2,FALSE),0)</f>
        <v>0</v>
      </c>
      <c r="K86" s="14">
        <f t="shared" si="30"/>
        <v>0</v>
      </c>
      <c r="L86" s="14">
        <f>IFERROR(VLOOKUP($A86,'CustoLiqNaoCobertoMesN-1'!$A$3:$F$101,L$2,FALSE),0)</f>
        <v>-416.50434911034114</v>
      </c>
      <c r="M86" s="14">
        <f>IFERROR(VLOOKUP($A86,'CustoLiqNaoCobertoMesN-1'!$A$3:$F$101,M$2,FALSE),0)</f>
        <v>0</v>
      </c>
      <c r="N86" s="14">
        <f>IFERROR(VLOOKUP($A86,'CustoLiqNaoCobertoMesN-1'!$A$3:$F$101,N$2,FALSE),0)</f>
        <v>0</v>
      </c>
      <c r="O86" s="14">
        <f>IFERROR(VLOOKUP($A86,'CustoLiqNaoCobertoMesN-1'!$A$3:$F$101,O$2,FALSE),0)</f>
        <v>-416.50434911034114</v>
      </c>
      <c r="P86" s="14">
        <f t="shared" si="31"/>
        <v>-416.50434911034114</v>
      </c>
      <c r="Q86" s="14">
        <f t="shared" si="32"/>
        <v>0</v>
      </c>
      <c r="R86" s="14">
        <f t="shared" si="33"/>
        <v>0</v>
      </c>
      <c r="S86" s="14">
        <f t="shared" si="34"/>
        <v>-416.50434911034114</v>
      </c>
      <c r="T86" s="14">
        <f>IFERROR(VLOOKUP(A86,Prêmio!$A$2:$C$48,3,FALSE),0)</f>
        <v>0</v>
      </c>
      <c r="U86" s="14" t="str">
        <f t="shared" si="35"/>
        <v/>
      </c>
      <c r="V86" s="14" t="str">
        <f t="shared" si="36"/>
        <v/>
      </c>
      <c r="W86" s="14">
        <f t="shared" si="37"/>
        <v>-182077.08871673487</v>
      </c>
      <c r="X86" s="14">
        <f t="shared" si="46"/>
        <v>-319.45306584521313</v>
      </c>
      <c r="Y86" s="47">
        <f t="shared" si="38"/>
        <v>-182077.08871673487</v>
      </c>
      <c r="Z86" s="81">
        <f t="shared" si="47"/>
        <v>-97.051283265114762</v>
      </c>
      <c r="AA86" s="81">
        <f t="shared" si="48"/>
        <v>0</v>
      </c>
      <c r="AB86" s="81">
        <f t="shared" si="49"/>
        <v>0</v>
      </c>
      <c r="AC86" s="81">
        <f t="shared" si="50"/>
        <v>0</v>
      </c>
      <c r="AD86" s="81">
        <f t="shared" si="39"/>
        <v>-97.051283265114762</v>
      </c>
      <c r="AE86" s="81">
        <f t="shared" si="40"/>
        <v>0</v>
      </c>
      <c r="AF86" s="81">
        <f t="shared" si="41"/>
        <v>0</v>
      </c>
      <c r="AG86" s="122">
        <f t="shared" si="42"/>
        <v>-319.45306584522638</v>
      </c>
      <c r="AH86" s="122">
        <f t="shared" si="43"/>
        <v>0</v>
      </c>
      <c r="AI86" s="122">
        <f t="shared" si="44"/>
        <v>0</v>
      </c>
      <c r="AO86" s="27">
        <f t="shared" si="45"/>
        <v>97.051283265114762</v>
      </c>
      <c r="AQ86" s="13"/>
      <c r="AR86" s="27"/>
    </row>
    <row r="87" spans="1:44">
      <c r="A87" s="103" t="s">
        <v>196</v>
      </c>
      <c r="B87" s="104">
        <v>5369</v>
      </c>
      <c r="C87" s="43">
        <v>63820.200000000004</v>
      </c>
      <c r="D87" s="14">
        <f>IFERROR(VLOOKUP(A87,Exposição!$A$2:$M$48,13,FALSE),0)</f>
        <v>0</v>
      </c>
      <c r="E87" s="14">
        <f>IFERROR(VLOOKUP(A87,CCEAR_D!$A$2:$J$48,10,FALSE),0)</f>
        <v>0</v>
      </c>
      <c r="F87" s="14">
        <f>IFERROR(VLOOKUP(A87,'RH Cotas'!$A$2:$C$48,2,FALSE),0)+IFERROR(VLOOKUP(A87,'Efeito RH do ACR'!$A$2:$D$48,3,FALSE),0)</f>
        <v>0</v>
      </c>
      <c r="G87" s="14">
        <f>IFERROR(VLOOKUP(A87,'RH Itaipu'!$A$2:$B$48,2,FALSE),0)</f>
        <v>0</v>
      </c>
      <c r="H87" s="14">
        <f>IFERROR(VLOOKUP(A87,ESS_SE!$A$3:$B$51,2,FALSE),0)</f>
        <v>0</v>
      </c>
      <c r="I87" s="14">
        <f>IFERROR(VLOOKUP(A87,'ESS ME'!$A$3:$C$49,3,FALSE),0)</f>
        <v>0</v>
      </c>
      <c r="J87" s="14">
        <f>IFERROR(VLOOKUP(A87,CONER!$A$2:$B$48,2,FALSE),0)</f>
        <v>0</v>
      </c>
      <c r="K87" s="14">
        <f t="shared" si="30"/>
        <v>0</v>
      </c>
      <c r="L87" s="14">
        <f>IFERROR(VLOOKUP($A87,'CustoLiqNaoCobertoMesN-1'!$A$3:$F$101,L$2,FALSE),0)</f>
        <v>337917.2723491207</v>
      </c>
      <c r="M87" s="14">
        <f>IFERROR(VLOOKUP($A87,'CustoLiqNaoCobertoMesN-1'!$A$3:$F$101,M$2,FALSE),0)</f>
        <v>0</v>
      </c>
      <c r="N87" s="14">
        <f>IFERROR(VLOOKUP($A87,'CustoLiqNaoCobertoMesN-1'!$A$3:$F$101,N$2,FALSE),0)</f>
        <v>0</v>
      </c>
      <c r="O87" s="14">
        <f>IFERROR(VLOOKUP($A87,'CustoLiqNaoCobertoMesN-1'!$A$3:$F$101,O$2,FALSE),0)</f>
        <v>337917.2723491207</v>
      </c>
      <c r="P87" s="14">
        <f t="shared" si="31"/>
        <v>337917.2723491207</v>
      </c>
      <c r="Q87" s="14">
        <f t="shared" si="32"/>
        <v>0</v>
      </c>
      <c r="R87" s="14">
        <f t="shared" si="33"/>
        <v>0</v>
      </c>
      <c r="S87" s="14">
        <f t="shared" si="34"/>
        <v>337917.2723491207</v>
      </c>
      <c r="T87" s="14">
        <f>IFERROR(VLOOKUP(A87,Prêmio!$A$2:$C$48,3,FALSE),0)</f>
        <v>0</v>
      </c>
      <c r="U87" s="14" t="str">
        <f t="shared" si="35"/>
        <v/>
      </c>
      <c r="V87" s="14" t="str">
        <f t="shared" si="36"/>
        <v/>
      </c>
      <c r="W87" s="14">
        <f t="shared" si="37"/>
        <v>-63820.200000000004</v>
      </c>
      <c r="X87" s="14">
        <f t="shared" si="46"/>
        <v>337917.2723491207</v>
      </c>
      <c r="Y87" s="47">
        <f t="shared" si="38"/>
        <v>-63820.200000000004</v>
      </c>
      <c r="Z87" s="81">
        <f t="shared" si="47"/>
        <v>0</v>
      </c>
      <c r="AA87" s="81">
        <f t="shared" si="48"/>
        <v>0</v>
      </c>
      <c r="AB87" s="81">
        <f t="shared" si="49"/>
        <v>0</v>
      </c>
      <c r="AC87" s="81">
        <f t="shared" si="50"/>
        <v>0</v>
      </c>
      <c r="AD87" s="81">
        <f t="shared" si="39"/>
        <v>0</v>
      </c>
      <c r="AE87" s="81">
        <f t="shared" si="40"/>
        <v>0</v>
      </c>
      <c r="AF87" s="81">
        <f t="shared" si="41"/>
        <v>0</v>
      </c>
      <c r="AG87" s="122">
        <f t="shared" si="42"/>
        <v>337917.2723491207</v>
      </c>
      <c r="AH87" s="122">
        <f t="shared" si="43"/>
        <v>0</v>
      </c>
      <c r="AI87" s="122">
        <f t="shared" si="44"/>
        <v>0</v>
      </c>
      <c r="AO87" s="27">
        <f t="shared" si="45"/>
        <v>0</v>
      </c>
      <c r="AQ87" s="13"/>
      <c r="AR87" s="27"/>
    </row>
    <row r="88" spans="1:44">
      <c r="A88" s="103" t="s">
        <v>197</v>
      </c>
      <c r="B88" s="104">
        <v>5370</v>
      </c>
      <c r="C88" s="43">
        <v>292552.56</v>
      </c>
      <c r="D88" s="14">
        <f>IFERROR(VLOOKUP(A88,Exposição!$A$2:$M$48,13,FALSE),0)</f>
        <v>0</v>
      </c>
      <c r="E88" s="14">
        <f>IFERROR(VLOOKUP(A88,CCEAR_D!$A$2:$J$48,10,FALSE),0)</f>
        <v>0</v>
      </c>
      <c r="F88" s="14">
        <f>IFERROR(VLOOKUP(A88,'RH Cotas'!$A$2:$C$48,2,FALSE),0)+IFERROR(VLOOKUP(A88,'Efeito RH do ACR'!$A$2:$D$48,3,FALSE),0)</f>
        <v>0</v>
      </c>
      <c r="G88" s="14">
        <f>IFERROR(VLOOKUP(A88,'RH Itaipu'!$A$2:$B$48,2,FALSE),0)</f>
        <v>0</v>
      </c>
      <c r="H88" s="14">
        <f>IFERROR(VLOOKUP(A88,ESS_SE!$A$3:$B$51,2,FALSE),0)</f>
        <v>0</v>
      </c>
      <c r="I88" s="14">
        <f>IFERROR(VLOOKUP(A88,'ESS ME'!$A$3:$C$49,3,FALSE),0)</f>
        <v>0</v>
      </c>
      <c r="J88" s="14">
        <f>IFERROR(VLOOKUP(A88,CONER!$A$2:$B$48,2,FALSE),0)</f>
        <v>0</v>
      </c>
      <c r="K88" s="14">
        <f t="shared" si="30"/>
        <v>0</v>
      </c>
      <c r="L88" s="14">
        <f>IFERROR(VLOOKUP($A88,'CustoLiqNaoCobertoMesN-1'!$A$3:$F$101,L$2,FALSE),0)</f>
        <v>-812.34265355974333</v>
      </c>
      <c r="M88" s="14">
        <f>IFERROR(VLOOKUP($A88,'CustoLiqNaoCobertoMesN-1'!$A$3:$F$101,M$2,FALSE),0)</f>
        <v>0</v>
      </c>
      <c r="N88" s="14">
        <f>IFERROR(VLOOKUP($A88,'CustoLiqNaoCobertoMesN-1'!$A$3:$F$101,N$2,FALSE),0)</f>
        <v>0</v>
      </c>
      <c r="O88" s="14">
        <f>IFERROR(VLOOKUP($A88,'CustoLiqNaoCobertoMesN-1'!$A$3:$F$101,O$2,FALSE),0)</f>
        <v>-812.34265355974333</v>
      </c>
      <c r="P88" s="14">
        <f t="shared" si="31"/>
        <v>-812.34265355974333</v>
      </c>
      <c r="Q88" s="14">
        <f t="shared" si="32"/>
        <v>0</v>
      </c>
      <c r="R88" s="14">
        <f t="shared" si="33"/>
        <v>0</v>
      </c>
      <c r="S88" s="14">
        <f t="shared" si="34"/>
        <v>-812.34265355974333</v>
      </c>
      <c r="T88" s="14">
        <f>IFERROR(VLOOKUP(A88,Prêmio!$A$2:$C$48,3,FALSE),0)</f>
        <v>0</v>
      </c>
      <c r="U88" s="14" t="str">
        <f t="shared" si="35"/>
        <v/>
      </c>
      <c r="V88" s="14" t="str">
        <f t="shared" si="36"/>
        <v/>
      </c>
      <c r="W88" s="14">
        <f t="shared" si="37"/>
        <v>-292363.27290816681</v>
      </c>
      <c r="X88" s="14">
        <f t="shared" si="46"/>
        <v>-623.05556172656361</v>
      </c>
      <c r="Y88" s="47">
        <f t="shared" si="38"/>
        <v>-292363.27290816681</v>
      </c>
      <c r="Z88" s="81">
        <f t="shared" si="47"/>
        <v>-189.28709183319006</v>
      </c>
      <c r="AA88" s="81">
        <f t="shared" si="48"/>
        <v>0</v>
      </c>
      <c r="AB88" s="81">
        <f t="shared" si="49"/>
        <v>0</v>
      </c>
      <c r="AC88" s="81">
        <f t="shared" si="50"/>
        <v>0</v>
      </c>
      <c r="AD88" s="81">
        <f t="shared" si="39"/>
        <v>-189.28709183319006</v>
      </c>
      <c r="AE88" s="81">
        <f t="shared" si="40"/>
        <v>0</v>
      </c>
      <c r="AF88" s="81">
        <f t="shared" si="41"/>
        <v>0</v>
      </c>
      <c r="AG88" s="122">
        <f t="shared" si="42"/>
        <v>-623.05556172655326</v>
      </c>
      <c r="AH88" s="122">
        <f t="shared" si="43"/>
        <v>0</v>
      </c>
      <c r="AI88" s="122">
        <f t="shared" si="44"/>
        <v>0</v>
      </c>
      <c r="AO88" s="27">
        <f t="shared" si="45"/>
        <v>189.28709183319006</v>
      </c>
      <c r="AQ88" s="13"/>
      <c r="AR88" s="27"/>
    </row>
    <row r="89" spans="1:44">
      <c r="A89" s="103" t="s">
        <v>198</v>
      </c>
      <c r="B89" s="104">
        <v>5371</v>
      </c>
      <c r="C89" s="43">
        <v>96330.12000000001</v>
      </c>
      <c r="D89" s="14">
        <f>IFERROR(VLOOKUP(A89,Exposição!$A$2:$M$48,13,FALSE),0)</f>
        <v>0</v>
      </c>
      <c r="E89" s="14">
        <f>IFERROR(VLOOKUP(A89,CCEAR_D!$A$2:$J$48,10,FALSE),0)</f>
        <v>0</v>
      </c>
      <c r="F89" s="14">
        <f>IFERROR(VLOOKUP(A89,'RH Cotas'!$A$2:$C$48,2,FALSE),0)+IFERROR(VLOOKUP(A89,'Efeito RH do ACR'!$A$2:$D$48,3,FALSE),0)</f>
        <v>0</v>
      </c>
      <c r="G89" s="14">
        <f>IFERROR(VLOOKUP(A89,'RH Itaipu'!$A$2:$B$48,2,FALSE),0)</f>
        <v>0</v>
      </c>
      <c r="H89" s="14">
        <f>IFERROR(VLOOKUP(A89,ESS_SE!$A$3:$B$51,2,FALSE),0)</f>
        <v>0</v>
      </c>
      <c r="I89" s="14">
        <f>IFERROR(VLOOKUP(A89,'ESS ME'!$A$3:$C$49,3,FALSE),0)</f>
        <v>0</v>
      </c>
      <c r="J89" s="14">
        <f>IFERROR(VLOOKUP(A89,CONER!$A$2:$B$48,2,FALSE),0)</f>
        <v>0</v>
      </c>
      <c r="K89" s="14">
        <f t="shared" si="30"/>
        <v>0</v>
      </c>
      <c r="L89" s="14">
        <f>IFERROR(VLOOKUP($A89,'CustoLiqNaoCobertoMesN-1'!$A$3:$F$101,L$2,FALSE),0)</f>
        <v>-232.56426407350955</v>
      </c>
      <c r="M89" s="14">
        <f>IFERROR(VLOOKUP($A89,'CustoLiqNaoCobertoMesN-1'!$A$3:$F$101,M$2,FALSE),0)</f>
        <v>0</v>
      </c>
      <c r="N89" s="14">
        <f>IFERROR(VLOOKUP($A89,'CustoLiqNaoCobertoMesN-1'!$A$3:$F$101,N$2,FALSE),0)</f>
        <v>0</v>
      </c>
      <c r="O89" s="14">
        <f>IFERROR(VLOOKUP($A89,'CustoLiqNaoCobertoMesN-1'!$A$3:$F$101,O$2,FALSE),0)</f>
        <v>-232.56426407350955</v>
      </c>
      <c r="P89" s="14">
        <f t="shared" si="31"/>
        <v>-232.56426407350955</v>
      </c>
      <c r="Q89" s="14">
        <f t="shared" si="32"/>
        <v>0</v>
      </c>
      <c r="R89" s="14">
        <f t="shared" si="33"/>
        <v>0</v>
      </c>
      <c r="S89" s="14">
        <f t="shared" si="34"/>
        <v>-232.56426407350955</v>
      </c>
      <c r="T89" s="14">
        <f>IFERROR(VLOOKUP(A89,Prêmio!$A$2:$C$48,3,FALSE),0)</f>
        <v>0</v>
      </c>
      <c r="U89" s="14" t="str">
        <f t="shared" si="35"/>
        <v/>
      </c>
      <c r="V89" s="14" t="str">
        <f t="shared" si="36"/>
        <v/>
      </c>
      <c r="W89" s="14">
        <f t="shared" si="37"/>
        <v>-96275.929304709178</v>
      </c>
      <c r="X89" s="14">
        <f t="shared" si="46"/>
        <v>-178.37356878268474</v>
      </c>
      <c r="Y89" s="47">
        <f t="shared" si="38"/>
        <v>-96275.929304709178</v>
      </c>
      <c r="Z89" s="81">
        <f t="shared" si="47"/>
        <v>-54.190695290832082</v>
      </c>
      <c r="AA89" s="81">
        <f t="shared" si="48"/>
        <v>0</v>
      </c>
      <c r="AB89" s="81">
        <f t="shared" si="49"/>
        <v>0</v>
      </c>
      <c r="AC89" s="81">
        <f t="shared" si="50"/>
        <v>0</v>
      </c>
      <c r="AD89" s="81">
        <f t="shared" si="39"/>
        <v>-54.190695290832082</v>
      </c>
      <c r="AE89" s="81">
        <f t="shared" si="40"/>
        <v>0</v>
      </c>
      <c r="AF89" s="81">
        <f t="shared" si="41"/>
        <v>0</v>
      </c>
      <c r="AG89" s="122">
        <f t="shared" si="42"/>
        <v>-178.37356878267747</v>
      </c>
      <c r="AH89" s="122">
        <f t="shared" si="43"/>
        <v>0</v>
      </c>
      <c r="AI89" s="122">
        <f t="shared" si="44"/>
        <v>0</v>
      </c>
      <c r="AO89" s="27">
        <f t="shared" si="45"/>
        <v>54.190695290832082</v>
      </c>
      <c r="AQ89" s="13"/>
      <c r="AR89" s="27"/>
    </row>
    <row r="90" spans="1:44">
      <c r="A90" s="103" t="s">
        <v>199</v>
      </c>
      <c r="B90" s="104">
        <v>5373</v>
      </c>
      <c r="C90" s="43">
        <v>20135.43</v>
      </c>
      <c r="D90" s="14">
        <f>IFERROR(VLOOKUP(A90,Exposição!$A$2:$M$48,13,FALSE),0)</f>
        <v>0</v>
      </c>
      <c r="E90" s="14">
        <f>IFERROR(VLOOKUP(A90,CCEAR_D!$A$2:$J$48,10,FALSE),0)</f>
        <v>0</v>
      </c>
      <c r="F90" s="14">
        <f>IFERROR(VLOOKUP(A90,'RH Cotas'!$A$2:$C$48,2,FALSE),0)+IFERROR(VLOOKUP(A90,'Efeito RH do ACR'!$A$2:$D$48,3,FALSE),0)</f>
        <v>0</v>
      </c>
      <c r="G90" s="14">
        <f>IFERROR(VLOOKUP(A90,'RH Itaipu'!$A$2:$B$48,2,FALSE),0)</f>
        <v>0</v>
      </c>
      <c r="H90" s="14">
        <f>IFERROR(VLOOKUP(A90,ESS_SE!$A$3:$B$51,2,FALSE),0)</f>
        <v>0</v>
      </c>
      <c r="I90" s="14">
        <f>IFERROR(VLOOKUP(A90,'ESS ME'!$A$3:$C$49,3,FALSE),0)</f>
        <v>0</v>
      </c>
      <c r="J90" s="14">
        <f>IFERROR(VLOOKUP(A90,CONER!$A$2:$B$48,2,FALSE),0)</f>
        <v>0</v>
      </c>
      <c r="K90" s="14">
        <f t="shared" si="30"/>
        <v>0</v>
      </c>
      <c r="L90" s="14">
        <f>IFERROR(VLOOKUP($A90,'CustoLiqNaoCobertoMesN-1'!$A$3:$F$101,L$2,FALSE),0)</f>
        <v>-38.720362512521582</v>
      </c>
      <c r="M90" s="14">
        <f>IFERROR(VLOOKUP($A90,'CustoLiqNaoCobertoMesN-1'!$A$3:$F$101,M$2,FALSE),0)</f>
        <v>0</v>
      </c>
      <c r="N90" s="14">
        <f>IFERROR(VLOOKUP($A90,'CustoLiqNaoCobertoMesN-1'!$A$3:$F$101,N$2,FALSE),0)</f>
        <v>0</v>
      </c>
      <c r="O90" s="14">
        <f>IFERROR(VLOOKUP($A90,'CustoLiqNaoCobertoMesN-1'!$A$3:$F$101,O$2,FALSE),0)</f>
        <v>-38.720362512521582</v>
      </c>
      <c r="P90" s="14">
        <f t="shared" si="31"/>
        <v>-38.720362512521582</v>
      </c>
      <c r="Q90" s="14">
        <f t="shared" si="32"/>
        <v>0</v>
      </c>
      <c r="R90" s="14">
        <f t="shared" si="33"/>
        <v>0</v>
      </c>
      <c r="S90" s="14">
        <f t="shared" si="34"/>
        <v>-38.720362512521582</v>
      </c>
      <c r="T90" s="14">
        <f>IFERROR(VLOOKUP(A90,Prêmio!$A$2:$C$48,3,FALSE),0)</f>
        <v>0</v>
      </c>
      <c r="U90" s="14" t="str">
        <f t="shared" si="35"/>
        <v/>
      </c>
      <c r="V90" s="14" t="str">
        <f t="shared" si="36"/>
        <v/>
      </c>
      <c r="W90" s="14">
        <f t="shared" si="37"/>
        <v>-20126.40761913325</v>
      </c>
      <c r="X90" s="14">
        <f t="shared" si="46"/>
        <v>-29.697981645771506</v>
      </c>
      <c r="Y90" s="47">
        <f t="shared" si="38"/>
        <v>-20126.40761913325</v>
      </c>
      <c r="Z90" s="81">
        <f t="shared" si="47"/>
        <v>-9.0223808667506091</v>
      </c>
      <c r="AA90" s="81">
        <f t="shared" si="48"/>
        <v>0</v>
      </c>
      <c r="AB90" s="81">
        <f t="shared" si="49"/>
        <v>0</v>
      </c>
      <c r="AC90" s="81">
        <f t="shared" si="50"/>
        <v>0</v>
      </c>
      <c r="AD90" s="81">
        <f t="shared" si="39"/>
        <v>-9.0223808667506091</v>
      </c>
      <c r="AE90" s="81">
        <f t="shared" si="40"/>
        <v>0</v>
      </c>
      <c r="AF90" s="81">
        <f t="shared" si="41"/>
        <v>0</v>
      </c>
      <c r="AG90" s="122">
        <f t="shared" si="42"/>
        <v>-29.697981645770973</v>
      </c>
      <c r="AH90" s="122">
        <f t="shared" si="43"/>
        <v>0</v>
      </c>
      <c r="AI90" s="122">
        <f t="shared" si="44"/>
        <v>0</v>
      </c>
      <c r="AO90" s="27">
        <f t="shared" si="45"/>
        <v>9.0223808667506091</v>
      </c>
      <c r="AQ90" s="13"/>
      <c r="AR90" s="27"/>
    </row>
    <row r="91" spans="1:44">
      <c r="A91" s="103" t="s">
        <v>200</v>
      </c>
      <c r="B91" s="104">
        <v>7016</v>
      </c>
      <c r="C91" s="43">
        <v>34567.99</v>
      </c>
      <c r="D91" s="14">
        <f>IFERROR(VLOOKUP(A91,Exposição!$A$2:$M$48,13,FALSE),0)</f>
        <v>0</v>
      </c>
      <c r="E91" s="14">
        <f>IFERROR(VLOOKUP(A91,CCEAR_D!$A$2:$J$48,10,FALSE),0)</f>
        <v>0</v>
      </c>
      <c r="F91" s="14">
        <f>IFERROR(VLOOKUP(A91,'RH Cotas'!$A$2:$C$48,2,FALSE),0)+IFERROR(VLOOKUP(A91,'Efeito RH do ACR'!$A$2:$D$48,3,FALSE),0)</f>
        <v>0</v>
      </c>
      <c r="G91" s="14">
        <f>IFERROR(VLOOKUP(A91,'RH Itaipu'!$A$2:$B$48,2,FALSE),0)</f>
        <v>0</v>
      </c>
      <c r="H91" s="14">
        <f>IFERROR(VLOOKUP(A91,ESS_SE!$A$3:$B$51,2,FALSE),0)</f>
        <v>0</v>
      </c>
      <c r="I91" s="14">
        <f>IFERROR(VLOOKUP(A91,'ESS ME'!$A$3:$C$49,3,FALSE),0)</f>
        <v>0</v>
      </c>
      <c r="J91" s="14">
        <f>IFERROR(VLOOKUP(A91,CONER!$A$2:$B$48,2,FALSE),0)</f>
        <v>0</v>
      </c>
      <c r="K91" s="14">
        <f t="shared" si="30"/>
        <v>0</v>
      </c>
      <c r="L91" s="14">
        <f>IFERROR(VLOOKUP($A91,'CustoLiqNaoCobertoMesN-1'!$A$3:$F$101,L$2,FALSE),0)</f>
        <v>-213.75491363354774</v>
      </c>
      <c r="M91" s="14">
        <f>IFERROR(VLOOKUP($A91,'CustoLiqNaoCobertoMesN-1'!$A$3:$F$101,M$2,FALSE),0)</f>
        <v>0</v>
      </c>
      <c r="N91" s="14">
        <f>IFERROR(VLOOKUP($A91,'CustoLiqNaoCobertoMesN-1'!$A$3:$F$101,N$2,FALSE),0)</f>
        <v>0</v>
      </c>
      <c r="O91" s="14">
        <f>IFERROR(VLOOKUP($A91,'CustoLiqNaoCobertoMesN-1'!$A$3:$F$101,O$2,FALSE),0)</f>
        <v>-213.75491363354774</v>
      </c>
      <c r="P91" s="14">
        <f t="shared" si="31"/>
        <v>-213.75491363354774</v>
      </c>
      <c r="Q91" s="14">
        <f t="shared" si="32"/>
        <v>0</v>
      </c>
      <c r="R91" s="14">
        <f t="shared" si="33"/>
        <v>0</v>
      </c>
      <c r="S91" s="14">
        <f t="shared" si="34"/>
        <v>-213.75491363354774</v>
      </c>
      <c r="T91" s="14">
        <f>IFERROR(VLOOKUP(A91,Prêmio!$A$2:$C$48,3,FALSE),0)</f>
        <v>0</v>
      </c>
      <c r="U91" s="14" t="str">
        <f t="shared" si="35"/>
        <v/>
      </c>
      <c r="V91" s="14" t="str">
        <f t="shared" si="36"/>
        <v/>
      </c>
      <c r="W91" s="14">
        <f t="shared" si="37"/>
        <v>-34518.182143931568</v>
      </c>
      <c r="X91" s="14">
        <f t="shared" si="46"/>
        <v>-163.94705756512121</v>
      </c>
      <c r="Y91" s="47">
        <f t="shared" si="38"/>
        <v>-34518.182143931568</v>
      </c>
      <c r="Z91" s="81">
        <f t="shared" si="47"/>
        <v>-49.807856068429828</v>
      </c>
      <c r="AA91" s="81">
        <f t="shared" si="48"/>
        <v>0</v>
      </c>
      <c r="AB91" s="81">
        <f t="shared" si="49"/>
        <v>0</v>
      </c>
      <c r="AC91" s="81">
        <f t="shared" si="50"/>
        <v>0</v>
      </c>
      <c r="AD91" s="81">
        <f t="shared" si="39"/>
        <v>-49.807856068429828</v>
      </c>
      <c r="AE91" s="81">
        <f t="shared" si="40"/>
        <v>0</v>
      </c>
      <c r="AF91" s="81">
        <f t="shared" si="41"/>
        <v>0</v>
      </c>
      <c r="AG91" s="122">
        <f t="shared" si="42"/>
        <v>-163.94705756511792</v>
      </c>
      <c r="AH91" s="122">
        <f t="shared" si="43"/>
        <v>0</v>
      </c>
      <c r="AI91" s="122">
        <f t="shared" si="44"/>
        <v>0</v>
      </c>
      <c r="AO91" s="27">
        <f t="shared" si="45"/>
        <v>49.807856068429828</v>
      </c>
      <c r="AQ91" s="13"/>
      <c r="AR91" s="27"/>
    </row>
    <row r="92" spans="1:44">
      <c r="A92" s="103" t="s">
        <v>201</v>
      </c>
      <c r="B92" s="104">
        <v>2763</v>
      </c>
      <c r="C92" s="43">
        <v>113127.53</v>
      </c>
      <c r="D92" s="14">
        <f>IFERROR(VLOOKUP(A92,Exposição!$A$2:$M$48,13,FALSE),0)</f>
        <v>0</v>
      </c>
      <c r="E92" s="14">
        <f>IFERROR(VLOOKUP(A92,CCEAR_D!$A$2:$J$48,10,FALSE),0)</f>
        <v>0</v>
      </c>
      <c r="F92" s="14">
        <f>IFERROR(VLOOKUP(A92,'RH Cotas'!$A$2:$C$48,2,FALSE),0)+IFERROR(VLOOKUP(A92,'Efeito RH do ACR'!$A$2:$D$48,3,FALSE),0)</f>
        <v>0</v>
      </c>
      <c r="G92" s="14">
        <f>IFERROR(VLOOKUP(A92,'RH Itaipu'!$A$2:$B$48,2,FALSE),0)</f>
        <v>0</v>
      </c>
      <c r="H92" s="14">
        <f>IFERROR(VLOOKUP(A92,ESS_SE!$A$3:$B$51,2,FALSE),0)</f>
        <v>0</v>
      </c>
      <c r="I92" s="14">
        <f>IFERROR(VLOOKUP(A92,'ESS ME'!$A$3:$C$49,3,FALSE),0)</f>
        <v>0</v>
      </c>
      <c r="J92" s="14">
        <f>IFERROR(VLOOKUP(A92,CONER!$A$2:$B$48,2,FALSE),0)</f>
        <v>0</v>
      </c>
      <c r="K92" s="14">
        <f t="shared" si="30"/>
        <v>0</v>
      </c>
      <c r="L92" s="14">
        <f>IFERROR(VLOOKUP($A92,'CustoLiqNaoCobertoMesN-1'!$A$3:$F$101,L$2,FALSE),0)</f>
        <v>-387.83732108819686</v>
      </c>
      <c r="M92" s="14">
        <f>IFERROR(VLOOKUP($A92,'CustoLiqNaoCobertoMesN-1'!$A$3:$F$101,M$2,FALSE),0)</f>
        <v>0</v>
      </c>
      <c r="N92" s="14">
        <f>IFERROR(VLOOKUP($A92,'CustoLiqNaoCobertoMesN-1'!$A$3:$F$101,N$2,FALSE),0)</f>
        <v>0</v>
      </c>
      <c r="O92" s="14">
        <f>IFERROR(VLOOKUP($A92,'CustoLiqNaoCobertoMesN-1'!$A$3:$F$101,O$2,FALSE),0)</f>
        <v>-387.83732108819686</v>
      </c>
      <c r="P92" s="14">
        <f t="shared" si="31"/>
        <v>-387.83732108819686</v>
      </c>
      <c r="Q92" s="14">
        <f t="shared" si="32"/>
        <v>0</v>
      </c>
      <c r="R92" s="14">
        <f t="shared" si="33"/>
        <v>0</v>
      </c>
      <c r="S92" s="14">
        <f t="shared" si="34"/>
        <v>-387.83732108819686</v>
      </c>
      <c r="T92" s="14">
        <f>IFERROR(VLOOKUP(A92,Prêmio!$A$2:$C$48,3,FALSE),0)</f>
        <v>0</v>
      </c>
      <c r="U92" s="14" t="str">
        <f t="shared" si="35"/>
        <v/>
      </c>
      <c r="V92" s="14" t="str">
        <f t="shared" si="36"/>
        <v/>
      </c>
      <c r="W92" s="14">
        <f t="shared" si="37"/>
        <v>-113037.15853139441</v>
      </c>
      <c r="X92" s="14">
        <f t="shared" si="46"/>
        <v>-297.46585248260817</v>
      </c>
      <c r="Y92" s="47">
        <f t="shared" si="38"/>
        <v>-113037.15853139441</v>
      </c>
      <c r="Z92" s="81">
        <f t="shared" si="47"/>
        <v>-90.371468605590053</v>
      </c>
      <c r="AA92" s="81">
        <f t="shared" si="48"/>
        <v>0</v>
      </c>
      <c r="AB92" s="81">
        <f t="shared" si="49"/>
        <v>0</v>
      </c>
      <c r="AC92" s="81">
        <f t="shared" si="50"/>
        <v>0</v>
      </c>
      <c r="AD92" s="81">
        <f t="shared" si="39"/>
        <v>-90.371468605590053</v>
      </c>
      <c r="AE92" s="81">
        <f t="shared" si="40"/>
        <v>0</v>
      </c>
      <c r="AF92" s="81">
        <f t="shared" si="41"/>
        <v>0</v>
      </c>
      <c r="AG92" s="122">
        <f t="shared" si="42"/>
        <v>-297.46585248260681</v>
      </c>
      <c r="AH92" s="122">
        <f t="shared" si="43"/>
        <v>0</v>
      </c>
      <c r="AI92" s="122">
        <f t="shared" si="44"/>
        <v>0</v>
      </c>
      <c r="AO92" s="27">
        <f t="shared" si="45"/>
        <v>90.371468605590053</v>
      </c>
      <c r="AQ92" s="13"/>
      <c r="AR92" s="27"/>
    </row>
    <row r="93" spans="1:44">
      <c r="A93" s="103" t="s">
        <v>202</v>
      </c>
      <c r="B93" s="104">
        <v>2381</v>
      </c>
      <c r="C93" s="43">
        <v>94898.59</v>
      </c>
      <c r="D93" s="14">
        <f>IFERROR(VLOOKUP(A93,Exposição!$A$2:$M$48,13,FALSE),0)</f>
        <v>0</v>
      </c>
      <c r="E93" s="14">
        <f>IFERROR(VLOOKUP(A93,CCEAR_D!$A$2:$J$48,10,FALSE),0)</f>
        <v>0</v>
      </c>
      <c r="F93" s="14">
        <f>IFERROR(VLOOKUP(A93,'RH Cotas'!$A$2:$C$48,2,FALSE),0)+IFERROR(VLOOKUP(A93,'Efeito RH do ACR'!$A$2:$D$48,3,FALSE),0)</f>
        <v>0</v>
      </c>
      <c r="G93" s="14">
        <f>IFERROR(VLOOKUP(A93,'RH Itaipu'!$A$2:$B$48,2,FALSE),0)</f>
        <v>0</v>
      </c>
      <c r="H93" s="14">
        <f>IFERROR(VLOOKUP(A93,ESS_SE!$A$3:$B$51,2,FALSE),0)</f>
        <v>0</v>
      </c>
      <c r="I93" s="14">
        <f>IFERROR(VLOOKUP(A93,'ESS ME'!$A$3:$C$49,3,FALSE),0)</f>
        <v>0</v>
      </c>
      <c r="J93" s="14">
        <f>IFERROR(VLOOKUP(A93,CONER!$A$2:$B$48,2,FALSE),0)</f>
        <v>0</v>
      </c>
      <c r="K93" s="14">
        <f t="shared" si="30"/>
        <v>0</v>
      </c>
      <c r="L93" s="14">
        <f>IFERROR(VLOOKUP($A93,'CustoLiqNaoCobertoMesN-1'!$A$3:$F$101,L$2,FALSE),0)</f>
        <v>-346.84474419968086</v>
      </c>
      <c r="M93" s="14">
        <f>IFERROR(VLOOKUP($A93,'CustoLiqNaoCobertoMesN-1'!$A$3:$F$101,M$2,FALSE),0)</f>
        <v>0</v>
      </c>
      <c r="N93" s="14">
        <f>IFERROR(VLOOKUP($A93,'CustoLiqNaoCobertoMesN-1'!$A$3:$F$101,N$2,FALSE),0)</f>
        <v>0</v>
      </c>
      <c r="O93" s="14">
        <f>IFERROR(VLOOKUP($A93,'CustoLiqNaoCobertoMesN-1'!$A$3:$F$101,O$2,FALSE),0)</f>
        <v>-346.84474419968086</v>
      </c>
      <c r="P93" s="14">
        <f t="shared" si="31"/>
        <v>-346.84474419968086</v>
      </c>
      <c r="Q93" s="14">
        <f t="shared" si="32"/>
        <v>0</v>
      </c>
      <c r="R93" s="14">
        <f t="shared" si="33"/>
        <v>0</v>
      </c>
      <c r="S93" s="14">
        <f t="shared" si="34"/>
        <v>-346.84474419968086</v>
      </c>
      <c r="T93" s="14">
        <f>IFERROR(VLOOKUP(A93,Prêmio!$A$2:$C$48,3,FALSE),0)</f>
        <v>0</v>
      </c>
      <c r="U93" s="14" t="str">
        <f t="shared" si="35"/>
        <v/>
      </c>
      <c r="V93" s="14" t="str">
        <f t="shared" si="36"/>
        <v/>
      </c>
      <c r="W93" s="14">
        <f t="shared" si="37"/>
        <v>-94817.770369688224</v>
      </c>
      <c r="X93" s="14">
        <f t="shared" si="46"/>
        <v>-266.02511388791027</v>
      </c>
      <c r="Y93" s="47">
        <f t="shared" si="38"/>
        <v>-94817.770369688224</v>
      </c>
      <c r="Z93" s="81">
        <f t="shared" si="47"/>
        <v>-80.819630311772926</v>
      </c>
      <c r="AA93" s="81">
        <f t="shared" si="48"/>
        <v>0</v>
      </c>
      <c r="AB93" s="81">
        <f t="shared" si="49"/>
        <v>0</v>
      </c>
      <c r="AC93" s="81">
        <f t="shared" si="50"/>
        <v>0</v>
      </c>
      <c r="AD93" s="81">
        <f t="shared" si="39"/>
        <v>-80.819630311772926</v>
      </c>
      <c r="AE93" s="81">
        <f t="shared" si="40"/>
        <v>0</v>
      </c>
      <c r="AF93" s="81">
        <f t="shared" si="41"/>
        <v>0</v>
      </c>
      <c r="AG93" s="122">
        <f t="shared" si="42"/>
        <v>-266.02511388790793</v>
      </c>
      <c r="AH93" s="122">
        <f t="shared" si="43"/>
        <v>0</v>
      </c>
      <c r="AI93" s="122">
        <f t="shared" si="44"/>
        <v>0</v>
      </c>
      <c r="AO93" s="27">
        <f t="shared" si="45"/>
        <v>80.819630311772926</v>
      </c>
      <c r="AQ93" s="13"/>
      <c r="AR93" s="27"/>
    </row>
    <row r="94" spans="1:44">
      <c r="A94" s="103" t="s">
        <v>203</v>
      </c>
      <c r="B94" s="104">
        <v>3223</v>
      </c>
      <c r="C94" s="43">
        <v>99387.44</v>
      </c>
      <c r="D94" s="14">
        <f>IFERROR(VLOOKUP(A94,Exposição!$A$2:$M$48,13,FALSE),0)</f>
        <v>0</v>
      </c>
      <c r="E94" s="14">
        <f>IFERROR(VLOOKUP(A94,CCEAR_D!$A$2:$J$48,10,FALSE),0)</f>
        <v>0</v>
      </c>
      <c r="F94" s="14">
        <f>IFERROR(VLOOKUP(A94,'RH Cotas'!$A$2:$C$48,2,FALSE),0)+IFERROR(VLOOKUP(A94,'Efeito RH do ACR'!$A$2:$D$48,3,FALSE),0)</f>
        <v>0</v>
      </c>
      <c r="G94" s="14">
        <f>IFERROR(VLOOKUP(A94,'RH Itaipu'!$A$2:$B$48,2,FALSE),0)</f>
        <v>0</v>
      </c>
      <c r="H94" s="14">
        <f>IFERROR(VLOOKUP(A94,ESS_SE!$A$3:$B$51,2,FALSE),0)</f>
        <v>0</v>
      </c>
      <c r="I94" s="14">
        <f>IFERROR(VLOOKUP(A94,'ESS ME'!$A$3:$C$49,3,FALSE),0)</f>
        <v>0</v>
      </c>
      <c r="J94" s="14">
        <f>IFERROR(VLOOKUP(A94,CONER!$A$2:$B$48,2,FALSE),0)</f>
        <v>0</v>
      </c>
      <c r="K94" s="14">
        <f t="shared" si="30"/>
        <v>0</v>
      </c>
      <c r="L94" s="14">
        <f>IFERROR(VLOOKUP($A94,'CustoLiqNaoCobertoMesN-1'!$A$3:$F$101,L$2,FALSE),0)</f>
        <v>2611915.7526631434</v>
      </c>
      <c r="M94" s="14">
        <f>IFERROR(VLOOKUP($A94,'CustoLiqNaoCobertoMesN-1'!$A$3:$F$101,M$2,FALSE),0)</f>
        <v>0</v>
      </c>
      <c r="N94" s="14">
        <f>IFERROR(VLOOKUP($A94,'CustoLiqNaoCobertoMesN-1'!$A$3:$F$101,N$2,FALSE),0)</f>
        <v>0</v>
      </c>
      <c r="O94" s="14">
        <f>IFERROR(VLOOKUP($A94,'CustoLiqNaoCobertoMesN-1'!$A$3:$F$101,O$2,FALSE),0)</f>
        <v>2611915.7526631434</v>
      </c>
      <c r="P94" s="14">
        <f t="shared" si="31"/>
        <v>2611915.7526631434</v>
      </c>
      <c r="Q94" s="14">
        <f t="shared" si="32"/>
        <v>0</v>
      </c>
      <c r="R94" s="14">
        <f t="shared" si="33"/>
        <v>0</v>
      </c>
      <c r="S94" s="14">
        <f t="shared" si="34"/>
        <v>2611915.7526631434</v>
      </c>
      <c r="T94" s="14">
        <f>IFERROR(VLOOKUP(A94,Prêmio!$A$2:$C$48,3,FALSE),0)</f>
        <v>0</v>
      </c>
      <c r="U94" s="14" t="str">
        <f t="shared" si="35"/>
        <v/>
      </c>
      <c r="V94" s="14" t="str">
        <f t="shared" si="36"/>
        <v/>
      </c>
      <c r="W94" s="14">
        <f t="shared" si="37"/>
        <v>-99387.44</v>
      </c>
      <c r="X94" s="14">
        <f t="shared" si="46"/>
        <v>2611915.7526631434</v>
      </c>
      <c r="Y94" s="47">
        <f t="shared" si="38"/>
        <v>-99387.44</v>
      </c>
      <c r="Z94" s="81">
        <f t="shared" si="47"/>
        <v>0</v>
      </c>
      <c r="AA94" s="81">
        <f t="shared" si="48"/>
        <v>0</v>
      </c>
      <c r="AB94" s="81">
        <f t="shared" si="49"/>
        <v>0</v>
      </c>
      <c r="AC94" s="81">
        <f t="shared" si="50"/>
        <v>0</v>
      </c>
      <c r="AD94" s="81">
        <f t="shared" si="39"/>
        <v>0</v>
      </c>
      <c r="AE94" s="81">
        <f t="shared" si="40"/>
        <v>0</v>
      </c>
      <c r="AF94" s="81">
        <f t="shared" si="41"/>
        <v>0</v>
      </c>
      <c r="AG94" s="122">
        <f t="shared" si="42"/>
        <v>2611915.7526631434</v>
      </c>
      <c r="AH94" s="122">
        <f t="shared" si="43"/>
        <v>0</v>
      </c>
      <c r="AI94" s="122">
        <f t="shared" si="44"/>
        <v>0</v>
      </c>
      <c r="AO94" s="27">
        <f t="shared" si="45"/>
        <v>0</v>
      </c>
      <c r="AQ94" s="13"/>
      <c r="AR94" s="27"/>
    </row>
    <row r="95" spans="1:44">
      <c r="A95" s="103" t="s">
        <v>204</v>
      </c>
      <c r="B95" s="104">
        <v>7371</v>
      </c>
      <c r="C95" s="43">
        <v>439863.8899999999</v>
      </c>
      <c r="D95" s="14">
        <f>IFERROR(VLOOKUP(A95,Exposição!$A$2:$M$48,13,FALSE),0)</f>
        <v>0</v>
      </c>
      <c r="E95" s="14">
        <f>IFERROR(VLOOKUP(A95,CCEAR_D!$A$2:$J$48,10,FALSE),0)</f>
        <v>0</v>
      </c>
      <c r="F95" s="14">
        <f>IFERROR(VLOOKUP(A95,'RH Cotas'!$A$2:$C$48,2,FALSE),0)+IFERROR(VLOOKUP(A95,'Efeito RH do ACR'!$A$2:$D$48,3,FALSE),0)</f>
        <v>0</v>
      </c>
      <c r="G95" s="14">
        <f>IFERROR(VLOOKUP(A95,'RH Itaipu'!$A$2:$B$48,2,FALSE),0)</f>
        <v>0</v>
      </c>
      <c r="H95" s="14">
        <f>IFERROR(VLOOKUP(A95,ESS_SE!$A$3:$B$51,2,FALSE),0)</f>
        <v>0</v>
      </c>
      <c r="I95" s="14">
        <f>IFERROR(VLOOKUP(A95,'ESS ME'!$A$3:$C$49,3,FALSE),0)</f>
        <v>0</v>
      </c>
      <c r="J95" s="14">
        <f>IFERROR(VLOOKUP(A95,CONER!$A$2:$B$48,2,FALSE),0)</f>
        <v>0</v>
      </c>
      <c r="K95" s="14">
        <f t="shared" si="30"/>
        <v>0</v>
      </c>
      <c r="L95" s="14">
        <f>IFERROR(VLOOKUP($A95,'CustoLiqNaoCobertoMesN-1'!$A$3:$F$101,L$2,FALSE),0)</f>
        <v>-1966.7620712397597</v>
      </c>
      <c r="M95" s="14">
        <f>IFERROR(VLOOKUP($A95,'CustoLiqNaoCobertoMesN-1'!$A$3:$F$101,M$2,FALSE),0)</f>
        <v>0</v>
      </c>
      <c r="N95" s="14">
        <f>IFERROR(VLOOKUP($A95,'CustoLiqNaoCobertoMesN-1'!$A$3:$F$101,N$2,FALSE),0)</f>
        <v>0</v>
      </c>
      <c r="O95" s="14">
        <f>IFERROR(VLOOKUP($A95,'CustoLiqNaoCobertoMesN-1'!$A$3:$F$101,O$2,FALSE),0)</f>
        <v>-1966.7620712397597</v>
      </c>
      <c r="P95" s="14">
        <f t="shared" si="31"/>
        <v>-1966.7620712397597</v>
      </c>
      <c r="Q95" s="14">
        <f t="shared" si="32"/>
        <v>0</v>
      </c>
      <c r="R95" s="14">
        <f t="shared" si="33"/>
        <v>0</v>
      </c>
      <c r="S95" s="14">
        <f t="shared" si="34"/>
        <v>-1966.7620712397597</v>
      </c>
      <c r="T95" s="14">
        <f>IFERROR(VLOOKUP(A95,Prêmio!$A$2:$C$48,3,FALSE),0)</f>
        <v>0</v>
      </c>
      <c r="U95" s="14" t="str">
        <f t="shared" si="35"/>
        <v/>
      </c>
      <c r="V95" s="14" t="str">
        <f t="shared" si="36"/>
        <v/>
      </c>
      <c r="W95" s="14">
        <f t="shared" si="37"/>
        <v>-439405.60719143209</v>
      </c>
      <c r="X95" s="14">
        <f t="shared" si="46"/>
        <v>-1508.4792626719573</v>
      </c>
      <c r="Y95" s="47">
        <f t="shared" si="38"/>
        <v>-439405.60719143209</v>
      </c>
      <c r="Z95" s="81">
        <f t="shared" si="47"/>
        <v>-458.28280856780475</v>
      </c>
      <c r="AA95" s="81">
        <f t="shared" si="48"/>
        <v>0</v>
      </c>
      <c r="AB95" s="81">
        <f t="shared" si="49"/>
        <v>0</v>
      </c>
      <c r="AC95" s="81">
        <f t="shared" si="50"/>
        <v>0</v>
      </c>
      <c r="AD95" s="81">
        <f t="shared" si="39"/>
        <v>-458.28280856780475</v>
      </c>
      <c r="AE95" s="81">
        <f t="shared" si="40"/>
        <v>0</v>
      </c>
      <c r="AF95" s="81">
        <f t="shared" si="41"/>
        <v>0</v>
      </c>
      <c r="AG95" s="122">
        <f t="shared" si="42"/>
        <v>-1508.479262671955</v>
      </c>
      <c r="AH95" s="122">
        <f t="shared" si="43"/>
        <v>0</v>
      </c>
      <c r="AI95" s="122">
        <f t="shared" si="44"/>
        <v>0</v>
      </c>
      <c r="AO95" s="27">
        <f t="shared" si="45"/>
        <v>458.28280856780475</v>
      </c>
      <c r="AQ95" s="13"/>
      <c r="AR95" s="27"/>
    </row>
    <row r="96" spans="1:44">
      <c r="A96" s="103" t="s">
        <v>205</v>
      </c>
      <c r="B96" s="104">
        <v>3627</v>
      </c>
      <c r="C96" s="43">
        <v>47714.689999999995</v>
      </c>
      <c r="D96" s="14">
        <f>IFERROR(VLOOKUP(A96,Exposição!$A$2:$M$48,13,FALSE),0)</f>
        <v>0</v>
      </c>
      <c r="E96" s="14">
        <f>IFERROR(VLOOKUP(A96,CCEAR_D!$A$2:$J$48,10,FALSE),0)</f>
        <v>0</v>
      </c>
      <c r="F96" s="14">
        <f>IFERROR(VLOOKUP(A96,'RH Cotas'!$A$2:$C$48,2,FALSE),0)+IFERROR(VLOOKUP(A96,'Efeito RH do ACR'!$A$2:$D$48,3,FALSE),0)</f>
        <v>0</v>
      </c>
      <c r="G96" s="14">
        <f>IFERROR(VLOOKUP(A96,'RH Itaipu'!$A$2:$B$48,2,FALSE),0)</f>
        <v>0</v>
      </c>
      <c r="H96" s="14">
        <f>IFERROR(VLOOKUP(A96,ESS_SE!$A$3:$B$51,2,FALSE),0)</f>
        <v>0</v>
      </c>
      <c r="I96" s="14">
        <f>IFERROR(VLOOKUP(A96,'ESS ME'!$A$3:$C$49,3,FALSE),0)</f>
        <v>0</v>
      </c>
      <c r="J96" s="14">
        <f>IFERROR(VLOOKUP(A96,CONER!$A$2:$B$48,2,FALSE),0)</f>
        <v>0</v>
      </c>
      <c r="K96" s="14">
        <f t="shared" si="30"/>
        <v>0</v>
      </c>
      <c r="L96" s="14">
        <f>IFERROR(VLOOKUP($A96,'CustoLiqNaoCobertoMesN-1'!$A$3:$F$101,L$2,FALSE),0)</f>
        <v>39480.935967824633</v>
      </c>
      <c r="M96" s="14">
        <f>IFERROR(VLOOKUP($A96,'CustoLiqNaoCobertoMesN-1'!$A$3:$F$101,M$2,FALSE),0)</f>
        <v>0</v>
      </c>
      <c r="N96" s="14">
        <f>IFERROR(VLOOKUP($A96,'CustoLiqNaoCobertoMesN-1'!$A$3:$F$101,N$2,FALSE),0)</f>
        <v>0</v>
      </c>
      <c r="O96" s="14">
        <f>IFERROR(VLOOKUP($A96,'CustoLiqNaoCobertoMesN-1'!$A$3:$F$101,O$2,FALSE),0)</f>
        <v>39480.935967824633</v>
      </c>
      <c r="P96" s="14">
        <f t="shared" si="31"/>
        <v>39480.935967824633</v>
      </c>
      <c r="Q96" s="14">
        <f t="shared" si="32"/>
        <v>0</v>
      </c>
      <c r="R96" s="14">
        <f t="shared" si="33"/>
        <v>0</v>
      </c>
      <c r="S96" s="14">
        <f t="shared" si="34"/>
        <v>39480.935967824633</v>
      </c>
      <c r="T96" s="14">
        <f>IFERROR(VLOOKUP(A96,Prêmio!$A$2:$C$48,3,FALSE),0)</f>
        <v>0</v>
      </c>
      <c r="U96" s="14" t="str">
        <f t="shared" si="35"/>
        <v/>
      </c>
      <c r="V96" s="14" t="str">
        <f t="shared" si="36"/>
        <v/>
      </c>
      <c r="W96" s="14">
        <f t="shared" si="37"/>
        <v>-47714.689999999995</v>
      </c>
      <c r="X96" s="14">
        <f t="shared" si="46"/>
        <v>39480.935967824633</v>
      </c>
      <c r="Y96" s="47">
        <f t="shared" si="38"/>
        <v>-47714.689999999995</v>
      </c>
      <c r="Z96" s="81">
        <f t="shared" si="47"/>
        <v>0</v>
      </c>
      <c r="AA96" s="81">
        <f t="shared" si="48"/>
        <v>0</v>
      </c>
      <c r="AB96" s="81">
        <f t="shared" si="49"/>
        <v>0</v>
      </c>
      <c r="AC96" s="81">
        <f t="shared" si="50"/>
        <v>0</v>
      </c>
      <c r="AD96" s="81">
        <f t="shared" si="39"/>
        <v>0</v>
      </c>
      <c r="AE96" s="81">
        <f t="shared" si="40"/>
        <v>0</v>
      </c>
      <c r="AF96" s="81">
        <f t="shared" si="41"/>
        <v>0</v>
      </c>
      <c r="AG96" s="122">
        <f t="shared" si="42"/>
        <v>39480.935967824633</v>
      </c>
      <c r="AH96" s="122">
        <f t="shared" si="43"/>
        <v>0</v>
      </c>
      <c r="AI96" s="122">
        <f t="shared" si="44"/>
        <v>0</v>
      </c>
      <c r="AO96" s="27">
        <f t="shared" si="45"/>
        <v>0</v>
      </c>
      <c r="AQ96" s="13"/>
      <c r="AR96" s="27"/>
    </row>
    <row r="97" spans="1:44">
      <c r="A97" s="103" t="s">
        <v>206</v>
      </c>
      <c r="B97" s="104">
        <v>2351</v>
      </c>
      <c r="C97" s="43">
        <v>112882.44</v>
      </c>
      <c r="D97" s="14">
        <f>IFERROR(VLOOKUP(A97,Exposição!$A$2:$M$48,13,FALSE),0)</f>
        <v>0</v>
      </c>
      <c r="E97" s="14">
        <f>IFERROR(VLOOKUP(A97,CCEAR_D!$A$2:$J$48,10,FALSE),0)</f>
        <v>0</v>
      </c>
      <c r="F97" s="14">
        <f>IFERROR(VLOOKUP(A97,'RH Cotas'!$A$2:$C$48,2,FALSE),0)+IFERROR(VLOOKUP(A97,'Efeito RH do ACR'!$A$2:$D$48,3,FALSE),0)</f>
        <v>0</v>
      </c>
      <c r="G97" s="14">
        <f>IFERROR(VLOOKUP(A97,'RH Itaipu'!$A$2:$B$48,2,FALSE),0)</f>
        <v>0</v>
      </c>
      <c r="H97" s="14">
        <f>IFERROR(VLOOKUP(A97,ESS_SE!$A$3:$B$51,2,FALSE),0)</f>
        <v>0</v>
      </c>
      <c r="I97" s="14">
        <f>IFERROR(VLOOKUP(A97,'ESS ME'!$A$3:$C$49,3,FALSE),0)</f>
        <v>0</v>
      </c>
      <c r="J97" s="14">
        <f>IFERROR(VLOOKUP(A97,CONER!$A$2:$B$48,2,FALSE),0)</f>
        <v>0</v>
      </c>
      <c r="K97" s="14">
        <f t="shared" si="30"/>
        <v>0</v>
      </c>
      <c r="L97" s="14">
        <f>IFERROR(VLOOKUP($A97,'CustoLiqNaoCobertoMesN-1'!$A$3:$F$101,L$2,FALSE),0)</f>
        <v>-1105.562140297227</v>
      </c>
      <c r="M97" s="14">
        <f>IFERROR(VLOOKUP($A97,'CustoLiqNaoCobertoMesN-1'!$A$3:$F$101,M$2,FALSE),0)</f>
        <v>0</v>
      </c>
      <c r="N97" s="14">
        <f>IFERROR(VLOOKUP($A97,'CustoLiqNaoCobertoMesN-1'!$A$3:$F$101,N$2,FALSE),0)</f>
        <v>0</v>
      </c>
      <c r="O97" s="14">
        <f>IFERROR(VLOOKUP($A97,'CustoLiqNaoCobertoMesN-1'!$A$3:$F$101,O$2,FALSE),0)</f>
        <v>-1105.562140297227</v>
      </c>
      <c r="P97" s="14">
        <f t="shared" si="31"/>
        <v>-1105.562140297227</v>
      </c>
      <c r="Q97" s="14">
        <f t="shared" si="32"/>
        <v>0</v>
      </c>
      <c r="R97" s="14">
        <f t="shared" si="33"/>
        <v>0</v>
      </c>
      <c r="S97" s="14">
        <f t="shared" si="34"/>
        <v>-1105.562140297227</v>
      </c>
      <c r="T97" s="14">
        <f>IFERROR(VLOOKUP(A97,Prêmio!$A$2:$C$48,3,FALSE),0)</f>
        <v>0</v>
      </c>
      <c r="U97" s="14" t="str">
        <f t="shared" si="35"/>
        <v/>
      </c>
      <c r="V97" s="14" t="str">
        <f t="shared" si="36"/>
        <v/>
      </c>
      <c r="W97" s="14">
        <f t="shared" si="37"/>
        <v>-112624.82870572571</v>
      </c>
      <c r="X97" s="14">
        <f t="shared" si="46"/>
        <v>-847.95084602294082</v>
      </c>
      <c r="Y97" s="47">
        <f t="shared" si="38"/>
        <v>-112624.82870572571</v>
      </c>
      <c r="Z97" s="81">
        <f t="shared" si="47"/>
        <v>-257.61129427429114</v>
      </c>
      <c r="AA97" s="81">
        <f t="shared" si="48"/>
        <v>0</v>
      </c>
      <c r="AB97" s="81">
        <f t="shared" si="49"/>
        <v>0</v>
      </c>
      <c r="AC97" s="81">
        <f t="shared" si="50"/>
        <v>0</v>
      </c>
      <c r="AD97" s="81">
        <f t="shared" si="39"/>
        <v>-257.61129427429114</v>
      </c>
      <c r="AE97" s="81">
        <f t="shared" si="40"/>
        <v>0</v>
      </c>
      <c r="AF97" s="81">
        <f t="shared" si="41"/>
        <v>0</v>
      </c>
      <c r="AG97" s="122">
        <f t="shared" si="42"/>
        <v>-847.95084602293582</v>
      </c>
      <c r="AH97" s="122">
        <f t="shared" si="43"/>
        <v>0</v>
      </c>
      <c r="AI97" s="122">
        <f t="shared" si="44"/>
        <v>0</v>
      </c>
      <c r="AO97" s="27">
        <f t="shared" si="45"/>
        <v>257.61129427429114</v>
      </c>
      <c r="AQ97" s="13"/>
      <c r="AR97" s="27"/>
    </row>
    <row r="98" spans="1:44">
      <c r="A98" s="103" t="s">
        <v>207</v>
      </c>
      <c r="B98" s="104">
        <v>598</v>
      </c>
      <c r="C98" s="43">
        <v>69873.12000000001</v>
      </c>
      <c r="D98" s="14">
        <f>IFERROR(VLOOKUP(A98,Exposição!$A$2:$M$48,13,FALSE),0)</f>
        <v>0</v>
      </c>
      <c r="E98" s="14">
        <f>IFERROR(VLOOKUP(A98,CCEAR_D!$A$2:$J$48,10,FALSE),0)</f>
        <v>0</v>
      </c>
      <c r="F98" s="14">
        <f>IFERROR(VLOOKUP(A98,'RH Cotas'!$A$2:$C$48,2,FALSE),0)+IFERROR(VLOOKUP(A98,'Efeito RH do ACR'!$A$2:$D$48,3,FALSE),0)</f>
        <v>0</v>
      </c>
      <c r="G98" s="14">
        <f>IFERROR(VLOOKUP(A98,'RH Itaipu'!$A$2:$B$48,2,FALSE),0)</f>
        <v>0</v>
      </c>
      <c r="H98" s="14">
        <f>IFERROR(VLOOKUP(A98,ESS_SE!$A$3:$B$51,2,FALSE),0)</f>
        <v>0</v>
      </c>
      <c r="I98" s="14">
        <f>IFERROR(VLOOKUP(A98,'ESS ME'!$A$3:$C$49,3,FALSE),0)</f>
        <v>0</v>
      </c>
      <c r="J98" s="14">
        <f>IFERROR(VLOOKUP(A98,CONER!$A$2:$B$48,2,FALSE),0)</f>
        <v>0</v>
      </c>
      <c r="K98" s="14">
        <f t="shared" si="30"/>
        <v>0</v>
      </c>
      <c r="L98" s="14">
        <f>IFERROR(VLOOKUP($A98,'CustoLiqNaoCobertoMesN-1'!$A$3:$F$101,L$2,FALSE),0)</f>
        <v>70008.138423369557</v>
      </c>
      <c r="M98" s="14">
        <f>IFERROR(VLOOKUP($A98,'CustoLiqNaoCobertoMesN-1'!$A$3:$F$101,M$2,FALSE),0)</f>
        <v>0</v>
      </c>
      <c r="N98" s="14">
        <f>IFERROR(VLOOKUP($A98,'CustoLiqNaoCobertoMesN-1'!$A$3:$F$101,N$2,FALSE),0)</f>
        <v>0</v>
      </c>
      <c r="O98" s="14">
        <f>IFERROR(VLOOKUP($A98,'CustoLiqNaoCobertoMesN-1'!$A$3:$F$101,O$2,FALSE),0)</f>
        <v>70008.138423369557</v>
      </c>
      <c r="P98" s="14">
        <f t="shared" si="31"/>
        <v>70008.138423369557</v>
      </c>
      <c r="Q98" s="14">
        <f t="shared" si="32"/>
        <v>0</v>
      </c>
      <c r="R98" s="14">
        <f t="shared" si="33"/>
        <v>0</v>
      </c>
      <c r="S98" s="14">
        <f t="shared" si="34"/>
        <v>70008.138423369557</v>
      </c>
      <c r="T98" s="14">
        <f>IFERROR(VLOOKUP(A98,Prêmio!$A$2:$C$48,3,FALSE),0)</f>
        <v>0</v>
      </c>
      <c r="U98" s="14" t="str">
        <f t="shared" si="35"/>
        <v/>
      </c>
      <c r="V98" s="14" t="str">
        <f t="shared" si="36"/>
        <v/>
      </c>
      <c r="W98" s="14">
        <f t="shared" si="37"/>
        <v>-69873.12000000001</v>
      </c>
      <c r="X98" s="14">
        <f t="shared" si="46"/>
        <v>70008.138423369557</v>
      </c>
      <c r="Y98" s="47">
        <f t="shared" si="38"/>
        <v>-69873.12000000001</v>
      </c>
      <c r="Z98" s="81">
        <f t="shared" si="47"/>
        <v>0</v>
      </c>
      <c r="AA98" s="81">
        <f t="shared" si="48"/>
        <v>0</v>
      </c>
      <c r="AB98" s="81">
        <f t="shared" si="49"/>
        <v>0</v>
      </c>
      <c r="AC98" s="81">
        <f t="shared" si="50"/>
        <v>0</v>
      </c>
      <c r="AD98" s="81">
        <f t="shared" si="39"/>
        <v>0</v>
      </c>
      <c r="AE98" s="81">
        <f t="shared" si="40"/>
        <v>0</v>
      </c>
      <c r="AF98" s="81">
        <f t="shared" si="41"/>
        <v>0</v>
      </c>
      <c r="AG98" s="122">
        <f t="shared" si="42"/>
        <v>70008.138423369557</v>
      </c>
      <c r="AH98" s="122">
        <f t="shared" si="43"/>
        <v>0</v>
      </c>
      <c r="AI98" s="122">
        <f t="shared" si="44"/>
        <v>0</v>
      </c>
      <c r="AO98" s="27">
        <f t="shared" si="45"/>
        <v>0</v>
      </c>
      <c r="AQ98" s="13"/>
      <c r="AR98" s="27"/>
    </row>
    <row r="99" spans="1:44">
      <c r="A99" s="103" t="s">
        <v>208</v>
      </c>
      <c r="B99" s="104">
        <v>2783</v>
      </c>
      <c r="C99" s="43">
        <v>67347.040000000008</v>
      </c>
      <c r="D99" s="14">
        <f>IFERROR(VLOOKUP(A99,Exposição!$A$2:$M$48,13,FALSE),0)</f>
        <v>0</v>
      </c>
      <c r="E99" s="14">
        <f>IFERROR(VLOOKUP(A99,CCEAR_D!$A$2:$J$48,10,FALSE),0)</f>
        <v>0</v>
      </c>
      <c r="F99" s="14">
        <f>IFERROR(VLOOKUP(A99,'RH Cotas'!$A$2:$C$48,2,FALSE),0)+IFERROR(VLOOKUP(A99,'Efeito RH do ACR'!$A$2:$D$48,3,FALSE),0)</f>
        <v>0</v>
      </c>
      <c r="G99" s="14">
        <f>IFERROR(VLOOKUP(A99,'RH Itaipu'!$A$2:$B$48,2,FALSE),0)</f>
        <v>0</v>
      </c>
      <c r="H99" s="14">
        <f>IFERROR(VLOOKUP(A99,ESS_SE!$A$3:$B$51,2,FALSE),0)</f>
        <v>0</v>
      </c>
      <c r="I99" s="14">
        <f>IFERROR(VLOOKUP(A99,'ESS ME'!$A$3:$C$49,3,FALSE),0)</f>
        <v>0</v>
      </c>
      <c r="J99" s="14">
        <f>IFERROR(VLOOKUP(A99,CONER!$A$2:$B$48,2,FALSE),0)</f>
        <v>0</v>
      </c>
      <c r="K99" s="14">
        <f t="shared" si="30"/>
        <v>0</v>
      </c>
      <c r="L99" s="14">
        <f>IFERROR(VLOOKUP($A99,'CustoLiqNaoCobertoMesN-1'!$A$3:$F$101,L$2,FALSE),0)</f>
        <v>25089.200741108089</v>
      </c>
      <c r="M99" s="14">
        <f>IFERROR(VLOOKUP($A99,'CustoLiqNaoCobertoMesN-1'!$A$3:$F$101,M$2,FALSE),0)</f>
        <v>0</v>
      </c>
      <c r="N99" s="14">
        <f>IFERROR(VLOOKUP($A99,'CustoLiqNaoCobertoMesN-1'!$A$3:$F$101,N$2,FALSE),0)</f>
        <v>0</v>
      </c>
      <c r="O99" s="14">
        <f>IFERROR(VLOOKUP($A99,'CustoLiqNaoCobertoMesN-1'!$A$3:$F$101,O$2,FALSE),0)</f>
        <v>25089.200741108089</v>
      </c>
      <c r="P99" s="14">
        <f t="shared" si="31"/>
        <v>25089.200741108089</v>
      </c>
      <c r="Q99" s="14">
        <f t="shared" si="32"/>
        <v>0</v>
      </c>
      <c r="R99" s="14">
        <f t="shared" si="33"/>
        <v>0</v>
      </c>
      <c r="S99" s="14">
        <f t="shared" si="34"/>
        <v>25089.200741108089</v>
      </c>
      <c r="T99" s="14">
        <f>IFERROR(VLOOKUP(A99,Prêmio!$A$2:$C$48,3,FALSE),0)</f>
        <v>0</v>
      </c>
      <c r="U99" s="14" t="str">
        <f t="shared" si="35"/>
        <v/>
      </c>
      <c r="V99" s="14" t="str">
        <f t="shared" si="36"/>
        <v/>
      </c>
      <c r="W99" s="14">
        <f t="shared" si="37"/>
        <v>-67347.040000000008</v>
      </c>
      <c r="X99" s="14">
        <f t="shared" si="46"/>
        <v>25089.200741108085</v>
      </c>
      <c r="Y99" s="47">
        <f t="shared" si="38"/>
        <v>-67347.040000000008</v>
      </c>
      <c r="Z99" s="81">
        <f t="shared" si="47"/>
        <v>0</v>
      </c>
      <c r="AA99" s="81">
        <f t="shared" si="48"/>
        <v>0</v>
      </c>
      <c r="AB99" s="81">
        <f t="shared" si="49"/>
        <v>0</v>
      </c>
      <c r="AC99" s="81">
        <f t="shared" si="50"/>
        <v>0</v>
      </c>
      <c r="AD99" s="81">
        <f t="shared" si="39"/>
        <v>0</v>
      </c>
      <c r="AE99" s="81">
        <f t="shared" si="40"/>
        <v>0</v>
      </c>
      <c r="AF99" s="81">
        <f t="shared" si="41"/>
        <v>0</v>
      </c>
      <c r="AG99" s="122">
        <f t="shared" si="42"/>
        <v>25089.200741108089</v>
      </c>
      <c r="AH99" s="122">
        <f t="shared" si="43"/>
        <v>0</v>
      </c>
      <c r="AI99" s="122">
        <f t="shared" si="44"/>
        <v>0</v>
      </c>
      <c r="AO99" s="27">
        <f t="shared" si="45"/>
        <v>0</v>
      </c>
      <c r="AQ99" s="13"/>
      <c r="AR99" s="27"/>
    </row>
    <row r="100" spans="1:44">
      <c r="A100" s="103" t="s">
        <v>209</v>
      </c>
      <c r="B100" s="104">
        <v>4248</v>
      </c>
      <c r="C100" s="43">
        <v>46215.109999999993</v>
      </c>
      <c r="D100" s="14">
        <f>IFERROR(VLOOKUP(A100,Exposição!$A$2:$M$48,13,FALSE),0)</f>
        <v>0</v>
      </c>
      <c r="E100" s="14">
        <f>IFERROR(VLOOKUP(A100,CCEAR_D!$A$2:$J$48,10,FALSE),0)</f>
        <v>0</v>
      </c>
      <c r="F100" s="14">
        <f>IFERROR(VLOOKUP(A100,'RH Cotas'!$A$2:$C$48,2,FALSE),0)+IFERROR(VLOOKUP(A100,'Efeito RH do ACR'!$A$2:$D$48,3,FALSE),0)</f>
        <v>0</v>
      </c>
      <c r="G100" s="14">
        <f>IFERROR(VLOOKUP(A100,'RH Itaipu'!$A$2:$B$48,2,FALSE),0)</f>
        <v>0</v>
      </c>
      <c r="H100" s="14">
        <f>IFERROR(VLOOKUP(A100,ESS_SE!$A$3:$B$51,2,FALSE),0)</f>
        <v>0</v>
      </c>
      <c r="I100" s="14">
        <f>IFERROR(VLOOKUP(A100,'ESS ME'!$A$3:$C$49,3,FALSE),0)</f>
        <v>0</v>
      </c>
      <c r="J100" s="14">
        <f>IFERROR(VLOOKUP(A100,CONER!$A$2:$B$48,2,FALSE),0)</f>
        <v>0</v>
      </c>
      <c r="K100" s="14">
        <f t="shared" si="30"/>
        <v>0</v>
      </c>
      <c r="L100" s="14">
        <f>IFERROR(VLOOKUP($A100,'CustoLiqNaoCobertoMesN-1'!$A$3:$F$101,L$2,FALSE),0)</f>
        <v>-70.380557293971108</v>
      </c>
      <c r="M100" s="14">
        <f>IFERROR(VLOOKUP($A100,'CustoLiqNaoCobertoMesN-1'!$A$3:$F$101,M$2,FALSE),0)</f>
        <v>0</v>
      </c>
      <c r="N100" s="14">
        <f>IFERROR(VLOOKUP($A100,'CustoLiqNaoCobertoMesN-1'!$A$3:$F$101,N$2,FALSE),0)</f>
        <v>0</v>
      </c>
      <c r="O100" s="14">
        <f>IFERROR(VLOOKUP($A100,'CustoLiqNaoCobertoMesN-1'!$A$3:$F$101,O$2,FALSE),0)</f>
        <v>-70.380557293971108</v>
      </c>
      <c r="P100" s="14">
        <f t="shared" si="31"/>
        <v>-70.380557293971108</v>
      </c>
      <c r="Q100" s="14">
        <f t="shared" si="32"/>
        <v>0</v>
      </c>
      <c r="R100" s="14">
        <f t="shared" si="33"/>
        <v>0</v>
      </c>
      <c r="S100" s="14">
        <f t="shared" si="34"/>
        <v>-70.380557293971108</v>
      </c>
      <c r="T100" s="14">
        <f>IFERROR(VLOOKUP(A100,Prêmio!$A$2:$C$48,3,FALSE),0)</f>
        <v>0</v>
      </c>
      <c r="U100" s="14" t="str">
        <f t="shared" si="35"/>
        <v/>
      </c>
      <c r="V100" s="14" t="str">
        <f t="shared" si="36"/>
        <v/>
      </c>
      <c r="W100" s="14">
        <f t="shared" si="37"/>
        <v>-46198.710355153824</v>
      </c>
      <c r="X100" s="14">
        <f t="shared" si="46"/>
        <v>-53.980912447805167</v>
      </c>
      <c r="Y100" s="47">
        <f t="shared" si="38"/>
        <v>-46198.710355153824</v>
      </c>
      <c r="Z100" s="81">
        <f t="shared" si="47"/>
        <v>-16.399644846169394</v>
      </c>
      <c r="AA100" s="81">
        <f t="shared" si="48"/>
        <v>0</v>
      </c>
      <c r="AB100" s="81">
        <f t="shared" si="49"/>
        <v>0</v>
      </c>
      <c r="AC100" s="81">
        <f t="shared" si="50"/>
        <v>0</v>
      </c>
      <c r="AD100" s="81">
        <f t="shared" si="39"/>
        <v>-16.399644846169394</v>
      </c>
      <c r="AE100" s="81">
        <f t="shared" si="40"/>
        <v>0</v>
      </c>
      <c r="AF100" s="81">
        <f t="shared" si="41"/>
        <v>0</v>
      </c>
      <c r="AG100" s="122">
        <f t="shared" si="42"/>
        <v>-53.980912447801714</v>
      </c>
      <c r="AH100" s="122">
        <f t="shared" si="43"/>
        <v>0</v>
      </c>
      <c r="AI100" s="122">
        <f t="shared" si="44"/>
        <v>0</v>
      </c>
      <c r="AO100" s="27">
        <f t="shared" si="45"/>
        <v>16.399644846169394</v>
      </c>
      <c r="AQ100" s="13"/>
      <c r="AR100" s="27"/>
    </row>
    <row r="101" spans="1:44">
      <c r="A101" s="103" t="s">
        <v>210</v>
      </c>
      <c r="B101" s="104">
        <v>5274</v>
      </c>
      <c r="C101" s="43">
        <v>29637.680000000004</v>
      </c>
      <c r="D101" s="14">
        <f>IFERROR(VLOOKUP(A101,Exposição!$A$2:$M$48,13,FALSE),0)</f>
        <v>0</v>
      </c>
      <c r="E101" s="14">
        <f>IFERROR(VLOOKUP(A101,CCEAR_D!$A$2:$J$48,10,FALSE),0)</f>
        <v>0</v>
      </c>
      <c r="F101" s="14">
        <f>IFERROR(VLOOKUP(A101,'RH Cotas'!$A$2:$C$48,2,FALSE),0)+IFERROR(VLOOKUP(A101,'Efeito RH do ACR'!$A$2:$D$48,3,FALSE),0)</f>
        <v>0</v>
      </c>
      <c r="G101" s="14">
        <f>IFERROR(VLOOKUP(A101,'RH Itaipu'!$A$2:$B$48,2,FALSE),0)</f>
        <v>0</v>
      </c>
      <c r="H101" s="14">
        <f>IFERROR(VLOOKUP(A101,ESS_SE!$A$3:$B$51,2,FALSE),0)</f>
        <v>0</v>
      </c>
      <c r="I101" s="14">
        <f>IFERROR(VLOOKUP(A101,'ESS ME'!$A$3:$C$49,3,FALSE),0)</f>
        <v>0</v>
      </c>
      <c r="J101" s="14">
        <f>IFERROR(VLOOKUP(A101,CONER!$A$2:$B$48,2,FALSE),0)</f>
        <v>0</v>
      </c>
      <c r="K101" s="14">
        <f t="shared" si="30"/>
        <v>0</v>
      </c>
      <c r="L101" s="14">
        <f>IFERROR(VLOOKUP($A101,'CustoLiqNaoCobertoMesN-1'!$A$3:$F$101,L$2,FALSE),0)</f>
        <v>0.16999999998370185</v>
      </c>
      <c r="M101" s="14">
        <f>IFERROR(VLOOKUP($A101,'CustoLiqNaoCobertoMesN-1'!$A$3:$F$101,M$2,FALSE),0)</f>
        <v>0</v>
      </c>
      <c r="N101" s="14">
        <f>IFERROR(VLOOKUP($A101,'CustoLiqNaoCobertoMesN-1'!$A$3:$F$101,N$2,FALSE),0)</f>
        <v>0</v>
      </c>
      <c r="O101" s="14">
        <f>IFERROR(VLOOKUP($A101,'CustoLiqNaoCobertoMesN-1'!$A$3:$F$101,O$2,FALSE),0)</f>
        <v>0.16999999998370185</v>
      </c>
      <c r="P101" s="14">
        <f t="shared" si="31"/>
        <v>0.16999999998370185</v>
      </c>
      <c r="Q101" s="14">
        <f t="shared" si="32"/>
        <v>0</v>
      </c>
      <c r="R101" s="14">
        <f t="shared" si="33"/>
        <v>0</v>
      </c>
      <c r="S101" s="14">
        <f t="shared" si="34"/>
        <v>0.16999999998370185</v>
      </c>
      <c r="T101" s="14">
        <f>IFERROR(VLOOKUP(A101,Prêmio!$A$2:$C$48,3,FALSE),0)</f>
        <v>0</v>
      </c>
      <c r="U101" s="14" t="str">
        <f t="shared" si="35"/>
        <v/>
      </c>
      <c r="V101" s="14" t="str">
        <f t="shared" si="36"/>
        <v/>
      </c>
      <c r="W101" s="14">
        <f t="shared" si="37"/>
        <v>-29637.680000000004</v>
      </c>
      <c r="X101" s="14">
        <f t="shared" si="46"/>
        <v>0.16999999998370185</v>
      </c>
      <c r="Y101" s="47">
        <f t="shared" si="38"/>
        <v>-29637.680000000004</v>
      </c>
      <c r="Z101" s="81">
        <f t="shared" si="47"/>
        <v>0</v>
      </c>
      <c r="AA101" s="81">
        <f t="shared" si="48"/>
        <v>0</v>
      </c>
      <c r="AB101" s="81">
        <f t="shared" si="49"/>
        <v>0</v>
      </c>
      <c r="AC101" s="81">
        <f t="shared" si="50"/>
        <v>0</v>
      </c>
      <c r="AD101" s="81">
        <f t="shared" si="39"/>
        <v>0</v>
      </c>
      <c r="AE101" s="81">
        <f t="shared" si="40"/>
        <v>0</v>
      </c>
      <c r="AF101" s="81">
        <f t="shared" si="41"/>
        <v>0</v>
      </c>
      <c r="AG101" s="122">
        <f t="shared" si="42"/>
        <v>0.16999999998370185</v>
      </c>
      <c r="AH101" s="122">
        <f t="shared" si="43"/>
        <v>0</v>
      </c>
      <c r="AI101" s="122">
        <f t="shared" si="44"/>
        <v>0</v>
      </c>
      <c r="AO101" s="27">
        <f t="shared" si="45"/>
        <v>0</v>
      </c>
      <c r="AQ101" s="13"/>
      <c r="AR101" s="27"/>
    </row>
    <row r="102" spans="1:44">
      <c r="A102" s="103" t="s">
        <v>211</v>
      </c>
      <c r="B102" s="104">
        <v>5377</v>
      </c>
      <c r="C102" s="43">
        <v>10310.189999999999</v>
      </c>
      <c r="D102" s="14">
        <f>IFERROR(VLOOKUP(A102,Exposição!$A$2:$M$48,13,FALSE),0)</f>
        <v>0</v>
      </c>
      <c r="E102" s="14">
        <f>IFERROR(VLOOKUP(A102,CCEAR_D!$A$2:$J$48,10,FALSE),0)</f>
        <v>0</v>
      </c>
      <c r="F102" s="14">
        <f>IFERROR(VLOOKUP(A102,'RH Cotas'!$A$2:$C$48,2,FALSE),0)+IFERROR(VLOOKUP(A102,'Efeito RH do ACR'!$A$2:$D$48,3,FALSE),0)</f>
        <v>0</v>
      </c>
      <c r="G102" s="14">
        <f>IFERROR(VLOOKUP(A102,'RH Itaipu'!$A$2:$B$48,2,FALSE),0)</f>
        <v>0</v>
      </c>
      <c r="H102" s="14">
        <f>IFERROR(VLOOKUP(A102,ESS_SE!$A$3:$B$51,2,FALSE),0)</f>
        <v>0</v>
      </c>
      <c r="I102" s="14">
        <f>IFERROR(VLOOKUP(A102,'ESS ME'!$A$3:$C$49,3,FALSE),0)</f>
        <v>0</v>
      </c>
      <c r="J102" s="14">
        <f>IFERROR(VLOOKUP(A102,CONER!$A$2:$B$48,2,FALSE),0)</f>
        <v>0</v>
      </c>
      <c r="K102" s="14">
        <f t="shared" si="30"/>
        <v>0</v>
      </c>
      <c r="L102" s="14">
        <f>IFERROR(VLOOKUP($A102,'CustoLiqNaoCobertoMesN-1'!$A$3:$F$101,L$2,FALSE),0)</f>
        <v>0</v>
      </c>
      <c r="M102" s="14">
        <f>IFERROR(VLOOKUP($A102,'CustoLiqNaoCobertoMesN-1'!$A$3:$F$101,M$2,FALSE),0)</f>
        <v>0</v>
      </c>
      <c r="N102" s="14">
        <f>IFERROR(VLOOKUP($A102,'CustoLiqNaoCobertoMesN-1'!$A$3:$F$101,N$2,FALSE),0)</f>
        <v>0</v>
      </c>
      <c r="O102" s="14">
        <f>IFERROR(VLOOKUP($A102,'CustoLiqNaoCobertoMesN-1'!$A$3:$F$101,O$2,FALSE),0)</f>
        <v>0</v>
      </c>
      <c r="P102" s="14">
        <f t="shared" si="31"/>
        <v>0</v>
      </c>
      <c r="Q102" s="14">
        <f t="shared" si="32"/>
        <v>0</v>
      </c>
      <c r="R102" s="14">
        <f t="shared" si="33"/>
        <v>0</v>
      </c>
      <c r="S102" s="14">
        <f>K102+O102</f>
        <v>0</v>
      </c>
      <c r="T102" s="14">
        <f>IFERROR(VLOOKUP(A102,Prêmio!$A$2:$C$48,3,FALSE),0)</f>
        <v>0</v>
      </c>
      <c r="U102" s="14" t="str">
        <f t="shared" si="35"/>
        <v/>
      </c>
      <c r="V102" s="14" t="str">
        <f t="shared" si="36"/>
        <v/>
      </c>
      <c r="W102" s="14">
        <f t="shared" si="37"/>
        <v>-10310.189999999999</v>
      </c>
      <c r="X102" s="14">
        <f t="shared" si="46"/>
        <v>0</v>
      </c>
      <c r="Y102" s="47">
        <f t="shared" si="38"/>
        <v>-10310.189999999999</v>
      </c>
      <c r="Z102" s="81">
        <f t="shared" si="47"/>
        <v>0</v>
      </c>
      <c r="AA102" s="81">
        <f t="shared" si="48"/>
        <v>0</v>
      </c>
      <c r="AB102" s="81">
        <f t="shared" si="49"/>
        <v>0</v>
      </c>
      <c r="AC102" s="81">
        <f t="shared" si="50"/>
        <v>0</v>
      </c>
      <c r="AD102" s="81">
        <f t="shared" si="39"/>
        <v>0</v>
      </c>
      <c r="AE102" s="81">
        <f t="shared" si="40"/>
        <v>0</v>
      </c>
      <c r="AF102" s="81">
        <f t="shared" si="41"/>
        <v>0</v>
      </c>
      <c r="AG102" s="122">
        <f t="shared" si="42"/>
        <v>0</v>
      </c>
      <c r="AH102" s="122">
        <f t="shared" si="43"/>
        <v>0</v>
      </c>
      <c r="AI102" s="122">
        <f t="shared" si="44"/>
        <v>0</v>
      </c>
      <c r="AO102" s="27">
        <f t="shared" si="45"/>
        <v>0</v>
      </c>
      <c r="AQ102" s="13"/>
      <c r="AR102" s="27"/>
    </row>
    <row r="103" spans="1:44">
      <c r="A103" s="23" t="s">
        <v>63</v>
      </c>
      <c r="B103" s="23"/>
      <c r="C103" s="34">
        <f t="shared" ref="C103:AI103" si="51">SUMIF(C4:C102,"&gt;0")</f>
        <v>260365971.25453454</v>
      </c>
      <c r="D103" s="34">
        <f t="shared" si="51"/>
        <v>55875409.270571537</v>
      </c>
      <c r="E103" s="34">
        <f t="shared" si="51"/>
        <v>11861.035633242496</v>
      </c>
      <c r="F103" s="34">
        <f t="shared" si="51"/>
        <v>0</v>
      </c>
      <c r="G103" s="34">
        <f t="shared" si="51"/>
        <v>53971408.910000004</v>
      </c>
      <c r="H103" s="34">
        <f t="shared" si="51"/>
        <v>0</v>
      </c>
      <c r="I103" s="34">
        <f t="shared" si="51"/>
        <v>0</v>
      </c>
      <c r="J103" s="34">
        <f t="shared" si="51"/>
        <v>825151346.9526037</v>
      </c>
      <c r="K103" s="34">
        <f t="shared" si="51"/>
        <v>360149299.48275572</v>
      </c>
      <c r="L103" s="34">
        <f t="shared" si="51"/>
        <v>121148773.95755905</v>
      </c>
      <c r="M103" s="34">
        <f t="shared" si="51"/>
        <v>225477198.98188698</v>
      </c>
      <c r="N103" s="34">
        <f t="shared" si="51"/>
        <v>110235338.74296276</v>
      </c>
      <c r="O103" s="34">
        <f t="shared" si="51"/>
        <v>318434469.1491769</v>
      </c>
      <c r="P103" s="34">
        <f t="shared" si="51"/>
        <v>91546837.818440765</v>
      </c>
      <c r="Q103" s="34">
        <f t="shared" si="51"/>
        <v>959750356.48650336</v>
      </c>
      <c r="R103" s="34">
        <f t="shared" si="51"/>
        <v>112804418.35363415</v>
      </c>
      <c r="S103" s="34">
        <f t="shared" si="51"/>
        <v>499256886.75425595</v>
      </c>
      <c r="T103" s="34">
        <f t="shared" ref="T103" si="52">SUMIF(T4:T102,"&gt;0")</f>
        <v>1757908.12</v>
      </c>
      <c r="U103" s="34">
        <f t="shared" ref="U103:V103" si="53">SUMIF(U4:U102,"&gt;0")</f>
        <v>0</v>
      </c>
      <c r="V103" s="34">
        <f t="shared" si="53"/>
        <v>0</v>
      </c>
      <c r="W103" s="34">
        <f t="shared" si="51"/>
        <v>129137013.66638152</v>
      </c>
      <c r="X103" s="34">
        <f t="shared" si="51"/>
        <v>500080948.12905061</v>
      </c>
      <c r="Y103" s="34">
        <f t="shared" si="51"/>
        <v>129137013.66638152</v>
      </c>
      <c r="Z103" s="34">
        <f t="shared" si="51"/>
        <v>0</v>
      </c>
      <c r="AA103" s="34">
        <f t="shared" si="51"/>
        <v>0</v>
      </c>
      <c r="AB103" s="34">
        <f t="shared" si="51"/>
        <v>3.5215634852647781E-9</v>
      </c>
      <c r="AC103" s="34">
        <f t="shared" si="51"/>
        <v>146709.11192813868</v>
      </c>
      <c r="AD103" s="34">
        <f t="shared" ref="AD103:AF103" si="54">SUMIF(AD4:AD102,"&gt;0")</f>
        <v>0</v>
      </c>
      <c r="AE103" s="34">
        <f t="shared" si="54"/>
        <v>0</v>
      </c>
      <c r="AF103" s="34">
        <f t="shared" si="54"/>
        <v>3.5215634852647781E-9</v>
      </c>
      <c r="AG103" s="34">
        <f t="shared" si="51"/>
        <v>91693546.9303689</v>
      </c>
      <c r="AH103" s="34">
        <f t="shared" si="51"/>
        <v>959750356.48650336</v>
      </c>
      <c r="AI103" s="34">
        <f t="shared" si="51"/>
        <v>112804418.35363415</v>
      </c>
      <c r="AJ103" s="114" t="s">
        <v>81</v>
      </c>
    </row>
    <row r="104" spans="1:44">
      <c r="A104" s="23" t="s">
        <v>64</v>
      </c>
      <c r="B104" s="23"/>
      <c r="C104" s="34">
        <f t="shared" ref="C104:AI104" si="55">SUMIF(C4:C102,"&lt;0")</f>
        <v>0</v>
      </c>
      <c r="D104" s="34">
        <f t="shared" si="55"/>
        <v>-102450707.81012243</v>
      </c>
      <c r="E104" s="34">
        <f t="shared" si="55"/>
        <v>-212098758.1308389</v>
      </c>
      <c r="F104" s="34">
        <f t="shared" si="55"/>
        <v>-229940954.15399113</v>
      </c>
      <c r="G104" s="34">
        <f t="shared" si="55"/>
        <v>0</v>
      </c>
      <c r="H104" s="34">
        <f t="shared" si="55"/>
        <v>-79177949.940000013</v>
      </c>
      <c r="I104" s="34">
        <f t="shared" si="55"/>
        <v>-2978862.3499999992</v>
      </c>
      <c r="J104" s="34">
        <f t="shared" si="55"/>
        <v>0</v>
      </c>
      <c r="K104" s="34">
        <f t="shared" si="55"/>
        <v>-51786505.698899664</v>
      </c>
      <c r="L104" s="34">
        <f t="shared" si="55"/>
        <v>-744670383.24271524</v>
      </c>
      <c r="M104" s="34">
        <f t="shared" si="55"/>
        <v>-12493193.48411149</v>
      </c>
      <c r="N104" s="34">
        <f t="shared" si="55"/>
        <v>-626240113.30261552</v>
      </c>
      <c r="O104" s="34">
        <f t="shared" si="55"/>
        <v>-1244976847.4962099</v>
      </c>
      <c r="P104" s="34">
        <f t="shared" si="55"/>
        <v>-1103124889.4427931</v>
      </c>
      <c r="Q104" s="34">
        <f t="shared" si="55"/>
        <v>-3771816.3261238453</v>
      </c>
      <c r="R104" s="34">
        <f t="shared" si="55"/>
        <v>-675384491.45283794</v>
      </c>
      <c r="S104" s="34">
        <f t="shared" si="55"/>
        <v>-1117384085.3974328</v>
      </c>
      <c r="T104" s="34">
        <f t="shared" ref="T104" si="56">SUMIF(T4:T102,"&lt;0")</f>
        <v>0</v>
      </c>
      <c r="U104" s="34">
        <f t="shared" ref="U104:V104" si="57">SUMIF(U4:U102,"&lt;0")</f>
        <v>0</v>
      </c>
      <c r="V104" s="34">
        <f t="shared" si="57"/>
        <v>0</v>
      </c>
      <c r="W104" s="34">
        <f t="shared" si="55"/>
        <v>-127379105.5463815</v>
      </c>
      <c r="X104" s="34">
        <f t="shared" si="55"/>
        <v>-856084267.39769351</v>
      </c>
      <c r="Y104" s="34">
        <f t="shared" si="55"/>
        <v>-127379105.5463815</v>
      </c>
      <c r="Z104" s="34">
        <f t="shared" si="55"/>
        <v>-261270621.2613354</v>
      </c>
      <c r="AA104" s="34">
        <f t="shared" si="55"/>
        <v>-344839.78169553506</v>
      </c>
      <c r="AB104" s="34">
        <f t="shared" si="55"/>
        <v>-361709.21957562427</v>
      </c>
      <c r="AC104" s="34">
        <f t="shared" si="55"/>
        <v>-8.3819031715393066E-9</v>
      </c>
      <c r="AD104" s="34">
        <f t="shared" ref="AD104:AF104" si="58">SUMIF(AD4:AD102,"&lt;0")</f>
        <v>-261417330.37326354</v>
      </c>
      <c r="AE104" s="34">
        <f t="shared" si="58"/>
        <v>-344839.78169553506</v>
      </c>
      <c r="AF104" s="34">
        <f t="shared" si="58"/>
        <v>-361709.21957562427</v>
      </c>
      <c r="AG104" s="34">
        <f t="shared" si="55"/>
        <v>-841854268.18145835</v>
      </c>
      <c r="AH104" s="34">
        <f t="shared" si="55"/>
        <v>-3426976.5444283104</v>
      </c>
      <c r="AI104" s="34">
        <f t="shared" si="55"/>
        <v>-675022782.2332623</v>
      </c>
    </row>
    <row r="105" spans="1:44">
      <c r="A105" s="23" t="s">
        <v>58</v>
      </c>
      <c r="B105" s="23"/>
      <c r="C105" s="34">
        <f>C103+C104</f>
        <v>260365971.25453454</v>
      </c>
      <c r="D105" s="34">
        <f t="shared" ref="D105:I105" si="59">D103+D104</f>
        <v>-46575298.539550893</v>
      </c>
      <c r="E105" s="34">
        <f t="shared" si="59"/>
        <v>-212086897.09520566</v>
      </c>
      <c r="F105" s="34">
        <f t="shared" si="59"/>
        <v>-229940954.15399113</v>
      </c>
      <c r="G105" s="34">
        <f t="shared" si="59"/>
        <v>53971408.910000004</v>
      </c>
      <c r="H105" s="34">
        <f t="shared" si="59"/>
        <v>-79177949.940000013</v>
      </c>
      <c r="I105" s="34">
        <f t="shared" si="59"/>
        <v>-2978862.3499999992</v>
      </c>
      <c r="J105" s="34">
        <f t="shared" ref="J105" si="60">J103+J104</f>
        <v>825151346.9526037</v>
      </c>
      <c r="K105" s="34">
        <f t="shared" ref="K105" si="61">K103+K104</f>
        <v>308362793.78385603</v>
      </c>
      <c r="L105" s="34">
        <f t="shared" ref="L105" si="62">L103+L104</f>
        <v>-623521609.28515625</v>
      </c>
      <c r="M105" s="34">
        <f t="shared" ref="M105" si="63">M103+M104</f>
        <v>212984005.4977755</v>
      </c>
      <c r="N105" s="34">
        <f t="shared" ref="N105" si="64">N103+N104</f>
        <v>-516004774.55965275</v>
      </c>
      <c r="O105" s="34">
        <f t="shared" ref="O105" si="65">O103+O104</f>
        <v>-926542378.34703302</v>
      </c>
      <c r="P105" s="34">
        <f t="shared" ref="P105" si="66">P103+P104</f>
        <v>-1011578051.6243523</v>
      </c>
      <c r="Q105" s="34">
        <f t="shared" ref="Q105" si="67">Q103+Q104</f>
        <v>955978540.16037953</v>
      </c>
      <c r="R105" s="34">
        <f t="shared" ref="R105" si="68">R103+R104</f>
        <v>-562580073.09920382</v>
      </c>
      <c r="S105" s="34">
        <f t="shared" ref="S105:U105" si="69">S103+S104</f>
        <v>-618127198.64317679</v>
      </c>
      <c r="T105" s="34">
        <f t="shared" ref="T105" si="70">T103+T104</f>
        <v>1757908.12</v>
      </c>
      <c r="U105" s="34">
        <f t="shared" si="69"/>
        <v>0</v>
      </c>
      <c r="V105" s="34">
        <f t="shared" ref="V105" si="71">V103+V104</f>
        <v>0</v>
      </c>
      <c r="W105" s="34">
        <f t="shared" ref="W105" si="72">W103+W104</f>
        <v>1757908.1200000197</v>
      </c>
      <c r="X105" s="34">
        <f t="shared" ref="X105" si="73">X103+X104</f>
        <v>-356003319.2686429</v>
      </c>
      <c r="Y105" s="34">
        <f t="shared" ref="Y105" si="74">Y103+Y104</f>
        <v>1757908.1200000197</v>
      </c>
      <c r="Z105" s="34">
        <f t="shared" ref="Z105" si="75">Z103+Z104</f>
        <v>-261270621.2613354</v>
      </c>
      <c r="AA105" s="34">
        <f t="shared" ref="AA105" si="76">AA103+AA104</f>
        <v>-344839.78169553506</v>
      </c>
      <c r="AB105" s="34">
        <f t="shared" ref="AB105" si="77">AB103+AB104</f>
        <v>-361709.21957562072</v>
      </c>
      <c r="AC105" s="34">
        <f t="shared" ref="AC105:AF105" si="78">AC103+AC104</f>
        <v>146709.1119281303</v>
      </c>
      <c r="AD105" s="34">
        <f t="shared" si="78"/>
        <v>-261417330.37326354</v>
      </c>
      <c r="AE105" s="34">
        <f t="shared" si="78"/>
        <v>-344839.78169553506</v>
      </c>
      <c r="AF105" s="34">
        <f t="shared" si="78"/>
        <v>-361709.21957562072</v>
      </c>
      <c r="AG105" s="34">
        <f t="shared" ref="AG105" si="79">AG103+AG104</f>
        <v>-750160721.25108945</v>
      </c>
      <c r="AH105" s="34">
        <f t="shared" ref="AH105" si="80">AH103+AH104</f>
        <v>956323379.94207501</v>
      </c>
      <c r="AI105" s="34">
        <f t="shared" ref="AI105" si="81">AI103+AI104</f>
        <v>-562218363.87962818</v>
      </c>
      <c r="AJ105" s="115">
        <v>0</v>
      </c>
    </row>
    <row r="106" spans="1:44">
      <c r="A106" s="5"/>
      <c r="B106" s="5"/>
      <c r="C106" s="5"/>
      <c r="V106" s="26"/>
    </row>
    <row r="107" spans="1:44">
      <c r="A107" s="5"/>
      <c r="B107" s="5"/>
      <c r="C107" s="5"/>
      <c r="J107" s="26"/>
      <c r="K107" s="26"/>
      <c r="L107" s="26"/>
      <c r="M107" s="26"/>
      <c r="N107" s="26"/>
      <c r="S107" s="26"/>
      <c r="T107" s="26"/>
      <c r="U107" s="26"/>
      <c r="V107" s="26"/>
      <c r="W107" s="171"/>
      <c r="X107" s="26"/>
    </row>
    <row r="108" spans="1:44">
      <c r="AJ108" s="118"/>
    </row>
    <row r="109" spans="1:44">
      <c r="V109" s="26"/>
    </row>
    <row r="110" spans="1:44">
      <c r="C110" s="79"/>
      <c r="T110" s="26"/>
      <c r="W110" s="27"/>
    </row>
    <row r="111" spans="1:44">
      <c r="W111" s="27"/>
      <c r="X111" s="26"/>
    </row>
  </sheetData>
  <mergeCells count="1">
    <mergeCell ref="D1:E1"/>
  </mergeCells>
  <pageMargins left="0.511811024" right="0.511811024" top="0.78740157499999996" bottom="0.78740157499999996" header="0.31496062000000002" footer="0.31496062000000002"/>
  <pageSetup paperSize="9" scale="57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>
    <tabColor theme="6" tint="-0.499984740745262"/>
  </sheetPr>
  <dimension ref="A3:M111"/>
  <sheetViews>
    <sheetView zoomScale="130" zoomScaleNormal="130" workbookViewId="0">
      <selection activeCell="B4" sqref="B4:B102"/>
    </sheetView>
  </sheetViews>
  <sheetFormatPr defaultRowHeight="12.75"/>
  <cols>
    <col min="1" max="1" width="15.140625" style="22" bestFit="1" customWidth="1"/>
    <col min="2" max="2" width="29.7109375" style="18" customWidth="1"/>
    <col min="3" max="3" width="17" bestFit="1" customWidth="1"/>
    <col min="7" max="7" width="10.7109375" bestFit="1" customWidth="1"/>
    <col min="13" max="13" width="10.7109375" bestFit="1" customWidth="1"/>
  </cols>
  <sheetData>
    <row r="3" spans="1:3" ht="13.5">
      <c r="A3" s="105" t="s">
        <v>142</v>
      </c>
      <c r="B3" s="105" t="s">
        <v>247</v>
      </c>
      <c r="C3" s="132" t="s">
        <v>227</v>
      </c>
    </row>
    <row r="4" spans="1:3" ht="13.5">
      <c r="A4" s="106" t="s">
        <v>257</v>
      </c>
      <c r="B4" s="136">
        <f>IFERROR(IF(VLOOKUP('Despacho - Anexo I'!A4,Total!$A$4:$W$102,23,FALSE)&lt;0,VLOOKUP('Despacho - Anexo I'!A4,Total!$A$4:$W$102,23,FALSE)*-1,0),0)</f>
        <v>5168477.0406738073</v>
      </c>
      <c r="C4" s="133">
        <v>2016440000162</v>
      </c>
    </row>
    <row r="5" spans="1:3" ht="13.5" hidden="1">
      <c r="A5" s="106" t="s">
        <v>44</v>
      </c>
      <c r="B5" s="136">
        <f>IFERROR(IF(VLOOKUP('Despacho - Anexo I'!A5,Total!$A$4:$W$102,23,FALSE)&lt;0,VLOOKUP('Despacho - Anexo I'!A5,Total!$A$4:$W$102,23,FALSE)*-1,0),0)</f>
        <v>0</v>
      </c>
      <c r="C5" s="133">
        <v>2341467000120</v>
      </c>
    </row>
    <row r="6" spans="1:3" ht="13.5">
      <c r="A6" s="106" t="s">
        <v>1</v>
      </c>
      <c r="B6" s="136">
        <f>IFERROR(IF(VLOOKUP('Despacho - Anexo I'!A6,Total!$A$4:$W$102,23,FALSE)&lt;0,VLOOKUP('Despacho - Anexo I'!A6,Total!$A$4:$W$102,23,FALSE)*-1,0),0)</f>
        <v>7816906.4713270823</v>
      </c>
      <c r="C6" s="133">
        <v>33050071000158</v>
      </c>
    </row>
    <row r="7" spans="1:3" ht="13.5" hidden="1">
      <c r="A7" s="106" t="s">
        <v>9</v>
      </c>
      <c r="B7" s="136">
        <f>IFERROR(IF(VLOOKUP('Despacho - Anexo I'!A7,Total!$A$4:$W$102,23,FALSE)&lt;0,VLOOKUP('Despacho - Anexo I'!A7,Total!$A$4:$W$102,23,FALSE)*-1,0),0)</f>
        <v>0</v>
      </c>
      <c r="C7" s="133">
        <v>2302100000106</v>
      </c>
    </row>
    <row r="8" spans="1:3" ht="13.5">
      <c r="A8" s="106" t="s">
        <v>41</v>
      </c>
      <c r="B8" s="136">
        <f>IFERROR(IF(VLOOKUP('Despacho - Anexo I'!A8,Total!$A$4:$W$102,23,FALSE)&lt;0,VLOOKUP('Despacho - Anexo I'!A8,Total!$A$4:$W$102,23,FALSE)*-1,0),0)</f>
        <v>164222.62535807493</v>
      </c>
      <c r="C8" s="133">
        <v>7282377000120</v>
      </c>
    </row>
    <row r="9" spans="1:3" ht="13.5" hidden="1">
      <c r="A9" s="106" t="s">
        <v>75</v>
      </c>
      <c r="B9" s="136">
        <f>IFERROR(IF(VLOOKUP('Despacho - Anexo I'!A9,Total!$A$4:$W$102,23,FALSE)&lt;0,VLOOKUP('Despacho - Anexo I'!A9,Total!$A$4:$W$102,23,FALSE)*-1,0),0)</f>
        <v>0</v>
      </c>
      <c r="C9" s="133">
        <v>5965546000109</v>
      </c>
    </row>
    <row r="10" spans="1:3" ht="13.5" hidden="1">
      <c r="A10" s="106" t="s">
        <v>14</v>
      </c>
      <c r="B10" s="136">
        <f>IFERROR(IF(VLOOKUP('Despacho - Anexo I'!A10,Total!$A$4:$W$102,23,FALSE)&lt;0,VLOOKUP('Despacho - Anexo I'!A10,Total!$A$4:$W$102,23,FALSE)*-1,0),0)</f>
        <v>0</v>
      </c>
      <c r="C10" s="133">
        <v>12272084000100</v>
      </c>
    </row>
    <row r="11" spans="1:3" ht="13.5" hidden="1">
      <c r="A11" s="106" t="s">
        <v>37</v>
      </c>
      <c r="B11" s="136">
        <f>IFERROR(IF(VLOOKUP('Despacho - Anexo I'!A11,Total!$A$4:$W$102,23,FALSE)&lt;0,VLOOKUP('Despacho - Anexo I'!A11,Total!$A$4:$W$102,23,FALSE)*-1,0),0)</f>
        <v>0</v>
      </c>
      <c r="C11" s="133">
        <v>7522669000192</v>
      </c>
    </row>
    <row r="12" spans="1:3" ht="13.5" hidden="1">
      <c r="A12" s="106" t="s">
        <v>39</v>
      </c>
      <c r="B12" s="136">
        <f>IFERROR(IF(VLOOKUP('Despacho - Anexo I'!A12,Total!$A$4:$W$102,23,FALSE)&lt;0,VLOOKUP('Despacho - Anexo I'!A12,Total!$A$4:$W$102,23,FALSE)*-1,0),0)</f>
        <v>0</v>
      </c>
      <c r="C12" s="133">
        <v>8467115000100</v>
      </c>
    </row>
    <row r="13" spans="1:3" ht="13.5">
      <c r="A13" s="106" t="s">
        <v>40</v>
      </c>
      <c r="B13" s="136">
        <f>IFERROR(IF(VLOOKUP('Despacho - Anexo I'!A13,Total!$A$4:$W$102,23,FALSE)&lt;0,VLOOKUP('Despacho - Anexo I'!A13,Total!$A$4:$W$102,23,FALSE)*-1,0),0)</f>
        <v>1659657.7960569803</v>
      </c>
      <c r="C13" s="133">
        <v>8336783000190</v>
      </c>
    </row>
    <row r="14" spans="1:3" ht="13.5" hidden="1">
      <c r="A14" s="106" t="s">
        <v>16</v>
      </c>
      <c r="B14" s="136">
        <f>IFERROR(IF(VLOOKUP('Despacho - Anexo I'!A14,Total!$A$4:$W$102,23,FALSE)&lt;0,VLOOKUP('Despacho - Anexo I'!A14,Total!$A$4:$W$102,23,FALSE)*-1,0),0)</f>
        <v>0</v>
      </c>
      <c r="C14" s="133">
        <v>1543032000104</v>
      </c>
    </row>
    <row r="15" spans="1:3" ht="13.5" hidden="1">
      <c r="A15" s="106" t="s">
        <v>28</v>
      </c>
      <c r="B15" s="136">
        <f>IFERROR(IF(VLOOKUP('Despacho - Anexo I'!A15,Total!$A$4:$W$102,23,FALSE)&lt;0,VLOOKUP('Despacho - Anexo I'!A15,Total!$A$4:$W$102,23,FALSE)*-1,0),0)</f>
        <v>0</v>
      </c>
      <c r="C15" s="133">
        <v>4895728000180</v>
      </c>
    </row>
    <row r="16" spans="1:3" ht="13.5">
      <c r="A16" s="106" t="s">
        <v>17</v>
      </c>
      <c r="B16" s="136">
        <f>IFERROR(IF(VLOOKUP('Despacho - Anexo I'!A16,Total!$A$4:$W$102,23,FALSE)&lt;0,VLOOKUP('Despacho - Anexo I'!A16,Total!$A$4:$W$102,23,FALSE)*-1,0),0)</f>
        <v>10901240.653016143</v>
      </c>
      <c r="C16" s="133">
        <v>10835932000108</v>
      </c>
    </row>
    <row r="17" spans="1:3" ht="13.5" hidden="1">
      <c r="A17" s="112" t="s">
        <v>171</v>
      </c>
      <c r="B17" s="136">
        <f>IFERROR(IF(VLOOKUP('Despacho - Anexo I'!A17,Total!$A$4:$W$102,23,FALSE)&lt;0,VLOOKUP('Despacho - Anexo I'!A17,Total!$A$4:$W$102,23,FALSE)*-1,0),0)</f>
        <v>0</v>
      </c>
      <c r="C17" s="133">
        <v>25086034000171</v>
      </c>
    </row>
    <row r="18" spans="1:3" ht="13.5" hidden="1">
      <c r="A18" s="106" t="s">
        <v>18</v>
      </c>
      <c r="B18" s="136">
        <f>IFERROR(IF(VLOOKUP('Despacho - Anexo I'!A18,Total!$A$4:$W$102,23,FALSE)&lt;0,VLOOKUP('Despacho - Anexo I'!A18,Total!$A$4:$W$102,23,FALSE)*-1,0),0)</f>
        <v>0</v>
      </c>
      <c r="C18" s="133">
        <v>6272793000184</v>
      </c>
    </row>
    <row r="19" spans="1:3" ht="13.5">
      <c r="A19" s="106" t="s">
        <v>170</v>
      </c>
      <c r="B19" s="136">
        <f>IFERROR(IF(VLOOKUP('Despacho - Anexo I'!A19,Total!$A$4:$W$102,23,FALSE)&lt;0,VLOOKUP('Despacho - Anexo I'!A19,Total!$A$4:$W$102,23,FALSE)*-1,0),0)</f>
        <v>5802442.6570403678</v>
      </c>
      <c r="C19" s="133">
        <v>3467321000199</v>
      </c>
    </row>
    <row r="20" spans="1:3" ht="13.5">
      <c r="A20" s="106" t="s">
        <v>36</v>
      </c>
      <c r="B20" s="136">
        <f>IFERROR(IF(VLOOKUP('Despacho - Anexo I'!A20,Total!$A$4:$W$102,23,FALSE)&lt;0,VLOOKUP('Despacho - Anexo I'!A20,Total!$A$4:$W$102,23,FALSE)*-1,0),0)</f>
        <v>17160537.78623946</v>
      </c>
      <c r="C20" s="133">
        <v>6981180000116</v>
      </c>
    </row>
    <row r="21" spans="1:3" ht="13.5" hidden="1">
      <c r="A21" s="106" t="s">
        <v>19</v>
      </c>
      <c r="B21" s="136">
        <f>IFERROR(IF(VLOOKUP('Despacho - Anexo I'!A21,Total!$A$4:$W$102,23,FALSE)&lt;0,VLOOKUP('Despacho - Anexo I'!A21,Total!$A$4:$W$102,23,FALSE)*-1,0),0)</f>
        <v>0</v>
      </c>
      <c r="C21" s="133">
        <v>6840748000189</v>
      </c>
    </row>
    <row r="22" spans="1:3" ht="13.5" hidden="1">
      <c r="A22" s="106" t="s">
        <v>45</v>
      </c>
      <c r="B22" s="136">
        <f>IFERROR(IF(VLOOKUP('Despacho - Anexo I'!A22,Total!$A$4:$W$102,23,FALSE)&lt;0,VLOOKUP('Despacho - Anexo I'!A22,Total!$A$4:$W$102,23,FALSE)*-1,0),0)</f>
        <v>0</v>
      </c>
      <c r="C22" s="133">
        <v>5914650000166</v>
      </c>
    </row>
    <row r="23" spans="1:3" ht="13.5">
      <c r="A23" s="106" t="s">
        <v>11</v>
      </c>
      <c r="B23" s="136">
        <f>IFERROR(IF(VLOOKUP('Despacho - Anexo I'!A23,Total!$A$4:$W$102,23,FALSE)&lt;0,VLOOKUP('Despacho - Anexo I'!A23,Total!$A$4:$W$102,23,FALSE)*-1,0),0)</f>
        <v>530057.57288772892</v>
      </c>
      <c r="C23" s="133">
        <v>61416244000144</v>
      </c>
    </row>
    <row r="24" spans="1:3" ht="13.5">
      <c r="A24" s="106" t="s">
        <v>4</v>
      </c>
      <c r="B24" s="136">
        <f>IFERROR(IF(VLOOKUP('Despacho - Anexo I'!A24,Total!$A$4:$W$102,23,FALSE)&lt;0,VLOOKUP('Despacho - Anexo I'!A24,Total!$A$4:$W$102,23,FALSE)*-1,0),0)</f>
        <v>15344495.352015786</v>
      </c>
      <c r="C24" s="133">
        <v>15139629000194</v>
      </c>
    </row>
    <row r="25" spans="1:3" ht="13.5">
      <c r="A25" s="106" t="s">
        <v>20</v>
      </c>
      <c r="B25" s="136">
        <f>IFERROR(IF(VLOOKUP('Despacho - Anexo I'!A25,Total!$A$4:$W$102,23,FALSE)&lt;0,VLOOKUP('Despacho - Anexo I'!A25,Total!$A$4:$W$102,23,FALSE)*-1,0),0)</f>
        <v>7254327.0162014486</v>
      </c>
      <c r="C25" s="133">
        <v>7047251000170</v>
      </c>
    </row>
    <row r="26" spans="1:3" ht="13.5" hidden="1">
      <c r="A26" s="106" t="s">
        <v>31</v>
      </c>
      <c r="B26" s="136">
        <f>IFERROR(IF(VLOOKUP('Despacho - Anexo I'!A26,Total!$A$4:$W$102,23,FALSE)&lt;0,VLOOKUP('Despacho - Anexo I'!A26,Total!$A$4:$W$102,23,FALSE)*-1,0),0)</f>
        <v>0</v>
      </c>
      <c r="C26" s="133">
        <v>4368898000106</v>
      </c>
    </row>
    <row r="27" spans="1:3" ht="13.5">
      <c r="A27" s="106" t="s">
        <v>21</v>
      </c>
      <c r="B27" s="136">
        <f>IFERROR(IF(VLOOKUP('Despacho - Anexo I'!A27,Total!$A$4:$W$102,23,FALSE)&lt;0,VLOOKUP('Despacho - Anexo I'!A27,Total!$A$4:$W$102,23,FALSE)*-1,0),0)</f>
        <v>4101793.0932047418</v>
      </c>
      <c r="C27" s="133">
        <v>8324196000181</v>
      </c>
    </row>
    <row r="28" spans="1:3" ht="13.5">
      <c r="A28" s="106" t="s">
        <v>30</v>
      </c>
      <c r="B28" s="136">
        <f>IFERROR(IF(VLOOKUP('Despacho - Anexo I'!A28,Total!$A$4:$W$102,23,FALSE)&lt;0,VLOOKUP('Despacho - Anexo I'!A28,Total!$A$4:$W$102,23,FALSE)*-1,0),0)</f>
        <v>376284.25681313715</v>
      </c>
      <c r="C28" s="133">
        <v>53859112000169</v>
      </c>
    </row>
    <row r="29" spans="1:3" ht="13.5">
      <c r="A29" s="106" t="s">
        <v>34</v>
      </c>
      <c r="B29" s="136">
        <f>IFERROR(IF(VLOOKUP('Despacho - Anexo I'!A29,Total!$A$4:$W$102,23,FALSE)&lt;0,VLOOKUP('Despacho - Anexo I'!A29,Total!$A$4:$W$102,23,FALSE)*-1,0),0)</f>
        <v>233742.06259529464</v>
      </c>
      <c r="C29" s="133">
        <v>61015582000174</v>
      </c>
    </row>
    <row r="30" spans="1:3" ht="13.5">
      <c r="A30" s="106" t="s">
        <v>38</v>
      </c>
      <c r="B30" s="136">
        <f>IFERROR(IF(VLOOKUP('Despacho - Anexo I'!A30,Total!$A$4:$W$102,23,FALSE)&lt;0,VLOOKUP('Despacho - Anexo I'!A30,Total!$A$4:$W$102,23,FALSE)*-1,0),0)</f>
        <v>177315.81389314757</v>
      </c>
      <c r="C30" s="133">
        <v>52503802000118</v>
      </c>
    </row>
    <row r="31" spans="1:3" ht="13.5">
      <c r="A31" s="106" t="s">
        <v>5</v>
      </c>
      <c r="B31" s="136">
        <f>IFERROR(IF(VLOOKUP('Despacho - Anexo I'!A31,Total!$A$4:$W$102,23,FALSE)&lt;0,VLOOKUP('Despacho - Anexo I'!A31,Total!$A$4:$W$102,23,FALSE)*-1,0),0)</f>
        <v>16756159.311380647</v>
      </c>
      <c r="C31" s="133">
        <v>33050196000188</v>
      </c>
    </row>
    <row r="32" spans="1:3" ht="13.5" hidden="1">
      <c r="A32" s="106" t="s">
        <v>32</v>
      </c>
      <c r="B32" s="136">
        <f>IFERROR(IF(VLOOKUP('Despacho - Anexo I'!A32,Total!$A$4:$W$102,23,FALSE)&lt;0,VLOOKUP('Despacho - Anexo I'!A32,Total!$A$4:$W$102,23,FALSE)*-1,0),0)</f>
        <v>0</v>
      </c>
      <c r="C32" s="133">
        <v>4172213000151</v>
      </c>
    </row>
    <row r="33" spans="1:3" ht="13.5">
      <c r="A33" s="106" t="s">
        <v>12</v>
      </c>
      <c r="B33" s="136">
        <f>IFERROR(IF(VLOOKUP('Despacho - Anexo I'!A33,Total!$A$4:$W$102,23,FALSE)&lt;0,VLOOKUP('Despacho - Anexo I'!A33,Total!$A$4:$W$102,23,FALSE)*-1,0),0)</f>
        <v>754552.23538310849</v>
      </c>
      <c r="C33" s="133">
        <v>61116265000144</v>
      </c>
    </row>
    <row r="34" spans="1:3" ht="13.5">
      <c r="A34" s="106" t="s">
        <v>29</v>
      </c>
      <c r="B34" s="136">
        <f>IFERROR(IF(VLOOKUP('Despacho - Anexo I'!A34,Total!$A$4:$W$102,23,FALSE)&lt;0,VLOOKUP('Despacho - Anexo I'!A34,Total!$A$4:$W$102,23,FALSE)*-1,0),0)</f>
        <v>382906.48535711406</v>
      </c>
      <c r="C34" s="133">
        <v>60855608000120</v>
      </c>
    </row>
    <row r="35" spans="1:3" ht="13.5">
      <c r="A35" s="106" t="s">
        <v>33</v>
      </c>
      <c r="B35" s="136">
        <f>IFERROR(IF(VLOOKUP('Despacho - Anexo I'!A35,Total!$A$4:$W$102,23,FALSE)&lt;0,VLOOKUP('Despacho - Anexo I'!A35,Total!$A$4:$W$102,23,FALSE)*-1,0),0)</f>
        <v>259565.62648366042</v>
      </c>
      <c r="C35" s="133">
        <v>23664303000104</v>
      </c>
    </row>
    <row r="36" spans="1:3" ht="13.5" hidden="1">
      <c r="A36" s="106" t="s">
        <v>10</v>
      </c>
      <c r="B36" s="136">
        <f>IFERROR(IF(VLOOKUP('Despacho - Anexo I'!A36,Total!$A$4:$W$102,23,FALSE)&lt;0,VLOOKUP('Despacho - Anexo I'!A36,Total!$A$4:$W$102,23,FALSE)*-1,0),0)</f>
        <v>0</v>
      </c>
      <c r="C36" s="133">
        <v>60942281000123</v>
      </c>
    </row>
    <row r="37" spans="1:3" ht="13.5" hidden="1">
      <c r="A37" s="106" t="s">
        <v>7</v>
      </c>
      <c r="B37" s="136">
        <f>IFERROR(IF(VLOOKUP('Despacho - Anexo I'!A37,Total!$A$4:$W$102,23,FALSE)&lt;0,VLOOKUP('Despacho - Anexo I'!A37,Total!$A$4:$W$102,23,FALSE)*-1,0),0)</f>
        <v>0</v>
      </c>
      <c r="C37" s="133">
        <v>2328280000197</v>
      </c>
    </row>
    <row r="38" spans="1:3" ht="13.5">
      <c r="A38" s="106" t="s">
        <v>43</v>
      </c>
      <c r="B38" s="136">
        <f>IFERROR(IF(VLOOKUP('Despacho - Anexo I'!A38,Total!$A$4:$W$102,23,FALSE)&lt;0,VLOOKUP('Despacho - Anexo I'!A38,Total!$A$4:$W$102,23,FALSE)*-1,0),0)</f>
        <v>1114653.6290498741</v>
      </c>
      <c r="C38" s="133">
        <v>4065033000170</v>
      </c>
    </row>
    <row r="39" spans="1:3" ht="13.5" hidden="1">
      <c r="A39" s="106" t="s">
        <v>6</v>
      </c>
      <c r="B39" s="136">
        <f>IFERROR(IF(VLOOKUP('Despacho - Anexo I'!A39,Total!$A$4:$W$102,23,FALSE)&lt;0,VLOOKUP('Despacho - Anexo I'!A39,Total!$A$4:$W$102,23,FALSE)*-1,0),0)</f>
        <v>0</v>
      </c>
      <c r="C39" s="133">
        <v>61695227000193</v>
      </c>
    </row>
    <row r="40" spans="1:3" ht="13.5">
      <c r="A40" s="106" t="s">
        <v>15</v>
      </c>
      <c r="B40" s="136">
        <f>IFERROR(IF(VLOOKUP('Despacho - Anexo I'!A40,Total!$A$4:$W$102,23,FALSE)&lt;0,VLOOKUP('Despacho - Anexo I'!A40,Total!$A$4:$W$102,23,FALSE)*-1,0),0)</f>
        <v>452842.23472025781</v>
      </c>
      <c r="C40" s="133">
        <v>8826596000195</v>
      </c>
    </row>
    <row r="41" spans="1:3" ht="13.5" hidden="1">
      <c r="A41" s="106" t="s">
        <v>3</v>
      </c>
      <c r="B41" s="136">
        <f>IFERROR(IF(VLOOKUP('Despacho - Anexo I'!A41,Total!$A$4:$W$102,23,FALSE)&lt;0,VLOOKUP('Despacho - Anexo I'!A41,Total!$A$4:$W$102,23,FALSE)*-1,0),0)</f>
        <v>0</v>
      </c>
      <c r="C41" s="133">
        <v>19527639000158</v>
      </c>
    </row>
    <row r="42" spans="1:3" ht="13.5" hidden="1">
      <c r="A42" s="106" t="s">
        <v>24</v>
      </c>
      <c r="B42" s="136">
        <f>IFERROR(IF(VLOOKUP('Despacho - Anexo I'!A42,Total!$A$4:$W$102,23,FALSE)&lt;0,VLOOKUP('Despacho - Anexo I'!A42,Total!$A$4:$W$102,23,FALSE)*-1,0),0)</f>
        <v>0</v>
      </c>
      <c r="C42" s="133">
        <v>9095183000140</v>
      </c>
    </row>
    <row r="43" spans="1:3" ht="13.5">
      <c r="A43" s="106" t="s">
        <v>22</v>
      </c>
      <c r="B43" s="136">
        <f>IFERROR(IF(VLOOKUP('Despacho - Anexo I'!A43,Total!$A$4:$W$102,23,FALSE)&lt;0,VLOOKUP('Despacho - Anexo I'!A43,Total!$A$4:$W$102,23,FALSE)*-1,0),0)</f>
        <v>2445215.7606831766</v>
      </c>
      <c r="C43" s="133">
        <v>13017462000163</v>
      </c>
    </row>
    <row r="44" spans="1:3" ht="13.5">
      <c r="A44" s="106" t="s">
        <v>166</v>
      </c>
      <c r="B44" s="136">
        <f>IFERROR(IF(VLOOKUP('Despacho - Anexo I'!A44,Total!$A$4:$W$102,23,FALSE)&lt;0,VLOOKUP('Despacho - Anexo I'!A44,Total!$A$4:$W$102,23,FALSE)*-1,0),0)</f>
        <v>3290250.0921723945</v>
      </c>
      <c r="C44" s="133">
        <v>15413826000150</v>
      </c>
    </row>
    <row r="45" spans="1:3" ht="13.5" hidden="1">
      <c r="A45" s="106" t="s">
        <v>8</v>
      </c>
      <c r="B45" s="136">
        <f>IFERROR(IF(VLOOKUP('Despacho - Anexo I'!A45,Total!$A$4:$W$102,23,FALSE)&lt;0,VLOOKUP('Despacho - Anexo I'!A45,Total!$A$4:$W$102,23,FALSE)*-1,0),0)</f>
        <v>0</v>
      </c>
      <c r="C45" s="133">
        <v>28152650000171</v>
      </c>
    </row>
    <row r="46" spans="1:3" ht="13.5">
      <c r="A46" s="106" t="s">
        <v>35</v>
      </c>
      <c r="B46" s="136">
        <f>IFERROR(IF(VLOOKUP('Despacho - Anexo I'!A46,Total!$A$4:$W$102,23,FALSE)&lt;0,VLOOKUP('Despacho - Anexo I'!A46,Total!$A$4:$W$102,23,FALSE)*-1,0),0)</f>
        <v>57745.629645857116</v>
      </c>
      <c r="C46" s="133">
        <v>83855973000130</v>
      </c>
    </row>
    <row r="47" spans="1:3" ht="13.5">
      <c r="A47" s="106" t="s">
        <v>2</v>
      </c>
      <c r="B47" s="136">
        <f>IFERROR(IF(VLOOKUP('Despacho - Anexo I'!A47,Total!$A$4:$W$102,23,FALSE)&lt;0,VLOOKUP('Despacho - Anexo I'!A47,Total!$A$4:$W$102,23,FALSE)*-1,0),0)</f>
        <v>19658699.438071869</v>
      </c>
      <c r="C47" s="133">
        <v>60444437000146</v>
      </c>
    </row>
    <row r="48" spans="1:3" ht="13.5">
      <c r="A48" s="106" t="s">
        <v>42</v>
      </c>
      <c r="B48" s="136">
        <f>IFERROR(IF(VLOOKUP('Despacho - Anexo I'!A48,Total!$A$4:$W$102,23,FALSE)&lt;0,VLOOKUP('Despacho - Anexo I'!A48,Total!$A$4:$W$102,23,FALSE)*-1,0),0)</f>
        <v>885665.72593315819</v>
      </c>
      <c r="C48" s="133">
        <v>7297359000111</v>
      </c>
    </row>
    <row r="49" spans="1:13" ht="13.5" hidden="1">
      <c r="A49" s="106" t="s">
        <v>23</v>
      </c>
      <c r="B49" s="136">
        <f>IFERROR(IF(VLOOKUP('Despacho - Anexo I'!A49,Total!$A$4:$W$102,23,FALSE)&lt;0,VLOOKUP('Despacho - Anexo I'!A49,Total!$A$4:$W$102,23,FALSE)*-1,0),0)</f>
        <v>0</v>
      </c>
      <c r="C49" s="133">
        <v>2016439000138</v>
      </c>
    </row>
    <row r="50" spans="1:13" ht="13.5">
      <c r="A50" s="106" t="s">
        <v>82</v>
      </c>
      <c r="B50" s="136">
        <f>IFERROR(IF(VLOOKUP('Despacho - Anexo I'!A50,Total!$A$4:$W$102,23,FALSE)&lt;0,VLOOKUP('Despacho - Anexo I'!A50,Total!$A$4:$W$102,23,FALSE)*-1,0),0)</f>
        <v>170226.69</v>
      </c>
      <c r="C50" s="133">
        <v>75805895000130</v>
      </c>
    </row>
    <row r="51" spans="1:13" ht="13.5">
      <c r="A51" s="109" t="s">
        <v>258</v>
      </c>
      <c r="B51" s="136">
        <f>IFERROR(IF(VLOOKUP('Despacho - Anexo I'!A51,Total!$A$4:$W$102,23,FALSE)&lt;0,VLOOKUP('Despacho - Anexo I'!A51,Total!$A$4:$W$102,23,FALSE)*-1,0),0)</f>
        <v>63748.248627560977</v>
      </c>
      <c r="C51" s="133">
        <v>1377555000110</v>
      </c>
      <c r="E51" s="155"/>
      <c r="G51" s="26"/>
      <c r="M51" s="26"/>
    </row>
    <row r="52" spans="1:13" ht="13.5">
      <c r="A52" s="109" t="s">
        <v>83</v>
      </c>
      <c r="B52" s="136">
        <f>IFERROR(IF(VLOOKUP('Despacho - Anexo I'!A52,Total!$A$4:$W$102,23,FALSE)&lt;0,VLOOKUP('Despacho - Anexo I'!A52,Total!$A$4:$W$102,23,FALSE)*-1,0),0)</f>
        <v>150059.24562417858</v>
      </c>
      <c r="C52" s="133">
        <v>83647990000181</v>
      </c>
      <c r="E52" s="155"/>
      <c r="G52" s="26"/>
      <c r="M52" s="26"/>
    </row>
    <row r="53" spans="1:13" ht="13.5">
      <c r="A53" s="109" t="s">
        <v>84</v>
      </c>
      <c r="B53" s="136">
        <f>IFERROR(IF(VLOOKUP('Despacho - Anexo I'!A53,Total!$A$4:$W$102,23,FALSE)&lt;0,VLOOKUP('Despacho - Anexo I'!A53,Total!$A$4:$W$102,23,FALSE)*-1,0),0)</f>
        <v>92865.76846616315</v>
      </c>
      <c r="C53" s="133">
        <v>95289500000100</v>
      </c>
      <c r="E53" s="155"/>
      <c r="G53" s="26"/>
      <c r="M53" s="26"/>
    </row>
    <row r="54" spans="1:13" ht="13.5" hidden="1">
      <c r="A54" s="109" t="s">
        <v>85</v>
      </c>
      <c r="B54" s="136">
        <f>IFERROR(IF(VLOOKUP('Despacho - Anexo I'!A54,Total!$A$4:$W$102,23,FALSE)&lt;0,VLOOKUP('Despacho - Anexo I'!A54,Total!$A$4:$W$102,23,FALSE)*-1,0),0)</f>
        <v>0</v>
      </c>
      <c r="C54" s="133">
        <v>86301124000122</v>
      </c>
      <c r="E54" s="155"/>
      <c r="G54" s="26"/>
      <c r="M54" s="26"/>
    </row>
    <row r="55" spans="1:13" ht="13.5">
      <c r="A55" s="109" t="s">
        <v>86</v>
      </c>
      <c r="B55" s="136">
        <f>IFERROR(IF(VLOOKUP('Despacho - Anexo I'!A55,Total!$A$4:$W$102,23,FALSE)&lt;0,VLOOKUP('Despacho - Anexo I'!A55,Total!$A$4:$W$102,23,FALSE)*-1,0),0)</f>
        <v>3420.2585403254666</v>
      </c>
      <c r="C55" s="133">
        <v>86531175000140</v>
      </c>
      <c r="E55" s="155"/>
      <c r="G55" s="26"/>
      <c r="M55" s="26"/>
    </row>
    <row r="56" spans="1:13" ht="13.5">
      <c r="A56" s="109" t="s">
        <v>87</v>
      </c>
      <c r="B56" s="136">
        <f>IFERROR(IF(VLOOKUP('Despacho - Anexo I'!A56,Total!$A$4:$W$102,23,FALSE)&lt;0,VLOOKUP('Despacho - Anexo I'!A56,Total!$A$4:$W$102,23,FALSE)*-1,0),0)</f>
        <v>194001.34510672634</v>
      </c>
      <c r="C56" s="133">
        <v>88446034000155</v>
      </c>
      <c r="E56" s="155"/>
      <c r="G56" s="26"/>
      <c r="M56" s="26"/>
    </row>
    <row r="57" spans="1:13" ht="13.5" hidden="1">
      <c r="A57" s="109" t="s">
        <v>88</v>
      </c>
      <c r="B57" s="136">
        <f>IFERROR(IF(VLOOKUP('Despacho - Anexo I'!A57,Total!$A$4:$W$102,23,FALSE)&lt;0,VLOOKUP('Despacho - Anexo I'!A57,Total!$A$4:$W$102,23,FALSE)*-1,0),0)</f>
        <v>0</v>
      </c>
      <c r="C57" s="133">
        <v>27485069000109</v>
      </c>
      <c r="E57" s="155"/>
      <c r="G57" s="26"/>
      <c r="M57" s="26"/>
    </row>
    <row r="58" spans="1:13" ht="13.5">
      <c r="A58" s="109" t="s">
        <v>89</v>
      </c>
      <c r="B58" s="136">
        <f>IFERROR(IF(VLOOKUP('Despacho - Anexo I'!A58,Total!$A$4:$W$102,23,FALSE)&lt;0,VLOOKUP('Despacho - Anexo I'!A58,Total!$A$4:$W$102,23,FALSE)*-1,0),0)</f>
        <v>321790.58999999997</v>
      </c>
      <c r="C58" s="133">
        <v>33249046000106</v>
      </c>
      <c r="E58" s="155"/>
      <c r="G58" s="26"/>
      <c r="M58" s="26"/>
    </row>
    <row r="59" spans="1:13" ht="13.5">
      <c r="A59" s="109" t="s">
        <v>90</v>
      </c>
      <c r="B59" s="136">
        <f>IFERROR(IF(VLOOKUP('Despacho - Anexo I'!A59,Total!$A$4:$W$102,23,FALSE)&lt;0,VLOOKUP('Despacho - Anexo I'!A59,Total!$A$4:$W$102,23,FALSE)*-1,0),0)</f>
        <v>63911.73639631582</v>
      </c>
      <c r="C59" s="133">
        <v>79850574000109</v>
      </c>
      <c r="E59" s="155"/>
      <c r="G59" s="26"/>
      <c r="M59" s="26"/>
    </row>
    <row r="60" spans="1:13" ht="13.5">
      <c r="A60" s="109" t="s">
        <v>91</v>
      </c>
      <c r="B60" s="136">
        <f>IFERROR(IF(VLOOKUP('Despacho - Anexo I'!A60,Total!$A$4:$W$102,23,FALSE)&lt;0,VLOOKUP('Despacho - Anexo I'!A60,Total!$A$4:$W$102,23,FALSE)*-1,0),0)</f>
        <v>129259.340074106</v>
      </c>
      <c r="C60" s="133">
        <v>91982348000187</v>
      </c>
      <c r="E60" s="155"/>
      <c r="G60" s="26"/>
      <c r="M60" s="26"/>
    </row>
    <row r="61" spans="1:13" ht="13.5">
      <c r="A61" s="109" t="s">
        <v>92</v>
      </c>
      <c r="B61" s="136">
        <f>IFERROR(IF(VLOOKUP('Despacho - Anexo I'!A61,Total!$A$4:$W$102,23,FALSE)&lt;0,VLOOKUP('Despacho - Anexo I'!A61,Total!$A$4:$W$102,23,FALSE)*-1,0),0)</f>
        <v>75670.742517349776</v>
      </c>
      <c r="C61" s="133">
        <v>97578090000134</v>
      </c>
      <c r="E61" s="155"/>
      <c r="G61" s="26"/>
      <c r="M61" s="26"/>
    </row>
    <row r="62" spans="1:13" ht="13.5">
      <c r="A62" s="109" t="s">
        <v>93</v>
      </c>
      <c r="B62" s="136">
        <f>IFERROR(IF(VLOOKUP('Despacho - Anexo I'!A62,Total!$A$4:$W$102,23,FALSE)&lt;0,VLOOKUP('Despacho - Anexo I'!A62,Total!$A$4:$W$102,23,FALSE)*-1,0),0)</f>
        <v>195101.34</v>
      </c>
      <c r="C62" s="133">
        <v>13255658000196</v>
      </c>
      <c r="E62" s="155"/>
      <c r="G62" s="26"/>
      <c r="M62" s="26"/>
    </row>
    <row r="63" spans="1:13" ht="13.5">
      <c r="A63" s="109" t="s">
        <v>94</v>
      </c>
      <c r="B63" s="136">
        <f>IFERROR(IF(VLOOKUP('Despacho - Anexo I'!A63,Total!$A$4:$W$102,23,FALSE)&lt;0,VLOOKUP('Despacho - Anexo I'!A63,Total!$A$4:$W$102,23,FALSE)*-1,0),0)</f>
        <v>48976.86</v>
      </c>
      <c r="C63" s="133">
        <v>89889604000144</v>
      </c>
      <c r="E63" s="155"/>
      <c r="G63" s="26"/>
      <c r="M63" s="26"/>
    </row>
    <row r="64" spans="1:13" ht="13.5">
      <c r="A64" s="109" t="s">
        <v>122</v>
      </c>
      <c r="B64" s="136">
        <f>IFERROR(IF(VLOOKUP('Despacho - Anexo I'!A64,Total!$A$4:$W$102,23,FALSE)&lt;0,VLOOKUP('Despacho - Anexo I'!A64,Total!$A$4:$W$102,23,FALSE)*-1,0),0)</f>
        <v>261060.05000000115</v>
      </c>
      <c r="C64" s="133">
        <v>77882504000107</v>
      </c>
      <c r="E64" s="155"/>
      <c r="G64" s="26"/>
      <c r="M64" s="26"/>
    </row>
    <row r="65" spans="1:13" ht="13.5">
      <c r="A65" s="109" t="s">
        <v>174</v>
      </c>
      <c r="B65" s="136">
        <f>IFERROR(IF(VLOOKUP('Despacho - Anexo I'!A65,Total!$A$4:$W$102,23,FALSE)&lt;0,VLOOKUP('Despacho - Anexo I'!A65,Total!$A$4:$W$102,23,FALSE)*-1,0),0)</f>
        <v>22952.823280452914</v>
      </c>
      <c r="C65" s="133">
        <v>60196987000193</v>
      </c>
      <c r="E65" s="155"/>
      <c r="G65" s="26"/>
      <c r="M65" s="26"/>
    </row>
    <row r="66" spans="1:13" ht="13.5">
      <c r="A66" s="109" t="s">
        <v>175</v>
      </c>
      <c r="B66" s="136">
        <f>IFERROR(IF(VLOOKUP('Despacho - Anexo I'!A66,Total!$A$4:$W$102,23,FALSE)&lt;0,VLOOKUP('Despacho - Anexo I'!A66,Total!$A$4:$W$102,23,FALSE)*-1,0),0)</f>
        <v>11866.66041430841</v>
      </c>
      <c r="C66" s="133">
        <v>50105865000190</v>
      </c>
      <c r="E66" s="155"/>
      <c r="G66" s="26"/>
      <c r="M66" s="26"/>
    </row>
    <row r="67" spans="1:13" ht="13.5">
      <c r="A67" s="109" t="s">
        <v>176</v>
      </c>
      <c r="B67" s="136">
        <f>IFERROR(IF(VLOOKUP('Despacho - Anexo I'!A67,Total!$A$4:$W$102,23,FALSE)&lt;0,VLOOKUP('Despacho - Anexo I'!A67,Total!$A$4:$W$102,23,FALSE)*-1,0),0)</f>
        <v>8476.0780108703912</v>
      </c>
      <c r="C67" s="133">
        <v>50235449000107</v>
      </c>
      <c r="E67" s="155"/>
      <c r="G67" s="26"/>
      <c r="M67" s="26"/>
    </row>
    <row r="68" spans="1:13" ht="13.5">
      <c r="A68" s="109" t="s">
        <v>177</v>
      </c>
      <c r="B68" s="136">
        <f>IFERROR(IF(VLOOKUP('Despacho - Anexo I'!A68,Total!$A$4:$W$102,23,FALSE)&lt;0,VLOOKUP('Despacho - Anexo I'!A68,Total!$A$4:$W$102,23,FALSE)*-1,0),0)</f>
        <v>153192.37588917435</v>
      </c>
      <c r="C68" s="133">
        <v>49606312000132</v>
      </c>
      <c r="E68" s="155"/>
      <c r="G68" s="26"/>
      <c r="M68" s="26"/>
    </row>
    <row r="69" spans="1:13" ht="13.5">
      <c r="A69" s="109" t="s">
        <v>178</v>
      </c>
      <c r="B69" s="136">
        <f>IFERROR(IF(VLOOKUP('Despacho - Anexo I'!A69,Total!$A$4:$W$102,23,FALSE)&lt;0,VLOOKUP('Despacho - Anexo I'!A69,Total!$A$4:$W$102,23,FALSE)*-1,0),0)</f>
        <v>16757.779999999995</v>
      </c>
      <c r="C69" s="133">
        <v>57384943000182</v>
      </c>
      <c r="E69" s="155"/>
      <c r="G69" s="26"/>
      <c r="M69" s="26"/>
    </row>
    <row r="70" spans="1:13" ht="13.5">
      <c r="A70" s="109" t="s">
        <v>179</v>
      </c>
      <c r="B70" s="136">
        <f>IFERROR(IF(VLOOKUP('Despacho - Anexo I'!A70,Total!$A$4:$W$102,23,FALSE)&lt;0,VLOOKUP('Despacho - Anexo I'!A70,Total!$A$4:$W$102,23,FALSE)*-1,0),0)</f>
        <v>3601.8100391959001</v>
      </c>
      <c r="C70" s="133">
        <v>52548732000114</v>
      </c>
      <c r="E70" s="155"/>
      <c r="G70" s="26"/>
      <c r="M70" s="26"/>
    </row>
    <row r="71" spans="1:13" ht="13.5">
      <c r="A71" s="109" t="s">
        <v>180</v>
      </c>
      <c r="B71" s="136">
        <f>IFERROR(IF(VLOOKUP('Despacho - Anexo I'!A71,Total!$A$4:$W$102,23,FALSE)&lt;0,VLOOKUP('Despacho - Anexo I'!A71,Total!$A$4:$W$102,23,FALSE)*-1,0),0)</f>
        <v>3294.44</v>
      </c>
      <c r="C71" s="133">
        <v>53176038000186</v>
      </c>
      <c r="E71" s="155"/>
      <c r="G71" s="26"/>
      <c r="M71" s="26"/>
    </row>
    <row r="72" spans="1:13" ht="13.5" hidden="1">
      <c r="A72" s="109" t="s">
        <v>181</v>
      </c>
      <c r="B72" s="136">
        <f>IFERROR(IF(VLOOKUP('Despacho - Anexo I'!A72,Total!$A$4:$W$102,23,FALSE)&lt;0,VLOOKUP('Despacho - Anexo I'!A72,Total!$A$4:$W$102,23,FALSE)*-1,0),0)</f>
        <v>0</v>
      </c>
      <c r="C72" s="133">
        <v>44560381000139</v>
      </c>
      <c r="E72" s="155"/>
      <c r="G72" s="26"/>
      <c r="M72" s="26"/>
    </row>
    <row r="73" spans="1:13" ht="13.5">
      <c r="A73" s="109" t="s">
        <v>182</v>
      </c>
      <c r="B73" s="136">
        <f>IFERROR(IF(VLOOKUP('Despacho - Anexo I'!A73,Total!$A$4:$W$102,23,FALSE)&lt;0,VLOOKUP('Despacho - Anexo I'!A73,Total!$A$4:$W$102,23,FALSE)*-1,0),0)</f>
        <v>61748.461454735807</v>
      </c>
      <c r="C73" s="133">
        <v>46598678000119</v>
      </c>
      <c r="E73" s="155"/>
      <c r="G73" s="26"/>
      <c r="M73" s="26"/>
    </row>
    <row r="74" spans="1:13" ht="13.5">
      <c r="A74" s="109" t="s">
        <v>183</v>
      </c>
      <c r="B74" s="136">
        <f>IFERROR(IF(VLOOKUP('Despacho - Anexo I'!A74,Total!$A$4:$W$102,23,FALSE)&lt;0,VLOOKUP('Despacho - Anexo I'!A74,Total!$A$4:$W$102,23,FALSE)*-1,0),0)</f>
        <v>54268.238520289196</v>
      </c>
      <c r="C74" s="133">
        <v>49313653000110</v>
      </c>
      <c r="E74" s="155"/>
      <c r="G74" s="26"/>
      <c r="M74" s="26"/>
    </row>
    <row r="75" spans="1:13" ht="13.5">
      <c r="A75" s="109" t="s">
        <v>184</v>
      </c>
      <c r="B75" s="136">
        <f>IFERROR(IF(VLOOKUP('Despacho - Anexo I'!A75,Total!$A$4:$W$102,23,FALSE)&lt;0,VLOOKUP('Despacho - Anexo I'!A75,Total!$A$4:$W$102,23,FALSE)*-1,0),0)</f>
        <v>39930.884203760717</v>
      </c>
      <c r="C75" s="133">
        <v>85665990000130</v>
      </c>
      <c r="E75" s="155"/>
      <c r="G75" s="26"/>
      <c r="M75" s="26"/>
    </row>
    <row r="76" spans="1:13" ht="13.5">
      <c r="A76" s="109" t="s">
        <v>185</v>
      </c>
      <c r="B76" s="136">
        <f>IFERROR(IF(VLOOKUP('Despacho - Anexo I'!A76,Total!$A$4:$W$102,23,FALSE)&lt;0,VLOOKUP('Despacho - Anexo I'!A76,Total!$A$4:$W$102,23,FALSE)*-1,0),0)</f>
        <v>56465.472209939944</v>
      </c>
      <c r="C76" s="133">
        <v>78274610000170</v>
      </c>
      <c r="E76" s="155"/>
      <c r="G76" s="26"/>
      <c r="M76" s="26"/>
    </row>
    <row r="77" spans="1:13" ht="13.5">
      <c r="A77" s="109" t="s">
        <v>186</v>
      </c>
      <c r="B77" s="136">
        <f>IFERROR(IF(VLOOKUP('Despacho - Anexo I'!A77,Total!$A$4:$W$102,23,FALSE)&lt;0,VLOOKUP('Despacho - Anexo I'!A77,Total!$A$4:$W$102,23,FALSE)*-1,0),0)</f>
        <v>67851.982547662861</v>
      </c>
      <c r="C77" s="133">
        <v>9364804000144</v>
      </c>
      <c r="E77" s="155"/>
      <c r="G77" s="26"/>
      <c r="M77" s="26"/>
    </row>
    <row r="78" spans="1:13" ht="13.5">
      <c r="A78" s="109" t="s">
        <v>187</v>
      </c>
      <c r="B78" s="136">
        <f>IFERROR(IF(VLOOKUP('Despacho - Anexo I'!A78,Total!$A$4:$W$102,23,FALSE)&lt;0,VLOOKUP('Despacho - Anexo I'!A78,Total!$A$4:$W$102,23,FALSE)*-1,0),0)</f>
        <v>12091.578254881289</v>
      </c>
      <c r="C78" s="133">
        <v>75826404000138</v>
      </c>
      <c r="E78" s="155"/>
      <c r="G78" s="26"/>
      <c r="M78" s="26"/>
    </row>
    <row r="79" spans="1:13" ht="13.5">
      <c r="A79" s="109" t="s">
        <v>188</v>
      </c>
      <c r="B79" s="136">
        <f>IFERROR(IF(VLOOKUP('Despacho - Anexo I'!A79,Total!$A$4:$W$102,23,FALSE)&lt;0,VLOOKUP('Despacho - Anexo I'!A79,Total!$A$4:$W$102,23,FALSE)*-1,0),0)</f>
        <v>151663.59764349359</v>
      </c>
      <c r="C79" s="133">
        <v>86433042000131</v>
      </c>
      <c r="E79" s="155"/>
      <c r="G79" s="26"/>
      <c r="M79" s="26"/>
    </row>
    <row r="80" spans="1:13" ht="13.5">
      <c r="A80" s="109" t="s">
        <v>189</v>
      </c>
      <c r="B80" s="136">
        <f>IFERROR(IF(VLOOKUP('Despacho - Anexo I'!A80,Total!$A$4:$W$102,23,FALSE)&lt;0,VLOOKUP('Despacho - Anexo I'!A80,Total!$A$4:$W$102,23,FALSE)*-1,0),0)</f>
        <v>43111.357256025745</v>
      </c>
      <c r="C80" s="133">
        <v>82574864000181</v>
      </c>
      <c r="E80" s="155"/>
      <c r="G80" s="26"/>
      <c r="M80" s="26"/>
    </row>
    <row r="81" spans="1:13" ht="13.5">
      <c r="A81" s="109" t="s">
        <v>190</v>
      </c>
      <c r="B81" s="136">
        <f>IFERROR(IF(VLOOKUP('Despacho - Anexo I'!A81,Total!$A$4:$W$102,23,FALSE)&lt;0,VLOOKUP('Despacho - Anexo I'!A81,Total!$A$4:$W$102,23,FALSE)*-1,0),0)</f>
        <v>27504.521904750178</v>
      </c>
      <c r="C81" s="133">
        <v>86439510000185</v>
      </c>
      <c r="E81" s="155"/>
      <c r="G81" s="26"/>
      <c r="M81" s="26"/>
    </row>
    <row r="82" spans="1:13" ht="13.5">
      <c r="A82" s="109" t="s">
        <v>191</v>
      </c>
      <c r="B82" s="136">
        <f>IFERROR(IF(VLOOKUP('Despacho - Anexo I'!A82,Total!$A$4:$W$102,23,FALSE)&lt;0,VLOOKUP('Despacho - Anexo I'!A82,Total!$A$4:$W$102,23,FALSE)*-1,0),0)</f>
        <v>42013.17110719061</v>
      </c>
      <c r="C82" s="133">
        <v>1229747000189</v>
      </c>
      <c r="E82" s="155"/>
      <c r="G82" s="26"/>
      <c r="M82" s="26"/>
    </row>
    <row r="83" spans="1:13" ht="13.5">
      <c r="A83" s="109" t="s">
        <v>192</v>
      </c>
      <c r="B83" s="136">
        <f>IFERROR(IF(VLOOKUP('Despacho - Anexo I'!A83,Total!$A$4:$W$102,23,FALSE)&lt;0,VLOOKUP('Despacho - Anexo I'!A83,Total!$A$4:$W$102,23,FALSE)*-1,0),0)</f>
        <v>39580.196219590893</v>
      </c>
      <c r="C83" s="133">
        <v>86449170000173</v>
      </c>
      <c r="E83" s="155"/>
      <c r="G83" s="26"/>
      <c r="M83" s="26"/>
    </row>
    <row r="84" spans="1:13" ht="13.5">
      <c r="A84" s="109" t="s">
        <v>193</v>
      </c>
      <c r="B84" s="136">
        <f>IFERROR(IF(VLOOKUP('Despacho - Anexo I'!A84,Total!$A$4:$W$102,23,FALSE)&lt;0,VLOOKUP('Despacho - Anexo I'!A84,Total!$A$4:$W$102,23,FALSE)*-1,0),0)</f>
        <v>171796.83519657305</v>
      </c>
      <c r="C84" s="133">
        <v>86533346000170</v>
      </c>
      <c r="E84" s="155"/>
      <c r="G84" s="26"/>
      <c r="M84" s="26"/>
    </row>
    <row r="85" spans="1:13" ht="13.5">
      <c r="A85" s="109" t="s">
        <v>194</v>
      </c>
      <c r="B85" s="136">
        <f>IFERROR(IF(VLOOKUP('Despacho - Anexo I'!A85,Total!$A$4:$W$102,23,FALSE)&lt;0,VLOOKUP('Despacho - Anexo I'!A85,Total!$A$4:$W$102,23,FALSE)*-1,0),0)</f>
        <v>51553.38482546444</v>
      </c>
      <c r="C85" s="133">
        <v>85318640000105</v>
      </c>
      <c r="E85" s="155"/>
      <c r="G85" s="26"/>
      <c r="M85" s="26"/>
    </row>
    <row r="86" spans="1:13" ht="13.5">
      <c r="A86" s="109" t="s">
        <v>195</v>
      </c>
      <c r="B86" s="136">
        <f>IFERROR(IF(VLOOKUP('Despacho - Anexo I'!A86,Total!$A$4:$W$102,23,FALSE)&lt;0,VLOOKUP('Despacho - Anexo I'!A86,Total!$A$4:$W$102,23,FALSE)*-1,0),0)</f>
        <v>182077.08871673487</v>
      </c>
      <c r="C86" s="133">
        <v>86512670000102</v>
      </c>
      <c r="E86" s="155"/>
      <c r="G86" s="26"/>
      <c r="M86" s="26"/>
    </row>
    <row r="87" spans="1:13" ht="13.5">
      <c r="A87" s="109" t="s">
        <v>196</v>
      </c>
      <c r="B87" s="136">
        <f>IFERROR(IF(VLOOKUP('Despacho - Anexo I'!A87,Total!$A$4:$W$102,23,FALSE)&lt;0,VLOOKUP('Despacho - Anexo I'!A87,Total!$A$4:$W$102,23,FALSE)*-1,0),0)</f>
        <v>63820.200000000004</v>
      </c>
      <c r="C87" s="133">
        <v>76583962000182</v>
      </c>
      <c r="E87" s="155"/>
      <c r="G87" s="26"/>
      <c r="M87" s="26"/>
    </row>
    <row r="88" spans="1:13" ht="13.5">
      <c r="A88" s="109" t="s">
        <v>197</v>
      </c>
      <c r="B88" s="136">
        <f>IFERROR(IF(VLOOKUP('Despacho - Anexo I'!A88,Total!$A$4:$W$102,23,FALSE)&lt;0,VLOOKUP('Despacho - Anexo I'!A88,Total!$A$4:$W$102,23,FALSE)*-1,0),0)</f>
        <v>292363.27290816681</v>
      </c>
      <c r="C88" s="133">
        <v>83646653000170</v>
      </c>
      <c r="E88" s="155"/>
      <c r="G88" s="26"/>
      <c r="M88" s="26"/>
    </row>
    <row r="89" spans="1:13" ht="13.5">
      <c r="A89" s="109" t="s">
        <v>198</v>
      </c>
      <c r="B89" s="136">
        <f>IFERROR(IF(VLOOKUP('Despacho - Anexo I'!A89,Total!$A$4:$W$102,23,FALSE)&lt;0,VLOOKUP('Despacho - Anexo I'!A89,Total!$A$4:$W$102,23,FALSE)*-1,0),0)</f>
        <v>96275.929304709178</v>
      </c>
      <c r="C89" s="133">
        <v>86532348000145</v>
      </c>
      <c r="E89" s="155"/>
      <c r="G89" s="26"/>
      <c r="M89" s="26"/>
    </row>
    <row r="90" spans="1:13" ht="13.5">
      <c r="A90" s="109" t="s">
        <v>199</v>
      </c>
      <c r="B90" s="136">
        <f>IFERROR(IF(VLOOKUP('Despacho - Anexo I'!A90,Total!$A$4:$W$102,23,FALSE)&lt;0,VLOOKUP('Despacho - Anexo I'!A90,Total!$A$4:$W$102,23,FALSE)*-1,0),0)</f>
        <v>20126.40761913325</v>
      </c>
      <c r="C90" s="133">
        <v>75568154000183</v>
      </c>
      <c r="E90" s="155"/>
      <c r="G90" s="26"/>
      <c r="M90" s="26"/>
    </row>
    <row r="91" spans="1:13" ht="13.5">
      <c r="A91" s="109" t="s">
        <v>200</v>
      </c>
      <c r="B91" s="136">
        <f>IFERROR(IF(VLOOKUP('Despacho - Anexo I'!A91,Total!$A$4:$W$102,23,FALSE)&lt;0,VLOOKUP('Despacho - Anexo I'!A91,Total!$A$4:$W$102,23,FALSE)*-1,0),0)</f>
        <v>34518.182143931568</v>
      </c>
      <c r="C91" s="133">
        <v>86448057000173</v>
      </c>
      <c r="E91" s="155"/>
      <c r="G91" s="26"/>
      <c r="M91" s="26"/>
    </row>
    <row r="92" spans="1:13" ht="13.5">
      <c r="A92" s="109" t="s">
        <v>201</v>
      </c>
      <c r="B92" s="136">
        <f>IFERROR(IF(VLOOKUP('Despacho - Anexo I'!A92,Total!$A$4:$W$102,23,FALSE)&lt;0,VLOOKUP('Despacho - Anexo I'!A92,Total!$A$4:$W$102,23,FALSE)*-1,0),0)</f>
        <v>113037.15853139441</v>
      </c>
      <c r="C92" s="133">
        <v>87656989000174</v>
      </c>
      <c r="E92" s="155"/>
      <c r="G92" s="26"/>
      <c r="M92" s="26"/>
    </row>
    <row r="93" spans="1:13" ht="13.5">
      <c r="A93" s="109" t="s">
        <v>202</v>
      </c>
      <c r="B93" s="136">
        <f>IFERROR(IF(VLOOKUP('Despacho - Anexo I'!A93,Total!$A$4:$W$102,23,FALSE)&lt;0,VLOOKUP('Despacho - Anexo I'!A93,Total!$A$4:$W$102,23,FALSE)*-1,0),0)</f>
        <v>94817.770369688224</v>
      </c>
      <c r="C93" s="133">
        <v>97081434000103</v>
      </c>
      <c r="E93" s="155"/>
      <c r="G93" s="26"/>
      <c r="M93" s="26"/>
    </row>
    <row r="94" spans="1:13" ht="13.5">
      <c r="A94" s="109" t="s">
        <v>203</v>
      </c>
      <c r="B94" s="136">
        <f>IFERROR(IF(VLOOKUP('Despacho - Anexo I'!A94,Total!$A$4:$W$102,23,FALSE)&lt;0,VLOOKUP('Despacho - Anexo I'!A94,Total!$A$4:$W$102,23,FALSE)*-1,0),0)</f>
        <v>99387.44</v>
      </c>
      <c r="C94" s="133">
        <v>97839922000129</v>
      </c>
      <c r="E94" s="155"/>
      <c r="G94" s="26"/>
      <c r="M94" s="26"/>
    </row>
    <row r="95" spans="1:13" ht="13.5">
      <c r="A95" s="109" t="s">
        <v>204</v>
      </c>
      <c r="B95" s="136">
        <f>IFERROR(IF(VLOOKUP('Despacho - Anexo I'!A95,Total!$A$4:$W$102,23,FALSE)&lt;0,VLOOKUP('Despacho - Anexo I'!A95,Total!$A$4:$W$102,23,FALSE)*-1,0),0)</f>
        <v>439405.60719143209</v>
      </c>
      <c r="C95" s="133">
        <v>9257558000121</v>
      </c>
      <c r="E95" s="155"/>
      <c r="G95" s="26"/>
      <c r="M95" s="26"/>
    </row>
    <row r="96" spans="1:13" ht="13.5">
      <c r="A96" s="109" t="s">
        <v>205</v>
      </c>
      <c r="B96" s="136">
        <f>IFERROR(IF(VLOOKUP('Despacho - Anexo I'!A96,Total!$A$4:$W$102,23,FALSE)&lt;0,VLOOKUP('Despacho - Anexo I'!A96,Total!$A$4:$W$102,23,FALSE)*-1,0),0)</f>
        <v>47714.689999999995</v>
      </c>
      <c r="C96" s="133">
        <v>95824322000161</v>
      </c>
      <c r="E96" s="155"/>
      <c r="G96" s="26"/>
      <c r="M96" s="26"/>
    </row>
    <row r="97" spans="1:13" ht="13.5">
      <c r="A97" s="109" t="s">
        <v>206</v>
      </c>
      <c r="B97" s="136">
        <f>IFERROR(IF(VLOOKUP('Despacho - Anexo I'!A97,Total!$A$4:$W$102,23,FALSE)&lt;0,VLOOKUP('Despacho - Anexo I'!A97,Total!$A$4:$W$102,23,FALSE)*-1,0),0)</f>
        <v>112624.82870572571</v>
      </c>
      <c r="C97" s="133">
        <v>90660754000160</v>
      </c>
      <c r="E97" s="155"/>
      <c r="G97" s="26"/>
      <c r="M97" s="26"/>
    </row>
    <row r="98" spans="1:13" ht="13.5">
      <c r="A98" s="109" t="s">
        <v>207</v>
      </c>
      <c r="B98" s="136">
        <f>IFERROR(IF(VLOOKUP('Despacho - Anexo I'!A98,Total!$A$4:$W$102,23,FALSE)&lt;0,VLOOKUP('Despacho - Anexo I'!A98,Total!$A$4:$W$102,23,FALSE)*-1,0),0)</f>
        <v>69873.12000000001</v>
      </c>
      <c r="C98" s="133">
        <v>91950261000128</v>
      </c>
      <c r="E98" s="155"/>
      <c r="G98" s="26"/>
      <c r="M98" s="26"/>
    </row>
    <row r="99" spans="1:13" ht="13.5">
      <c r="A99" s="109" t="s">
        <v>208</v>
      </c>
      <c r="B99" s="136">
        <f>IFERROR(IF(VLOOKUP('Despacho - Anexo I'!A99,Total!$A$4:$W$102,23,FALSE)&lt;0,VLOOKUP('Despacho - Anexo I'!A99,Total!$A$4:$W$102,23,FALSE)*-1,0),0)</f>
        <v>67347.040000000008</v>
      </c>
      <c r="C99" s="133">
        <v>89435598000155</v>
      </c>
      <c r="E99" s="155"/>
      <c r="G99" s="26"/>
      <c r="M99" s="26"/>
    </row>
    <row r="100" spans="1:13" ht="13.5">
      <c r="A100" s="109" t="s">
        <v>209</v>
      </c>
      <c r="B100" s="136">
        <f>IFERROR(IF(VLOOKUP('Despacho - Anexo I'!A100,Total!$A$4:$W$102,23,FALSE)&lt;0,VLOOKUP('Despacho - Anexo I'!A100,Total!$A$4:$W$102,23,FALSE)*-1,0),0)</f>
        <v>46198.710355153824</v>
      </c>
      <c r="C100" s="133">
        <v>10532365000110</v>
      </c>
      <c r="E100" s="155"/>
      <c r="G100" s="26"/>
      <c r="M100" s="26"/>
    </row>
    <row r="101" spans="1:13" ht="13.5">
      <c r="A101" s="109" t="s">
        <v>210</v>
      </c>
      <c r="B101" s="136">
        <f>IFERROR(IF(VLOOKUP('Despacho - Anexo I'!A101,Total!$A$4:$W$102,23,FALSE)&lt;0,VLOOKUP('Despacho - Anexo I'!A101,Total!$A$4:$W$102,23,FALSE)*-1,0),0)</f>
        <v>29637.680000000004</v>
      </c>
      <c r="C101" s="133">
        <v>31465487000101</v>
      </c>
      <c r="E101" s="155"/>
      <c r="G101" s="26"/>
      <c r="M101" s="26"/>
    </row>
    <row r="102" spans="1:13" ht="13.5">
      <c r="A102" s="109" t="s">
        <v>211</v>
      </c>
      <c r="B102" s="136">
        <f>IFERROR(IF(VLOOKUP('Despacho - Anexo I'!A102,Total!$A$4:$W$102,23,FALSE)&lt;0,VLOOKUP('Despacho - Anexo I'!A102,Total!$A$4:$W$102,23,FALSE)*-1,0),0)</f>
        <v>10310.189999999999</v>
      </c>
      <c r="C102" s="133">
        <v>13107842000199</v>
      </c>
      <c r="E102" s="155"/>
      <c r="G102" s="26"/>
      <c r="M102" s="26"/>
    </row>
    <row r="103" spans="1:13" ht="13.5">
      <c r="A103" s="110" t="s">
        <v>49</v>
      </c>
      <c r="B103" s="137">
        <f>SUM(B4:B102)</f>
        <v>127379105.5463815</v>
      </c>
      <c r="C103" s="135"/>
    </row>
    <row r="104" spans="1:13" hidden="1">
      <c r="A104" s="17"/>
    </row>
    <row r="105" spans="1:13" hidden="1">
      <c r="A105" s="19"/>
    </row>
    <row r="106" spans="1:13" hidden="1">
      <c r="A106" s="19"/>
    </row>
    <row r="108" spans="1:13">
      <c r="A108" s="20"/>
    </row>
    <row r="109" spans="1:13">
      <c r="A109" s="20"/>
    </row>
    <row r="111" spans="1:13">
      <c r="A111" s="2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Macro1">
                <anchor moveWithCells="1" sizeWithCells="1">
                  <from>
                    <xdr:col>2</xdr:col>
                    <xdr:colOff>590550</xdr:colOff>
                    <xdr:row>1</xdr:row>
                    <xdr:rowOff>104775</xdr:rowOff>
                  </from>
                  <to>
                    <xdr:col>4</xdr:col>
                    <xdr:colOff>257175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>
    <tabColor theme="6" tint="-0.499984740745262"/>
  </sheetPr>
  <dimension ref="A3:C111"/>
  <sheetViews>
    <sheetView topLeftCell="A32" zoomScale="115" zoomScaleNormal="115" workbookViewId="0">
      <selection activeCell="G42" sqref="G42"/>
    </sheetView>
  </sheetViews>
  <sheetFormatPr defaultRowHeight="12.75"/>
  <cols>
    <col min="1" max="1" width="15.140625" style="22" bestFit="1" customWidth="1"/>
    <col min="2" max="2" width="27.7109375" style="18" bestFit="1" customWidth="1"/>
    <col min="3" max="3" width="20.7109375" bestFit="1" customWidth="1"/>
  </cols>
  <sheetData>
    <row r="3" spans="1:3" ht="13.5">
      <c r="A3" s="105" t="s">
        <v>141</v>
      </c>
      <c r="B3" s="105" t="s">
        <v>140</v>
      </c>
      <c r="C3" s="132" t="s">
        <v>227</v>
      </c>
    </row>
    <row r="4" spans="1:3" ht="13.5" hidden="1">
      <c r="A4" s="106" t="s">
        <v>257</v>
      </c>
      <c r="B4" s="107">
        <f>IFERROR(IF(VLOOKUP('Despacho - Anexo II'!A4,Total!$A$4:$W$102,23,FALSE)&gt;=0,VLOOKUP('Despacho - Anexo II'!A4,Total!$A$4:$W$102,23,FALSE),0),0)</f>
        <v>0</v>
      </c>
      <c r="C4" s="133">
        <v>2016440000162</v>
      </c>
    </row>
    <row r="5" spans="1:3" ht="13.5" hidden="1">
      <c r="A5" s="106" t="s">
        <v>44</v>
      </c>
      <c r="B5" s="107">
        <f>IFERROR(IF(VLOOKUP('Despacho - Anexo II'!A5,Total!$A$4:$W$102,23,FALSE)&gt;=0,VLOOKUP('Despacho - Anexo II'!A5,Total!$A$4:$W$102,23,FALSE),0),0)</f>
        <v>0</v>
      </c>
      <c r="C5" s="133">
        <v>2341467000120</v>
      </c>
    </row>
    <row r="6" spans="1:3" ht="13.5" hidden="1">
      <c r="A6" s="106" t="s">
        <v>1</v>
      </c>
      <c r="B6" s="107">
        <f>IFERROR(IF(VLOOKUP('Despacho - Anexo II'!A6,Total!$A$4:$W$102,23,FALSE)&gt;=0,VLOOKUP('Despacho - Anexo II'!A6,Total!$A$4:$W$102,23,FALSE),0),0)</f>
        <v>0</v>
      </c>
      <c r="C6" s="133">
        <v>33050071000158</v>
      </c>
    </row>
    <row r="7" spans="1:3" ht="13.5">
      <c r="A7" s="106" t="s">
        <v>9</v>
      </c>
      <c r="B7" s="107">
        <f>IFERROR(IF(VLOOKUP('Despacho - Anexo II'!A7,Total!$A$4:$W$102,23,FALSE)&gt;=0,VLOOKUP('Despacho - Anexo II'!A7,Total!$A$4:$W$102,23,FALSE),0),0)</f>
        <v>9191408.2832659259</v>
      </c>
      <c r="C7" s="133">
        <v>2302100000106</v>
      </c>
    </row>
    <row r="8" spans="1:3" ht="13.5" hidden="1">
      <c r="A8" s="106" t="s">
        <v>41</v>
      </c>
      <c r="B8" s="107">
        <f>IFERROR(IF(VLOOKUP('Despacho - Anexo II'!A8,Total!$A$4:$W$102,23,FALSE)&gt;=0,VLOOKUP('Despacho - Anexo II'!A8,Total!$A$4:$W$102,23,FALSE),0),0)</f>
        <v>0</v>
      </c>
      <c r="C8" s="133">
        <v>7282377000120</v>
      </c>
    </row>
    <row r="9" spans="1:3" ht="13.5">
      <c r="A9" s="106" t="s">
        <v>75</v>
      </c>
      <c r="B9" s="107">
        <f>IFERROR(IF(VLOOKUP('Despacho - Anexo II'!A9,Total!$A$4:$W$102,23,FALSE)&gt;=0,VLOOKUP('Despacho - Anexo II'!A9,Total!$A$4:$W$102,23,FALSE),0),0)</f>
        <v>8072679.5363159347</v>
      </c>
      <c r="C9" s="133">
        <v>5965546000109</v>
      </c>
    </row>
    <row r="10" spans="1:3" ht="13.5">
      <c r="A10" s="106" t="s">
        <v>14</v>
      </c>
      <c r="B10" s="107">
        <f>IFERROR(IF(VLOOKUP('Despacho - Anexo II'!A10,Total!$A$4:$W$102,23,FALSE)&gt;=0,VLOOKUP('Despacho - Anexo II'!A10,Total!$A$4:$W$102,23,FALSE),0),0)</f>
        <v>5188153.6251631668</v>
      </c>
      <c r="C10" s="133">
        <v>12272084000100</v>
      </c>
    </row>
    <row r="11" spans="1:3" ht="13.5">
      <c r="A11" s="106" t="s">
        <v>37</v>
      </c>
      <c r="B11" s="107">
        <f>IFERROR(IF(VLOOKUP('Despacho - Anexo II'!A11,Total!$A$4:$W$102,23,FALSE)&gt;=0,VLOOKUP('Despacho - Anexo II'!A11,Total!$A$4:$W$102,23,FALSE),0),0)</f>
        <v>7024397.1446767356</v>
      </c>
      <c r="C11" s="133">
        <v>7522669000192</v>
      </c>
    </row>
    <row r="12" spans="1:3" ht="13.5">
      <c r="A12" s="106" t="s">
        <v>39</v>
      </c>
      <c r="B12" s="107">
        <f>IFERROR(IF(VLOOKUP('Despacho - Anexo II'!A12,Total!$A$4:$W$102,23,FALSE)&gt;=0,VLOOKUP('Despacho - Anexo II'!A12,Total!$A$4:$W$102,23,FALSE),0),0)</f>
        <v>1616934.824810473</v>
      </c>
      <c r="C12" s="133">
        <v>8467115000100</v>
      </c>
    </row>
    <row r="13" spans="1:3" ht="13.5" hidden="1">
      <c r="A13" s="106" t="s">
        <v>40</v>
      </c>
      <c r="B13" s="107">
        <f>IFERROR(IF(VLOOKUP('Despacho - Anexo II'!A13,Total!$A$4:$W$102,23,FALSE)&gt;=0,VLOOKUP('Despacho - Anexo II'!A13,Total!$A$4:$W$102,23,FALSE),0),0)</f>
        <v>0</v>
      </c>
      <c r="C13" s="133">
        <v>8336783000190</v>
      </c>
    </row>
    <row r="14" spans="1:3" ht="13.5">
      <c r="A14" s="106" t="s">
        <v>16</v>
      </c>
      <c r="B14" s="107">
        <f>IFERROR(IF(VLOOKUP('Despacho - Anexo II'!A14,Total!$A$4:$W$102,23,FALSE)&gt;=0,VLOOKUP('Despacho - Anexo II'!A14,Total!$A$4:$W$102,23,FALSE),0),0)</f>
        <v>8854506.1788918693</v>
      </c>
      <c r="C14" s="133">
        <v>1543032000104</v>
      </c>
    </row>
    <row r="15" spans="1:3" ht="13.5">
      <c r="A15" s="106" t="s">
        <v>28</v>
      </c>
      <c r="B15" s="107">
        <f>IFERROR(IF(VLOOKUP('Despacho - Anexo II'!A15,Total!$A$4:$W$102,23,FALSE)&gt;=0,VLOOKUP('Despacho - Anexo II'!A15,Total!$A$4:$W$102,23,FALSE),0),0)</f>
        <v>12058752.594268844</v>
      </c>
      <c r="C15" s="133">
        <v>4895728000180</v>
      </c>
    </row>
    <row r="16" spans="1:3" ht="13.5" hidden="1">
      <c r="A16" s="106" t="s">
        <v>17</v>
      </c>
      <c r="B16" s="107">
        <f>IFERROR(IF(VLOOKUP('Despacho - Anexo II'!A16,Total!$A$4:$W$102,23,FALSE)&gt;=0,VLOOKUP('Despacho - Anexo II'!A16,Total!$A$4:$W$102,23,FALSE),0),0)</f>
        <v>0</v>
      </c>
      <c r="C16" s="133">
        <v>10835932000108</v>
      </c>
    </row>
    <row r="17" spans="1:3" ht="13.5">
      <c r="A17" s="106" t="s">
        <v>171</v>
      </c>
      <c r="B17" s="107">
        <f>IFERROR(IF(VLOOKUP('Despacho - Anexo II'!A17,Total!$A$4:$W$102,23,FALSE)&gt;=0,VLOOKUP('Despacho - Anexo II'!A17,Total!$A$4:$W$102,23,FALSE),0),0)</f>
        <v>5012683.4682174055</v>
      </c>
      <c r="C17" s="133">
        <v>25086034000171</v>
      </c>
    </row>
    <row r="18" spans="1:3" ht="13.5">
      <c r="A18" s="106" t="s">
        <v>18</v>
      </c>
      <c r="B18" s="107">
        <f>IFERROR(IF(VLOOKUP('Despacho - Anexo II'!A18,Total!$A$4:$W$102,23,FALSE)&gt;=0,VLOOKUP('Despacho - Anexo II'!A18,Total!$A$4:$W$102,23,FALSE),0),0)</f>
        <v>10927097.838304956</v>
      </c>
      <c r="C18" s="133">
        <v>6272793000184</v>
      </c>
    </row>
    <row r="19" spans="1:3" ht="13.5" hidden="1">
      <c r="A19" s="106" t="s">
        <v>170</v>
      </c>
      <c r="B19" s="107">
        <f>IFERROR(IF(VLOOKUP('Despacho - Anexo II'!A19,Total!$A$4:$W$102,23,FALSE)&gt;=0,VLOOKUP('Despacho - Anexo II'!A19,Total!$A$4:$W$102,23,FALSE),0),0)</f>
        <v>0</v>
      </c>
      <c r="C19" s="133">
        <v>3467321000199</v>
      </c>
    </row>
    <row r="20" spans="1:3" ht="13.5" hidden="1">
      <c r="A20" s="106" t="s">
        <v>36</v>
      </c>
      <c r="B20" s="107">
        <f>IFERROR(IF(VLOOKUP('Despacho - Anexo II'!A20,Total!$A$4:$W$102,23,FALSE)&gt;=0,VLOOKUP('Despacho - Anexo II'!A20,Total!$A$4:$W$102,23,FALSE),0),0)</f>
        <v>0</v>
      </c>
      <c r="C20" s="133">
        <v>6981180000116</v>
      </c>
    </row>
    <row r="21" spans="1:3" ht="13.5">
      <c r="A21" s="106" t="s">
        <v>19</v>
      </c>
      <c r="B21" s="107">
        <f>IFERROR(IF(VLOOKUP('Despacho - Anexo II'!A21,Total!$A$4:$W$102,23,FALSE)&gt;=0,VLOOKUP('Despacho - Anexo II'!A21,Total!$A$4:$W$102,23,FALSE),0),0)</f>
        <v>2606655.1551344008</v>
      </c>
      <c r="C21" s="133">
        <v>6840748000189</v>
      </c>
    </row>
    <row r="22" spans="1:3" ht="13.5" hidden="1">
      <c r="A22" s="106" t="s">
        <v>45</v>
      </c>
      <c r="B22" s="107">
        <f>IFERROR(IF(VLOOKUP('Despacho - Anexo II'!A22,Total!$A$4:$W$102,23,FALSE)&gt;=0,VLOOKUP('Despacho - Anexo II'!A22,Total!$A$4:$W$102,23,FALSE),0),0)</f>
        <v>0</v>
      </c>
      <c r="C22" s="133">
        <v>5914650000166</v>
      </c>
    </row>
    <row r="23" spans="1:3" ht="13.5" hidden="1">
      <c r="A23" s="106" t="s">
        <v>11</v>
      </c>
      <c r="B23" s="107">
        <f>IFERROR(IF(VLOOKUP('Despacho - Anexo II'!A23,Total!$A$4:$W$102,23,FALSE)&gt;=0,VLOOKUP('Despacho - Anexo II'!A23,Total!$A$4:$W$102,23,FALSE),0),0)</f>
        <v>0</v>
      </c>
      <c r="C23" s="133">
        <v>61416244000144</v>
      </c>
    </row>
    <row r="24" spans="1:3" ht="13.5" hidden="1">
      <c r="A24" s="106" t="s">
        <v>4</v>
      </c>
      <c r="B24" s="107">
        <f>IFERROR(IF(VLOOKUP('Despacho - Anexo II'!A24,Total!$A$4:$W$102,23,FALSE)&gt;=0,VLOOKUP('Despacho - Anexo II'!A24,Total!$A$4:$W$102,23,FALSE),0),0)</f>
        <v>0</v>
      </c>
      <c r="C24" s="133">
        <v>15139629000194</v>
      </c>
    </row>
    <row r="25" spans="1:3" ht="13.5" hidden="1">
      <c r="A25" s="106" t="s">
        <v>20</v>
      </c>
      <c r="B25" s="107">
        <f>IFERROR(IF(VLOOKUP('Despacho - Anexo II'!A25,Total!$A$4:$W$102,23,FALSE)&gt;=0,VLOOKUP('Despacho - Anexo II'!A25,Total!$A$4:$W$102,23,FALSE),0),0)</f>
        <v>0</v>
      </c>
      <c r="C25" s="133">
        <v>7047251000170</v>
      </c>
    </row>
    <row r="26" spans="1:3" ht="13.5">
      <c r="A26" s="106" t="s">
        <v>31</v>
      </c>
      <c r="B26" s="107">
        <f>IFERROR(IF(VLOOKUP('Despacho - Anexo II'!A26,Total!$A$4:$W$102,23,FALSE)&gt;=0,VLOOKUP('Despacho - Anexo II'!A26,Total!$A$4:$W$102,23,FALSE),0),0)</f>
        <v>9780079.0889782272</v>
      </c>
      <c r="C26" s="133">
        <v>4368898000106</v>
      </c>
    </row>
    <row r="27" spans="1:3" ht="13.5" hidden="1">
      <c r="A27" s="106" t="s">
        <v>21</v>
      </c>
      <c r="B27" s="107">
        <f>IFERROR(IF(VLOOKUP('Despacho - Anexo II'!A27,Total!$A$4:$W$102,23,FALSE)&gt;=0,VLOOKUP('Despacho - Anexo II'!A27,Total!$A$4:$W$102,23,FALSE),0),0)</f>
        <v>0</v>
      </c>
      <c r="C27" s="133">
        <v>8324196000181</v>
      </c>
    </row>
    <row r="28" spans="1:3" ht="13.5" hidden="1">
      <c r="A28" s="106" t="s">
        <v>30</v>
      </c>
      <c r="B28" s="107">
        <f>IFERROR(IF(VLOOKUP('Despacho - Anexo II'!A28,Total!$A$4:$W$102,23,FALSE)&gt;=0,VLOOKUP('Despacho - Anexo II'!A28,Total!$A$4:$W$102,23,FALSE),0),0)</f>
        <v>0</v>
      </c>
      <c r="C28" s="133">
        <v>53859112000169</v>
      </c>
    </row>
    <row r="29" spans="1:3" ht="13.5" hidden="1">
      <c r="A29" s="106" t="s">
        <v>34</v>
      </c>
      <c r="B29" s="107">
        <f>IFERROR(IF(VLOOKUP('Despacho - Anexo II'!A29,Total!$A$4:$W$102,23,FALSE)&gt;=0,VLOOKUP('Despacho - Anexo II'!A29,Total!$A$4:$W$102,23,FALSE),0),0)</f>
        <v>0</v>
      </c>
      <c r="C29" s="133">
        <v>61015582000174</v>
      </c>
    </row>
    <row r="30" spans="1:3" ht="13.5" hidden="1">
      <c r="A30" s="106" t="s">
        <v>38</v>
      </c>
      <c r="B30" s="107">
        <f>IFERROR(IF(VLOOKUP('Despacho - Anexo II'!A30,Total!$A$4:$W$102,23,FALSE)&gt;=0,VLOOKUP('Despacho - Anexo II'!A30,Total!$A$4:$W$102,23,FALSE),0),0)</f>
        <v>0</v>
      </c>
      <c r="C30" s="133">
        <v>52503802000118</v>
      </c>
    </row>
    <row r="31" spans="1:3" ht="13.5" hidden="1">
      <c r="A31" s="106" t="s">
        <v>5</v>
      </c>
      <c r="B31" s="107">
        <f>IFERROR(IF(VLOOKUP('Despacho - Anexo II'!A31,Total!$A$4:$W$102,23,FALSE)&gt;=0,VLOOKUP('Despacho - Anexo II'!A31,Total!$A$4:$W$102,23,FALSE),0),0)</f>
        <v>0</v>
      </c>
      <c r="C31" s="133">
        <v>33050196000188</v>
      </c>
    </row>
    <row r="32" spans="1:3" ht="13.5">
      <c r="A32" s="106" t="s">
        <v>32</v>
      </c>
      <c r="B32" s="107">
        <f>IFERROR(IF(VLOOKUP('Despacho - Anexo II'!A32,Total!$A$4:$W$102,23,FALSE)&gt;=0,VLOOKUP('Despacho - Anexo II'!A32,Total!$A$4:$W$102,23,FALSE),0),0)</f>
        <v>10013085.507605096</v>
      </c>
      <c r="C32" s="133">
        <v>4172213000151</v>
      </c>
    </row>
    <row r="33" spans="1:3" ht="13.5" hidden="1">
      <c r="A33" s="106" t="s">
        <v>12</v>
      </c>
      <c r="B33" s="107">
        <f>IFERROR(IF(VLOOKUP('Despacho - Anexo II'!A33,Total!$A$4:$W$102,23,FALSE)&gt;=0,VLOOKUP('Despacho - Anexo II'!A33,Total!$A$4:$W$102,23,FALSE),0),0)</f>
        <v>0</v>
      </c>
      <c r="C33" s="133">
        <v>61116265000144</v>
      </c>
    </row>
    <row r="34" spans="1:3" ht="13.5" hidden="1">
      <c r="A34" s="106" t="s">
        <v>29</v>
      </c>
      <c r="B34" s="107">
        <f>IFERROR(IF(VLOOKUP('Despacho - Anexo II'!A34,Total!$A$4:$W$102,23,FALSE)&gt;=0,VLOOKUP('Despacho - Anexo II'!A34,Total!$A$4:$W$102,23,FALSE),0),0)</f>
        <v>0</v>
      </c>
      <c r="C34" s="133">
        <v>60855608000120</v>
      </c>
    </row>
    <row r="35" spans="1:3" ht="13.5" hidden="1">
      <c r="A35" s="106" t="s">
        <v>33</v>
      </c>
      <c r="B35" s="107">
        <f>IFERROR(IF(VLOOKUP('Despacho - Anexo II'!A35,Total!$A$4:$W$102,23,FALSE)&gt;=0,VLOOKUP('Despacho - Anexo II'!A35,Total!$A$4:$W$102,23,FALSE),0),0)</f>
        <v>0</v>
      </c>
      <c r="C35" s="133">
        <v>23664303000104</v>
      </c>
    </row>
    <row r="36" spans="1:3" ht="13.5">
      <c r="A36" s="106" t="s">
        <v>10</v>
      </c>
      <c r="B36" s="107">
        <f>IFERROR(IF(VLOOKUP('Despacho - Anexo II'!A36,Total!$A$4:$W$102,23,FALSE)&gt;=0,VLOOKUP('Despacho - Anexo II'!A36,Total!$A$4:$W$102,23,FALSE),0),0)</f>
        <v>676833.87251057266</v>
      </c>
      <c r="C36" s="133">
        <v>60942281000123</v>
      </c>
    </row>
    <row r="37" spans="1:3" ht="13.5">
      <c r="A37" s="106" t="s">
        <v>7</v>
      </c>
      <c r="B37" s="107">
        <f>IFERROR(IF(VLOOKUP('Despacho - Anexo II'!A37,Total!$A$4:$W$102,23,FALSE)&gt;=0,VLOOKUP('Despacho - Anexo II'!A37,Total!$A$4:$W$102,23,FALSE),0),0)</f>
        <v>11191098.800931541</v>
      </c>
      <c r="C37" s="133">
        <v>2328280000197</v>
      </c>
    </row>
    <row r="38" spans="1:3" ht="13.5" hidden="1">
      <c r="A38" s="106" t="s">
        <v>43</v>
      </c>
      <c r="B38" s="107">
        <f>IFERROR(IF(VLOOKUP('Despacho - Anexo II'!A38,Total!$A$4:$W$102,23,FALSE)&gt;=0,VLOOKUP('Despacho - Anexo II'!A38,Total!$A$4:$W$102,23,FALSE),0),0)</f>
        <v>0</v>
      </c>
      <c r="C38" s="133">
        <v>4065033000170</v>
      </c>
    </row>
    <row r="39" spans="1:3" ht="13.5">
      <c r="A39" s="106" t="s">
        <v>6</v>
      </c>
      <c r="B39" s="107">
        <f>IFERROR(IF(VLOOKUP('Despacho - Anexo II'!A39,Total!$A$4:$W$102,23,FALSE)&gt;=0,VLOOKUP('Despacho - Anexo II'!A39,Total!$A$4:$W$102,23,FALSE),0),0)</f>
        <v>11403084.46209462</v>
      </c>
      <c r="C39" s="133">
        <v>61695227000193</v>
      </c>
    </row>
    <row r="40" spans="1:3" ht="13.5" hidden="1">
      <c r="A40" s="106" t="s">
        <v>15</v>
      </c>
      <c r="B40" s="107">
        <f>IFERROR(IF(VLOOKUP('Despacho - Anexo II'!A40,Total!$A$4:$W$102,23,FALSE)&gt;=0,VLOOKUP('Despacho - Anexo II'!A40,Total!$A$4:$W$102,23,FALSE),0),0)</f>
        <v>0</v>
      </c>
      <c r="C40" s="133">
        <v>8826596000195</v>
      </c>
    </row>
    <row r="41" spans="1:3" ht="13.5">
      <c r="A41" s="106" t="s">
        <v>3</v>
      </c>
      <c r="B41" s="107">
        <f>IFERROR(IF(VLOOKUP('Despacho - Anexo II'!A41,Total!$A$4:$W$102,23,FALSE)&gt;=0,VLOOKUP('Despacho - Anexo II'!A41,Total!$A$4:$W$102,23,FALSE),0),0)</f>
        <v>1610161.6998973838</v>
      </c>
      <c r="C41" s="133">
        <v>19527639000158</v>
      </c>
    </row>
    <row r="42" spans="1:3" ht="13.5">
      <c r="A42" s="106" t="s">
        <v>24</v>
      </c>
      <c r="B42" s="107">
        <f>IFERROR(IF(VLOOKUP('Despacho - Anexo II'!A42,Total!$A$4:$W$102,23,FALSE)&gt;=0,VLOOKUP('Despacho - Anexo II'!A42,Total!$A$4:$W$102,23,FALSE),0),0)</f>
        <v>4756416.1168236472</v>
      </c>
      <c r="C42" s="133">
        <v>9095183000140</v>
      </c>
    </row>
    <row r="43" spans="1:3" ht="13.5" hidden="1">
      <c r="A43" s="106" t="s">
        <v>22</v>
      </c>
      <c r="B43" s="107">
        <f>IFERROR(IF(VLOOKUP('Despacho - Anexo II'!A43,Total!$A$4:$W$102,23,FALSE)&gt;=0,VLOOKUP('Despacho - Anexo II'!A43,Total!$A$4:$W$102,23,FALSE),0),0)</f>
        <v>0</v>
      </c>
      <c r="C43" s="133">
        <v>13017462000163</v>
      </c>
    </row>
    <row r="44" spans="1:3" ht="13.5" hidden="1">
      <c r="A44" s="106" t="s">
        <v>166</v>
      </c>
      <c r="B44" s="107">
        <f>IFERROR(IF(VLOOKUP('Despacho - Anexo II'!A44,Total!$A$4:$W$102,23,FALSE)&gt;=0,VLOOKUP('Despacho - Anexo II'!A44,Total!$A$4:$W$102,23,FALSE),0),0)</f>
        <v>0</v>
      </c>
      <c r="C44" s="133">
        <v>15413826000150</v>
      </c>
    </row>
    <row r="45" spans="1:3" ht="13.5">
      <c r="A45" s="106" t="s">
        <v>8</v>
      </c>
      <c r="B45" s="107">
        <f>IFERROR(IF(VLOOKUP('Despacho - Anexo II'!A45,Total!$A$4:$W$102,23,FALSE)&gt;=0,VLOOKUP('Despacho - Anexo II'!A45,Total!$A$4:$W$102,23,FALSE),0),0)</f>
        <v>2369269.6435423116</v>
      </c>
      <c r="C45" s="133">
        <v>28152650000171</v>
      </c>
    </row>
    <row r="46" spans="1:3" ht="13.5" hidden="1">
      <c r="A46" s="106" t="s">
        <v>35</v>
      </c>
      <c r="B46" s="107">
        <f>IFERROR(IF(VLOOKUP('Despacho - Anexo II'!A46,Total!$A$4:$W$102,23,FALSE)&gt;=0,VLOOKUP('Despacho - Anexo II'!A46,Total!$A$4:$W$102,23,FALSE),0),0)</f>
        <v>0</v>
      </c>
      <c r="C46" s="133">
        <v>83855973000130</v>
      </c>
    </row>
    <row r="47" spans="1:3" ht="13.5" hidden="1">
      <c r="A47" s="106" t="s">
        <v>2</v>
      </c>
      <c r="B47" s="107">
        <f>IFERROR(IF(VLOOKUP('Despacho - Anexo II'!A47,Total!$A$4:$W$102,23,FALSE)&gt;=0,VLOOKUP('Despacho - Anexo II'!A47,Total!$A$4:$W$102,23,FALSE),0),0)</f>
        <v>0</v>
      </c>
      <c r="C47" s="133">
        <v>60444437000146</v>
      </c>
    </row>
    <row r="48" spans="1:3" ht="13.5" hidden="1">
      <c r="A48" s="106" t="s">
        <v>42</v>
      </c>
      <c r="B48" s="107">
        <f>IFERROR(IF(VLOOKUP('Despacho - Anexo II'!A48,Total!$A$4:$W$102,23,FALSE)&gt;=0,VLOOKUP('Despacho - Anexo II'!A48,Total!$A$4:$W$102,23,FALSE),0),0)</f>
        <v>0</v>
      </c>
      <c r="C48" s="133">
        <v>7297359000111</v>
      </c>
    </row>
    <row r="49" spans="1:3" ht="13.5">
      <c r="A49" s="106" t="s">
        <v>23</v>
      </c>
      <c r="B49" s="107">
        <f>IFERROR(IF(VLOOKUP('Despacho - Anexo II'!A49,Total!$A$4:$W$102,23,FALSE)&gt;=0,VLOOKUP('Despacho - Anexo II'!A49,Total!$A$4:$W$102,23,FALSE),0),0)</f>
        <v>6659573.6684633475</v>
      </c>
      <c r="C49" s="133">
        <v>2016439000138</v>
      </c>
    </row>
    <row r="50" spans="1:3" ht="13.5" hidden="1">
      <c r="A50" s="108" t="s">
        <v>82</v>
      </c>
      <c r="B50" s="107">
        <f>IFERROR(IF(VLOOKUP('Despacho - Anexo II'!A50,Total!$A$4:$W$102,23,FALSE)&gt;=0,VLOOKUP('Despacho - Anexo II'!A50,Total!$A$4:$W$102,23,FALSE),0),0)</f>
        <v>0</v>
      </c>
      <c r="C50" s="133">
        <v>75805895000130</v>
      </c>
    </row>
    <row r="51" spans="1:3" ht="13.5" hidden="1">
      <c r="A51" s="172" t="s">
        <v>258</v>
      </c>
      <c r="B51" s="107">
        <f>IFERROR(IF(VLOOKUP('Despacho - Anexo II'!A51,Total!$A$4:$W$102,23,FALSE)&gt;=0,VLOOKUP('Despacho - Anexo II'!A51,Total!$A$4:$W$102,23,FALSE),0),0)</f>
        <v>0</v>
      </c>
      <c r="C51" s="133">
        <v>1377555000110</v>
      </c>
    </row>
    <row r="52" spans="1:3" ht="13.5" hidden="1">
      <c r="A52" s="172" t="s">
        <v>83</v>
      </c>
      <c r="B52" s="107">
        <f>IFERROR(IF(VLOOKUP('Despacho - Anexo II'!A52,Total!$A$4:$W$102,23,FALSE)&gt;=0,VLOOKUP('Despacho - Anexo II'!A52,Total!$A$4:$W$102,23,FALSE),0),0)</f>
        <v>0</v>
      </c>
      <c r="C52" s="133">
        <v>83647990000181</v>
      </c>
    </row>
    <row r="53" spans="1:3" ht="13.5" hidden="1">
      <c r="A53" s="172" t="s">
        <v>84</v>
      </c>
      <c r="B53" s="107">
        <f>IFERROR(IF(VLOOKUP('Despacho - Anexo II'!A53,Total!$A$4:$W$102,23,FALSE)&gt;=0,VLOOKUP('Despacho - Anexo II'!A53,Total!$A$4:$W$102,23,FALSE),0),0)</f>
        <v>0</v>
      </c>
      <c r="C53" s="133">
        <v>95289500000100</v>
      </c>
    </row>
    <row r="54" spans="1:3" ht="13.5">
      <c r="A54" s="109" t="s">
        <v>85</v>
      </c>
      <c r="B54" s="107">
        <f>IFERROR(IF(VLOOKUP('Despacho - Anexo II'!A54,Total!$A$4:$W$102,23,FALSE)&gt;=0,VLOOKUP('Despacho - Anexo II'!A54,Total!$A$4:$W$102,23,FALSE),0),0)</f>
        <v>10.304596305135796</v>
      </c>
      <c r="C54" s="133">
        <v>86301124000122</v>
      </c>
    </row>
    <row r="55" spans="1:3" ht="13.5" hidden="1">
      <c r="A55" s="172" t="s">
        <v>86</v>
      </c>
      <c r="B55" s="107">
        <f>IFERROR(IF(VLOOKUP('Despacho - Anexo II'!A55,Total!$A$4:$W$102,23,FALSE)&gt;=0,VLOOKUP('Despacho - Anexo II'!A55,Total!$A$4:$W$102,23,FALSE),0),0)</f>
        <v>0</v>
      </c>
      <c r="C55" s="133">
        <v>86531175000140</v>
      </c>
    </row>
    <row r="56" spans="1:3" ht="13.5" hidden="1">
      <c r="A56" s="172" t="s">
        <v>87</v>
      </c>
      <c r="B56" s="107">
        <f>IFERROR(IF(VLOOKUP('Despacho - Anexo II'!A56,Total!$A$4:$W$102,23,FALSE)&gt;=0,VLOOKUP('Despacho - Anexo II'!A56,Total!$A$4:$W$102,23,FALSE),0),0)</f>
        <v>0</v>
      </c>
      <c r="C56" s="133">
        <v>88446034000155</v>
      </c>
    </row>
    <row r="57" spans="1:3" ht="13.5">
      <c r="A57" s="172" t="s">
        <v>88</v>
      </c>
      <c r="B57" s="107">
        <f>IFERROR(IF(VLOOKUP('Despacho - Anexo II'!A57,Total!$A$4:$W$102,23,FALSE)&gt;=0,VLOOKUP('Despacho - Anexo II'!A57,Total!$A$4:$W$102,23,FALSE),0),0)</f>
        <v>124131.85188879263</v>
      </c>
      <c r="C57" s="133">
        <v>27485069000109</v>
      </c>
    </row>
    <row r="58" spans="1:3" ht="13.5" hidden="1">
      <c r="A58" s="172" t="s">
        <v>89</v>
      </c>
      <c r="B58" s="107">
        <f>IFERROR(IF(VLOOKUP('Despacho - Anexo II'!A58,Total!$A$4:$W$102,23,FALSE)&gt;=0,VLOOKUP('Despacho - Anexo II'!A58,Total!$A$4:$W$102,23,FALSE),0),0)</f>
        <v>0</v>
      </c>
      <c r="C58" s="133">
        <v>33249046000106</v>
      </c>
    </row>
    <row r="59" spans="1:3" ht="13.5" hidden="1">
      <c r="A59" s="172" t="s">
        <v>90</v>
      </c>
      <c r="B59" s="107">
        <f>IFERROR(IF(VLOOKUP('Despacho - Anexo II'!A59,Total!$A$4:$W$102,23,FALSE)&gt;=0,VLOOKUP('Despacho - Anexo II'!A59,Total!$A$4:$W$102,23,FALSE),0),0)</f>
        <v>0</v>
      </c>
      <c r="C59" s="133">
        <v>79850574000109</v>
      </c>
    </row>
    <row r="60" spans="1:3" ht="13.5" hidden="1">
      <c r="A60" s="172" t="s">
        <v>91</v>
      </c>
      <c r="B60" s="107">
        <f>IFERROR(IF(VLOOKUP('Despacho - Anexo II'!A60,Total!$A$4:$W$102,23,FALSE)&gt;=0,VLOOKUP('Despacho - Anexo II'!A60,Total!$A$4:$W$102,23,FALSE),0),0)</f>
        <v>0</v>
      </c>
      <c r="C60" s="133">
        <v>91982348000187</v>
      </c>
    </row>
    <row r="61" spans="1:3" ht="13.5" hidden="1">
      <c r="A61" s="172" t="s">
        <v>92</v>
      </c>
      <c r="B61" s="107">
        <f>IFERROR(IF(VLOOKUP('Despacho - Anexo II'!A61,Total!$A$4:$W$102,23,FALSE)&gt;=0,VLOOKUP('Despacho - Anexo II'!A61,Total!$A$4:$W$102,23,FALSE),0),0)</f>
        <v>0</v>
      </c>
      <c r="C61" s="133">
        <v>97578090000134</v>
      </c>
    </row>
    <row r="62" spans="1:3" ht="13.5" hidden="1">
      <c r="A62" s="172" t="s">
        <v>93</v>
      </c>
      <c r="B62" s="107">
        <f>IFERROR(IF(VLOOKUP('Despacho - Anexo II'!A62,Total!$A$4:$W$102,23,FALSE)&gt;=0,VLOOKUP('Despacho - Anexo II'!A62,Total!$A$4:$W$102,23,FALSE),0),0)</f>
        <v>0</v>
      </c>
      <c r="C62" s="133">
        <v>13255658000196</v>
      </c>
    </row>
    <row r="63" spans="1:3" ht="13.5" hidden="1">
      <c r="A63" s="172" t="s">
        <v>94</v>
      </c>
      <c r="B63" s="107">
        <f>IFERROR(IF(VLOOKUP('Despacho - Anexo II'!A63,Total!$A$4:$W$102,23,FALSE)&gt;=0,VLOOKUP('Despacho - Anexo II'!A63,Total!$A$4:$W$102,23,FALSE),0),0)</f>
        <v>0</v>
      </c>
      <c r="C63" s="133">
        <v>89889604000144</v>
      </c>
    </row>
    <row r="64" spans="1:3" ht="13.5" hidden="1">
      <c r="A64" s="172" t="s">
        <v>122</v>
      </c>
      <c r="B64" s="107">
        <f>IFERROR(IF(VLOOKUP('Despacho - Anexo II'!A64,Total!$A$4:$W$102,23,FALSE)&gt;=0,VLOOKUP('Despacho - Anexo II'!A64,Total!$A$4:$W$102,23,FALSE),0),0)</f>
        <v>0</v>
      </c>
      <c r="C64" s="133">
        <v>77882504000107</v>
      </c>
    </row>
    <row r="65" spans="1:3" ht="13.5" hidden="1">
      <c r="A65" s="172" t="s">
        <v>174</v>
      </c>
      <c r="B65" s="107">
        <f>IFERROR(IF(VLOOKUP('Despacho - Anexo II'!A65,Total!$A$4:$W$102,23,FALSE)&gt;=0,VLOOKUP('Despacho - Anexo II'!A65,Total!$A$4:$W$102,23,FALSE),0),0)</f>
        <v>0</v>
      </c>
      <c r="C65" s="133">
        <v>60196987000193</v>
      </c>
    </row>
    <row r="66" spans="1:3" ht="13.5" hidden="1">
      <c r="A66" s="172" t="s">
        <v>175</v>
      </c>
      <c r="B66" s="107">
        <f>IFERROR(IF(VLOOKUP('Despacho - Anexo II'!A66,Total!$A$4:$W$102,23,FALSE)&gt;=0,VLOOKUP('Despacho - Anexo II'!A66,Total!$A$4:$W$102,23,FALSE),0),0)</f>
        <v>0</v>
      </c>
      <c r="C66" s="133">
        <v>50105865000190</v>
      </c>
    </row>
    <row r="67" spans="1:3" ht="13.5" hidden="1">
      <c r="A67" s="172" t="s">
        <v>176</v>
      </c>
      <c r="B67" s="107">
        <f>IFERROR(IF(VLOOKUP('Despacho - Anexo II'!A67,Total!$A$4:$W$102,23,FALSE)&gt;=0,VLOOKUP('Despacho - Anexo II'!A67,Total!$A$4:$W$102,23,FALSE),0),0)</f>
        <v>0</v>
      </c>
      <c r="C67" s="133">
        <v>50235449000107</v>
      </c>
    </row>
    <row r="68" spans="1:3" ht="13.5" hidden="1">
      <c r="A68" s="172" t="s">
        <v>177</v>
      </c>
      <c r="B68" s="107">
        <f>IFERROR(IF(VLOOKUP('Despacho - Anexo II'!A68,Total!$A$4:$W$102,23,FALSE)&gt;=0,VLOOKUP('Despacho - Anexo II'!A68,Total!$A$4:$W$102,23,FALSE),0),0)</f>
        <v>0</v>
      </c>
      <c r="C68" s="133">
        <v>49606312000132</v>
      </c>
    </row>
    <row r="69" spans="1:3" ht="13.5" hidden="1">
      <c r="A69" s="172" t="s">
        <v>178</v>
      </c>
      <c r="B69" s="107">
        <f>IFERROR(IF(VLOOKUP('Despacho - Anexo II'!A69,Total!$A$4:$W$102,23,FALSE)&gt;=0,VLOOKUP('Despacho - Anexo II'!A69,Total!$A$4:$W$102,23,FALSE),0),0)</f>
        <v>0</v>
      </c>
      <c r="C69" s="133">
        <v>57384943000182</v>
      </c>
    </row>
    <row r="70" spans="1:3" ht="13.5" hidden="1">
      <c r="A70" s="172" t="s">
        <v>179</v>
      </c>
      <c r="B70" s="107">
        <f>IFERROR(IF(VLOOKUP('Despacho - Anexo II'!A70,Total!$A$4:$W$102,23,FALSE)&gt;=0,VLOOKUP('Despacho - Anexo II'!A70,Total!$A$4:$W$102,23,FALSE),0),0)</f>
        <v>0</v>
      </c>
      <c r="C70" s="133">
        <v>52548732000114</v>
      </c>
    </row>
    <row r="71" spans="1:3" ht="13.5" hidden="1">
      <c r="A71" s="172" t="s">
        <v>180</v>
      </c>
      <c r="B71" s="107">
        <f>IFERROR(IF(VLOOKUP('Despacho - Anexo II'!A71,Total!$A$4:$W$102,23,FALSE)&gt;=0,VLOOKUP('Despacho - Anexo II'!A71,Total!$A$4:$W$102,23,FALSE),0),0)</f>
        <v>0</v>
      </c>
      <c r="C71" s="133">
        <v>53176038000186</v>
      </c>
    </row>
    <row r="72" spans="1:3" ht="13.5" hidden="1">
      <c r="A72" s="172" t="s">
        <v>181</v>
      </c>
      <c r="B72" s="107">
        <f>IFERROR(IF(VLOOKUP('Despacho - Anexo II'!A72,Total!$A$4:$W$102,23,FALSE)&gt;=0,VLOOKUP('Despacho - Anexo II'!A72,Total!$A$4:$W$102,23,FALSE),0),0)</f>
        <v>0</v>
      </c>
      <c r="C72" s="133">
        <v>44560381000139</v>
      </c>
    </row>
    <row r="73" spans="1:3" ht="13.5" hidden="1">
      <c r="A73" s="172" t="s">
        <v>182</v>
      </c>
      <c r="B73" s="107">
        <f>IFERROR(IF(VLOOKUP('Despacho - Anexo II'!A73,Total!$A$4:$W$102,23,FALSE)&gt;=0,VLOOKUP('Despacho - Anexo II'!A73,Total!$A$4:$W$102,23,FALSE),0),0)</f>
        <v>0</v>
      </c>
      <c r="C73" s="133">
        <v>46598678000119</v>
      </c>
    </row>
    <row r="74" spans="1:3" ht="13.5" hidden="1">
      <c r="A74" s="172" t="s">
        <v>183</v>
      </c>
      <c r="B74" s="107">
        <f>IFERROR(IF(VLOOKUP('Despacho - Anexo II'!A74,Total!$A$4:$W$102,23,FALSE)&gt;=0,VLOOKUP('Despacho - Anexo II'!A74,Total!$A$4:$W$102,23,FALSE),0),0)</f>
        <v>0</v>
      </c>
      <c r="C74" s="133">
        <v>49313653000110</v>
      </c>
    </row>
    <row r="75" spans="1:3" ht="13.5" hidden="1">
      <c r="A75" s="172" t="s">
        <v>184</v>
      </c>
      <c r="B75" s="107">
        <f>IFERROR(IF(VLOOKUP('Despacho - Anexo II'!A75,Total!$A$4:$W$102,23,FALSE)&gt;=0,VLOOKUP('Despacho - Anexo II'!A75,Total!$A$4:$W$102,23,FALSE),0),0)</f>
        <v>0</v>
      </c>
      <c r="C75" s="133">
        <v>85665990000130</v>
      </c>
    </row>
    <row r="76" spans="1:3" ht="13.5" hidden="1">
      <c r="A76" s="172" t="s">
        <v>185</v>
      </c>
      <c r="B76" s="107">
        <f>IFERROR(IF(VLOOKUP('Despacho - Anexo II'!A76,Total!$A$4:$W$102,23,FALSE)&gt;=0,VLOOKUP('Despacho - Anexo II'!A76,Total!$A$4:$W$102,23,FALSE),0),0)</f>
        <v>0</v>
      </c>
      <c r="C76" s="133">
        <v>78274610000170</v>
      </c>
    </row>
    <row r="77" spans="1:3" ht="13.5" hidden="1">
      <c r="A77" s="172" t="s">
        <v>186</v>
      </c>
      <c r="B77" s="107">
        <f>IFERROR(IF(VLOOKUP('Despacho - Anexo II'!A77,Total!$A$4:$W$102,23,FALSE)&gt;=0,VLOOKUP('Despacho - Anexo II'!A77,Total!$A$4:$W$102,23,FALSE),0),0)</f>
        <v>0</v>
      </c>
      <c r="C77" s="133">
        <v>9364804000144</v>
      </c>
    </row>
    <row r="78" spans="1:3" ht="13.5" hidden="1">
      <c r="A78" s="172" t="s">
        <v>187</v>
      </c>
      <c r="B78" s="107">
        <f>IFERROR(IF(VLOOKUP('Despacho - Anexo II'!A78,Total!$A$4:$W$102,23,FALSE)&gt;=0,VLOOKUP('Despacho - Anexo II'!A78,Total!$A$4:$W$102,23,FALSE),0),0)</f>
        <v>0</v>
      </c>
      <c r="C78" s="133">
        <v>75826404000138</v>
      </c>
    </row>
    <row r="79" spans="1:3" ht="13.5" hidden="1">
      <c r="A79" s="172" t="s">
        <v>188</v>
      </c>
      <c r="B79" s="107">
        <f>IFERROR(IF(VLOOKUP('Despacho - Anexo II'!A79,Total!$A$4:$W$102,23,FALSE)&gt;=0,VLOOKUP('Despacho - Anexo II'!A79,Total!$A$4:$W$102,23,FALSE),0),0)</f>
        <v>0</v>
      </c>
      <c r="C79" s="133">
        <v>86433042000131</v>
      </c>
    </row>
    <row r="80" spans="1:3" ht="13.5" hidden="1">
      <c r="A80" s="172" t="s">
        <v>189</v>
      </c>
      <c r="B80" s="107">
        <f>IFERROR(IF(VLOOKUP('Despacho - Anexo II'!A80,Total!$A$4:$W$102,23,FALSE)&gt;=0,VLOOKUP('Despacho - Anexo II'!A80,Total!$A$4:$W$102,23,FALSE),0),0)</f>
        <v>0</v>
      </c>
      <c r="C80" s="133">
        <v>82574864000181</v>
      </c>
    </row>
    <row r="81" spans="1:3" ht="13.5" hidden="1">
      <c r="A81" s="172" t="s">
        <v>190</v>
      </c>
      <c r="B81" s="107">
        <f>IFERROR(IF(VLOOKUP('Despacho - Anexo II'!A81,Total!$A$4:$W$102,23,FALSE)&gt;=0,VLOOKUP('Despacho - Anexo II'!A81,Total!$A$4:$W$102,23,FALSE),0),0)</f>
        <v>0</v>
      </c>
      <c r="C81" s="133">
        <v>86439510000185</v>
      </c>
    </row>
    <row r="82" spans="1:3" ht="13.5" hidden="1">
      <c r="A82" s="172" t="s">
        <v>191</v>
      </c>
      <c r="B82" s="107">
        <f>IFERROR(IF(VLOOKUP('Despacho - Anexo II'!A82,Total!$A$4:$W$102,23,FALSE)&gt;=0,VLOOKUP('Despacho - Anexo II'!A82,Total!$A$4:$W$102,23,FALSE),0),0)</f>
        <v>0</v>
      </c>
      <c r="C82" s="133">
        <v>1229747000189</v>
      </c>
    </row>
    <row r="83" spans="1:3" ht="13.5" hidden="1">
      <c r="A83" s="172" t="s">
        <v>192</v>
      </c>
      <c r="B83" s="107">
        <f>IFERROR(IF(VLOOKUP('Despacho - Anexo II'!A83,Total!$A$4:$W$102,23,FALSE)&gt;=0,VLOOKUP('Despacho - Anexo II'!A83,Total!$A$4:$W$102,23,FALSE),0),0)</f>
        <v>0</v>
      </c>
      <c r="C83" s="133">
        <v>86449170000173</v>
      </c>
    </row>
    <row r="84" spans="1:3" ht="13.5" hidden="1">
      <c r="A84" s="172" t="s">
        <v>193</v>
      </c>
      <c r="B84" s="107">
        <f>IFERROR(IF(VLOOKUP('Despacho - Anexo II'!A84,Total!$A$4:$W$102,23,FALSE)&gt;=0,VLOOKUP('Despacho - Anexo II'!A84,Total!$A$4:$W$102,23,FALSE),0),0)</f>
        <v>0</v>
      </c>
      <c r="C84" s="133">
        <v>86533346000170</v>
      </c>
    </row>
    <row r="85" spans="1:3" ht="13.5" hidden="1">
      <c r="A85" s="172" t="s">
        <v>194</v>
      </c>
      <c r="B85" s="107">
        <f>IFERROR(IF(VLOOKUP('Despacho - Anexo II'!A85,Total!$A$4:$W$102,23,FALSE)&gt;=0,VLOOKUP('Despacho - Anexo II'!A85,Total!$A$4:$W$102,23,FALSE),0),0)</f>
        <v>0</v>
      </c>
      <c r="C85" s="133">
        <v>85318640000105</v>
      </c>
    </row>
    <row r="86" spans="1:3" ht="13.5" hidden="1">
      <c r="A86" s="172" t="s">
        <v>195</v>
      </c>
      <c r="B86" s="107">
        <f>IFERROR(IF(VLOOKUP('Despacho - Anexo II'!A86,Total!$A$4:$W$102,23,FALSE)&gt;=0,VLOOKUP('Despacho - Anexo II'!A86,Total!$A$4:$W$102,23,FALSE),0),0)</f>
        <v>0</v>
      </c>
      <c r="C86" s="133">
        <v>86512670000102</v>
      </c>
    </row>
    <row r="87" spans="1:3" ht="13.5" hidden="1">
      <c r="A87" s="172" t="s">
        <v>196</v>
      </c>
      <c r="B87" s="107">
        <f>IFERROR(IF(VLOOKUP('Despacho - Anexo II'!A87,Total!$A$4:$W$102,23,FALSE)&gt;=0,VLOOKUP('Despacho - Anexo II'!A87,Total!$A$4:$W$102,23,FALSE),0),0)</f>
        <v>0</v>
      </c>
      <c r="C87" s="133">
        <v>76583962000182</v>
      </c>
    </row>
    <row r="88" spans="1:3" ht="13.5" hidden="1">
      <c r="A88" s="172" t="s">
        <v>197</v>
      </c>
      <c r="B88" s="107">
        <f>IFERROR(IF(VLOOKUP('Despacho - Anexo II'!A88,Total!$A$4:$W$102,23,FALSE)&gt;=0,VLOOKUP('Despacho - Anexo II'!A88,Total!$A$4:$W$102,23,FALSE),0),0)</f>
        <v>0</v>
      </c>
      <c r="C88" s="133">
        <v>83646653000170</v>
      </c>
    </row>
    <row r="89" spans="1:3" ht="13.5" hidden="1">
      <c r="A89" s="172" t="s">
        <v>198</v>
      </c>
      <c r="B89" s="107">
        <f>IFERROR(IF(VLOOKUP('Despacho - Anexo II'!A89,Total!$A$4:$W$102,23,FALSE)&gt;=0,VLOOKUP('Despacho - Anexo II'!A89,Total!$A$4:$W$102,23,FALSE),0),0)</f>
        <v>0</v>
      </c>
      <c r="C89" s="133">
        <v>86532348000145</v>
      </c>
    </row>
    <row r="90" spans="1:3" ht="13.5" hidden="1">
      <c r="A90" s="172" t="s">
        <v>199</v>
      </c>
      <c r="B90" s="107">
        <f>IFERROR(IF(VLOOKUP('Despacho - Anexo II'!A90,Total!$A$4:$W$102,23,FALSE)&gt;=0,VLOOKUP('Despacho - Anexo II'!A90,Total!$A$4:$W$102,23,FALSE),0),0)</f>
        <v>0</v>
      </c>
      <c r="C90" s="133">
        <v>75568154000183</v>
      </c>
    </row>
    <row r="91" spans="1:3" ht="13.5" hidden="1">
      <c r="A91" s="172" t="s">
        <v>200</v>
      </c>
      <c r="B91" s="107">
        <f>IFERROR(IF(VLOOKUP('Despacho - Anexo II'!A91,Total!$A$4:$W$102,23,FALSE)&gt;=0,VLOOKUP('Despacho - Anexo II'!A91,Total!$A$4:$W$102,23,FALSE),0),0)</f>
        <v>0</v>
      </c>
      <c r="C91" s="133">
        <v>86448057000173</v>
      </c>
    </row>
    <row r="92" spans="1:3" ht="13.5" hidden="1">
      <c r="A92" s="172" t="s">
        <v>201</v>
      </c>
      <c r="B92" s="107">
        <f>IFERROR(IF(VLOOKUP('Despacho - Anexo II'!A92,Total!$A$4:$W$102,23,FALSE)&gt;=0,VLOOKUP('Despacho - Anexo II'!A92,Total!$A$4:$W$102,23,FALSE),0),0)</f>
        <v>0</v>
      </c>
      <c r="C92" s="133">
        <v>87656989000174</v>
      </c>
    </row>
    <row r="93" spans="1:3" ht="13.5" hidden="1">
      <c r="A93" s="172" t="s">
        <v>202</v>
      </c>
      <c r="B93" s="107">
        <f>IFERROR(IF(VLOOKUP('Despacho - Anexo II'!A93,Total!$A$4:$W$102,23,FALSE)&gt;=0,VLOOKUP('Despacho - Anexo II'!A93,Total!$A$4:$W$102,23,FALSE),0),0)</f>
        <v>0</v>
      </c>
      <c r="C93" s="133">
        <v>97081434000103</v>
      </c>
    </row>
    <row r="94" spans="1:3" ht="13.5" hidden="1">
      <c r="A94" s="172" t="s">
        <v>203</v>
      </c>
      <c r="B94" s="107">
        <f>IFERROR(IF(VLOOKUP('Despacho - Anexo II'!A94,Total!$A$4:$W$102,23,FALSE)&gt;=0,VLOOKUP('Despacho - Anexo II'!A94,Total!$A$4:$W$102,23,FALSE),0),0)</f>
        <v>0</v>
      </c>
      <c r="C94" s="133">
        <v>97839922000129</v>
      </c>
    </row>
    <row r="95" spans="1:3" ht="13.5" hidden="1">
      <c r="A95" s="172" t="s">
        <v>204</v>
      </c>
      <c r="B95" s="107">
        <f>IFERROR(IF(VLOOKUP('Despacho - Anexo II'!A95,Total!$A$4:$W$102,23,FALSE)&gt;=0,VLOOKUP('Despacho - Anexo II'!A95,Total!$A$4:$W$102,23,FALSE),0),0)</f>
        <v>0</v>
      </c>
      <c r="C95" s="133">
        <v>9257558000121</v>
      </c>
    </row>
    <row r="96" spans="1:3" ht="13.5" hidden="1">
      <c r="A96" s="172" t="s">
        <v>205</v>
      </c>
      <c r="B96" s="107">
        <f>IFERROR(IF(VLOOKUP('Despacho - Anexo II'!A96,Total!$A$4:$W$102,23,FALSE)&gt;=0,VLOOKUP('Despacho - Anexo II'!A96,Total!$A$4:$W$102,23,FALSE),0),0)</f>
        <v>0</v>
      </c>
      <c r="C96" s="133">
        <v>95824322000161</v>
      </c>
    </row>
    <row r="97" spans="1:3" ht="13.5" hidden="1">
      <c r="A97" s="172" t="s">
        <v>206</v>
      </c>
      <c r="B97" s="107">
        <f>IFERROR(IF(VLOOKUP('Despacho - Anexo II'!A97,Total!$A$4:$W$102,23,FALSE)&gt;=0,VLOOKUP('Despacho - Anexo II'!A97,Total!$A$4:$W$102,23,FALSE),0),0)</f>
        <v>0</v>
      </c>
      <c r="C97" s="133">
        <v>90660754000160</v>
      </c>
    </row>
    <row r="98" spans="1:3" ht="13.5" hidden="1">
      <c r="A98" s="172" t="s">
        <v>207</v>
      </c>
      <c r="B98" s="107">
        <f>IFERROR(IF(VLOOKUP('Despacho - Anexo II'!A98,Total!$A$4:$W$102,23,FALSE)&gt;=0,VLOOKUP('Despacho - Anexo II'!A98,Total!$A$4:$W$102,23,FALSE),0),0)</f>
        <v>0</v>
      </c>
      <c r="C98" s="133">
        <v>91950261000128</v>
      </c>
    </row>
    <row r="99" spans="1:3" ht="13.5" hidden="1">
      <c r="A99" s="172" t="s">
        <v>208</v>
      </c>
      <c r="B99" s="107">
        <f>IFERROR(IF(VLOOKUP('Despacho - Anexo II'!A99,Total!$A$4:$W$102,23,FALSE)&gt;=0,VLOOKUP('Despacho - Anexo II'!A99,Total!$A$4:$W$102,23,FALSE),0),0)</f>
        <v>0</v>
      </c>
      <c r="C99" s="133">
        <v>89435598000155</v>
      </c>
    </row>
    <row r="100" spans="1:3" ht="13.5" hidden="1">
      <c r="A100" s="172" t="s">
        <v>209</v>
      </c>
      <c r="B100" s="107">
        <f>IFERROR(IF(VLOOKUP('Despacho - Anexo II'!A100,Total!$A$4:$W$102,23,FALSE)&gt;=0,VLOOKUP('Despacho - Anexo II'!A100,Total!$A$4:$W$102,23,FALSE),0),0)</f>
        <v>0</v>
      </c>
      <c r="C100" s="133">
        <v>10532365000110</v>
      </c>
    </row>
    <row r="101" spans="1:3" ht="13.5" hidden="1">
      <c r="A101" s="109" t="s">
        <v>210</v>
      </c>
      <c r="B101" s="107">
        <f>IFERROR(IF(VLOOKUP('Despacho - Anexo II'!A101,Total!$A$4:$W$102,23,FALSE)&gt;=0,VLOOKUP('Despacho - Anexo II'!A101,Total!$A$4:$W$102,23,FALSE),0),0)</f>
        <v>0</v>
      </c>
      <c r="C101" s="133">
        <v>31465487000101</v>
      </c>
    </row>
    <row r="102" spans="1:3" ht="13.5" hidden="1">
      <c r="A102" s="109" t="s">
        <v>211</v>
      </c>
      <c r="B102" s="107">
        <f>IFERROR(IF(VLOOKUP('Despacho - Anexo II'!A102,Total!$A$4:$W$102,23,FALSE)&gt;=0,VLOOKUP('Despacho - Anexo II'!A102,Total!$A$4:$W$102,23,FALSE),0),0)</f>
        <v>0</v>
      </c>
      <c r="C102" s="133">
        <v>13107842000199</v>
      </c>
    </row>
    <row r="103" spans="1:3" ht="13.5">
      <c r="A103" s="110" t="s">
        <v>49</v>
      </c>
      <c r="B103" s="111">
        <f>SUM(B4:B102)</f>
        <v>129137013.66638152</v>
      </c>
      <c r="C103" s="134"/>
    </row>
    <row r="104" spans="1:3" hidden="1">
      <c r="A104" s="17"/>
    </row>
    <row r="105" spans="1:3" hidden="1">
      <c r="A105" s="19"/>
    </row>
    <row r="106" spans="1:3" hidden="1">
      <c r="A106" s="19"/>
    </row>
    <row r="108" spans="1:3">
      <c r="A108" s="20"/>
    </row>
    <row r="109" spans="1:3">
      <c r="A109" s="20"/>
    </row>
    <row r="111" spans="1:3">
      <c r="A111" s="2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Macro2">
                <anchor moveWithCells="1" sizeWithCells="1">
                  <from>
                    <xdr:col>2</xdr:col>
                    <xdr:colOff>438150</xdr:colOff>
                    <xdr:row>2</xdr:row>
                    <xdr:rowOff>9525</xdr:rowOff>
                  </from>
                  <to>
                    <xdr:col>4</xdr:col>
                    <xdr:colOff>180975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1:J517"/>
  <sheetViews>
    <sheetView topLeftCell="A22" workbookViewId="0">
      <selection activeCell="I12" sqref="I12"/>
    </sheetView>
  </sheetViews>
  <sheetFormatPr defaultRowHeight="12.75"/>
  <cols>
    <col min="2" max="2" width="19.5703125" customWidth="1"/>
    <col min="3" max="3" width="30.7109375" customWidth="1"/>
    <col min="4" max="5" width="27.140625" customWidth="1"/>
    <col min="6" max="6" width="21.7109375" customWidth="1"/>
    <col min="7" max="7" width="29.85546875" customWidth="1"/>
    <col min="8" max="8" width="11.42578125" customWidth="1"/>
    <col min="9" max="9" width="14.28515625" customWidth="1"/>
    <col min="10" max="10" width="19.140625" customWidth="1"/>
    <col min="11" max="11" width="11.42578125" customWidth="1"/>
  </cols>
  <sheetData>
    <row r="1" spans="2:10" ht="48.95" customHeight="1">
      <c r="B1" s="192" t="s">
        <v>272</v>
      </c>
      <c r="C1" s="192"/>
      <c r="D1" s="192"/>
      <c r="E1" s="192"/>
    </row>
    <row r="3" spans="2:10" ht="57" thickBot="1">
      <c r="B3" s="68" t="s">
        <v>95</v>
      </c>
      <c r="C3" s="64" t="s">
        <v>96</v>
      </c>
      <c r="D3" s="76" t="s">
        <v>120</v>
      </c>
      <c r="E3" s="76" t="s">
        <v>121</v>
      </c>
      <c r="F3" s="59" t="s">
        <v>97</v>
      </c>
      <c r="G3" s="60" t="s">
        <v>100</v>
      </c>
      <c r="H3" s="148"/>
      <c r="I3" s="148"/>
      <c r="J3" s="148"/>
    </row>
    <row r="4" spans="2:10" ht="15.75" thickBot="1">
      <c r="B4" s="69">
        <v>101</v>
      </c>
      <c r="C4" s="65" t="s">
        <v>13</v>
      </c>
      <c r="D4" s="58">
        <v>251.76638069560272</v>
      </c>
      <c r="E4" s="58">
        <v>269.31645952044596</v>
      </c>
      <c r="F4" s="58">
        <v>-186.35717477361069</v>
      </c>
      <c r="G4" s="61">
        <v>182.31208241253302</v>
      </c>
      <c r="H4" s="148"/>
      <c r="I4" s="148"/>
      <c r="J4" s="187"/>
    </row>
    <row r="5" spans="2:10" ht="15.75" thickBot="1">
      <c r="B5" s="70">
        <v>102</v>
      </c>
      <c r="C5" s="66" t="s">
        <v>44</v>
      </c>
      <c r="D5" s="57">
        <v>190.2868072913754</v>
      </c>
      <c r="E5" s="57">
        <v>181.19584182589568</v>
      </c>
      <c r="F5" s="57">
        <v>-198.20724613681654</v>
      </c>
      <c r="G5" s="62">
        <v>195.17461458721388</v>
      </c>
      <c r="H5" s="148"/>
      <c r="I5" s="148"/>
      <c r="J5" s="187"/>
    </row>
    <row r="6" spans="2:10" ht="15.75" thickBot="1">
      <c r="B6" s="70">
        <v>103</v>
      </c>
      <c r="C6" s="66" t="s">
        <v>1</v>
      </c>
      <c r="D6" s="57">
        <v>257.0163368112743</v>
      </c>
      <c r="E6" s="57">
        <v>272.20192722032289</v>
      </c>
      <c r="F6" s="57">
        <v>-170.97427802981395</v>
      </c>
      <c r="G6" s="62">
        <v>167.53401869898437</v>
      </c>
      <c r="H6" s="148"/>
      <c r="I6" s="148"/>
      <c r="J6" s="187"/>
    </row>
    <row r="7" spans="2:10" ht="15.75" thickBot="1">
      <c r="B7" s="70">
        <v>104</v>
      </c>
      <c r="C7" s="66" t="s">
        <v>9</v>
      </c>
      <c r="D7" s="57">
        <v>261.56602077438993</v>
      </c>
      <c r="E7" s="57">
        <v>272.76149386242383</v>
      </c>
      <c r="F7" s="57">
        <v>-170.32178852630997</v>
      </c>
      <c r="G7" s="62">
        <v>166.47872688141797</v>
      </c>
      <c r="H7" s="148"/>
      <c r="I7" s="148"/>
      <c r="J7" s="187"/>
    </row>
    <row r="8" spans="2:10" ht="15.75" thickBot="1">
      <c r="B8" s="70">
        <v>105</v>
      </c>
      <c r="C8" s="66" t="s">
        <v>101</v>
      </c>
      <c r="D8" s="57" t="s">
        <v>102</v>
      </c>
      <c r="E8" s="57" t="s">
        <v>102</v>
      </c>
      <c r="F8" s="57" t="s">
        <v>102</v>
      </c>
      <c r="G8" s="62">
        <v>197.67374702062071</v>
      </c>
      <c r="H8" s="148"/>
      <c r="I8" s="148"/>
      <c r="J8" s="187"/>
    </row>
    <row r="9" spans="2:10" ht="15.75" thickBot="1">
      <c r="B9" s="70">
        <v>106</v>
      </c>
      <c r="C9" s="66" t="s">
        <v>41</v>
      </c>
      <c r="D9" s="57">
        <v>266.34867733492894</v>
      </c>
      <c r="E9" s="57">
        <v>290.91910089314393</v>
      </c>
      <c r="F9" s="57">
        <v>-171.3928059567626</v>
      </c>
      <c r="G9" s="62">
        <v>167.47355987043611</v>
      </c>
      <c r="H9" s="148"/>
      <c r="I9" s="148"/>
      <c r="J9" s="187"/>
    </row>
    <row r="10" spans="2:10" ht="15.75" thickBot="1">
      <c r="B10" s="70">
        <v>107</v>
      </c>
      <c r="C10" s="66" t="s">
        <v>103</v>
      </c>
      <c r="D10" s="57">
        <v>202.44948177702051</v>
      </c>
      <c r="E10" s="57">
        <v>295.34866207441098</v>
      </c>
      <c r="F10" s="57">
        <v>-167.35735842704318</v>
      </c>
      <c r="G10" s="62">
        <v>165.07868351144799</v>
      </c>
      <c r="H10" s="148"/>
      <c r="I10" s="148"/>
      <c r="J10" s="187"/>
    </row>
    <row r="11" spans="2:10" ht="15.75" thickBot="1">
      <c r="B11" s="70">
        <v>108</v>
      </c>
      <c r="C11" s="66" t="s">
        <v>14</v>
      </c>
      <c r="D11" s="57">
        <v>234.11255183094937</v>
      </c>
      <c r="E11" s="57">
        <v>302.54608936360955</v>
      </c>
      <c r="F11" s="57">
        <v>-163.35796719917056</v>
      </c>
      <c r="G11" s="62">
        <v>160.05684253793657</v>
      </c>
      <c r="H11" s="148"/>
      <c r="I11" s="148"/>
      <c r="J11" s="187"/>
    </row>
    <row r="12" spans="2:10" ht="15.75" thickBot="1">
      <c r="B12" s="70">
        <v>109</v>
      </c>
      <c r="C12" s="66" t="s">
        <v>37</v>
      </c>
      <c r="D12" s="57">
        <v>262.3837114441535</v>
      </c>
      <c r="E12" s="57">
        <v>272.14807634237729</v>
      </c>
      <c r="F12" s="57">
        <v>-172.5540680422956</v>
      </c>
      <c r="G12" s="62">
        <v>168.86110276451646</v>
      </c>
      <c r="H12" s="148"/>
      <c r="I12" s="148"/>
      <c r="J12" s="187"/>
    </row>
    <row r="13" spans="2:10" ht="15.75" thickBot="1">
      <c r="B13" s="70">
        <v>110</v>
      </c>
      <c r="C13" s="66" t="s">
        <v>39</v>
      </c>
      <c r="D13" s="57">
        <v>251.11172149660601</v>
      </c>
      <c r="E13" s="57">
        <v>272.49695736588359</v>
      </c>
      <c r="F13" s="57">
        <v>-175.5057790766086</v>
      </c>
      <c r="G13" s="62">
        <v>171.27665897272848</v>
      </c>
      <c r="H13" s="148"/>
      <c r="I13" s="148"/>
      <c r="J13" s="187"/>
    </row>
    <row r="14" spans="2:10" ht="15.75" thickBot="1">
      <c r="B14" s="70">
        <v>111</v>
      </c>
      <c r="C14" s="66" t="s">
        <v>40</v>
      </c>
      <c r="D14" s="57">
        <v>268.94931097109531</v>
      </c>
      <c r="E14" s="57">
        <v>286.33821690361577</v>
      </c>
      <c r="F14" s="57">
        <v>-192.79932620712395</v>
      </c>
      <c r="G14" s="62">
        <v>188.71308782771175</v>
      </c>
      <c r="H14" s="148"/>
      <c r="I14" s="148"/>
      <c r="J14" s="187"/>
    </row>
    <row r="15" spans="2:10" ht="15.75" thickBot="1">
      <c r="B15" s="70">
        <v>112</v>
      </c>
      <c r="C15" s="66" t="s">
        <v>16</v>
      </c>
      <c r="D15" s="57">
        <v>232.5505479385738</v>
      </c>
      <c r="E15" s="57">
        <v>266.30028332666797</v>
      </c>
      <c r="F15" s="57">
        <v>-169.32800814401736</v>
      </c>
      <c r="G15" s="62">
        <v>165.73979779338913</v>
      </c>
      <c r="H15" s="148"/>
      <c r="I15" s="148"/>
      <c r="J15" s="187"/>
    </row>
    <row r="16" spans="2:10" ht="15.75" thickBot="1">
      <c r="B16" s="70">
        <v>113</v>
      </c>
      <c r="C16" s="66" t="s">
        <v>28</v>
      </c>
      <c r="D16" s="57">
        <v>253.9231085191075</v>
      </c>
      <c r="E16" s="57">
        <v>272.75549488429544</v>
      </c>
      <c r="F16" s="57">
        <v>-176.46881283153681</v>
      </c>
      <c r="G16" s="62">
        <v>173.5158601196338</v>
      </c>
      <c r="H16" s="148"/>
      <c r="I16" s="148"/>
      <c r="J16" s="187"/>
    </row>
    <row r="17" spans="2:10" ht="15.75" thickBot="1">
      <c r="B17" s="70">
        <v>114</v>
      </c>
      <c r="C17" s="66" t="s">
        <v>17</v>
      </c>
      <c r="D17" s="57">
        <v>245.25659959354206</v>
      </c>
      <c r="E17" s="57">
        <v>264.97002808283594</v>
      </c>
      <c r="F17" s="57">
        <v>-172.71099847572532</v>
      </c>
      <c r="G17" s="62">
        <v>169.15492092385938</v>
      </c>
      <c r="H17" s="148"/>
      <c r="I17" s="148"/>
      <c r="J17" s="187"/>
    </row>
    <row r="18" spans="2:10" ht="15.75" thickBot="1">
      <c r="B18" s="70">
        <v>115</v>
      </c>
      <c r="C18" s="66" t="s">
        <v>26</v>
      </c>
      <c r="D18" s="57">
        <v>217.5428241947123</v>
      </c>
      <c r="E18" s="57">
        <v>264.5847019255886</v>
      </c>
      <c r="F18" s="57">
        <v>-182.03374153888538</v>
      </c>
      <c r="G18" s="62">
        <v>178.39934953624044</v>
      </c>
      <c r="H18" s="148"/>
      <c r="I18" s="148"/>
      <c r="J18" s="187"/>
    </row>
    <row r="19" spans="2:10" ht="15.75" thickBot="1">
      <c r="B19" s="70">
        <v>116</v>
      </c>
      <c r="C19" s="66" t="s">
        <v>18</v>
      </c>
      <c r="D19" s="57">
        <v>235.04532827452078</v>
      </c>
      <c r="E19" s="57">
        <v>270.34921574340569</v>
      </c>
      <c r="F19" s="57">
        <v>-160.72059918345263</v>
      </c>
      <c r="G19" s="62">
        <v>157.70072168001704</v>
      </c>
      <c r="H19" s="148"/>
      <c r="I19" s="148"/>
      <c r="J19" s="187"/>
    </row>
    <row r="20" spans="2:10" ht="15.75" thickBot="1">
      <c r="B20" s="70">
        <v>117</v>
      </c>
      <c r="C20" s="66" t="s">
        <v>27</v>
      </c>
      <c r="D20" s="57">
        <v>259.61383171704523</v>
      </c>
      <c r="E20" s="57">
        <v>272.83617260304527</v>
      </c>
      <c r="F20" s="57">
        <v>-203.80427259167789</v>
      </c>
      <c r="G20" s="62">
        <v>199.54851583714512</v>
      </c>
      <c r="H20" s="148"/>
      <c r="I20" s="148"/>
      <c r="J20" s="187"/>
    </row>
    <row r="21" spans="2:10" ht="15.75" thickBot="1">
      <c r="B21" s="70">
        <v>118</v>
      </c>
      <c r="C21" s="66" t="s">
        <v>36</v>
      </c>
      <c r="D21" s="57">
        <v>252.82600197430975</v>
      </c>
      <c r="E21" s="57">
        <v>273.44828570433316</v>
      </c>
      <c r="F21" s="57">
        <v>-169.89366798083603</v>
      </c>
      <c r="G21" s="62">
        <v>166.32642704957107</v>
      </c>
      <c r="H21" s="148"/>
      <c r="I21" s="148"/>
      <c r="J21" s="187"/>
    </row>
    <row r="22" spans="2:10" ht="15.75" thickBot="1">
      <c r="B22" s="70">
        <v>119</v>
      </c>
      <c r="C22" s="66" t="s">
        <v>19</v>
      </c>
      <c r="D22" s="57">
        <v>261.14395567715877</v>
      </c>
      <c r="E22" s="57">
        <v>274.47007743849474</v>
      </c>
      <c r="F22" s="57">
        <v>-168.23392035064569</v>
      </c>
      <c r="G22" s="62">
        <v>165.14028520549041</v>
      </c>
      <c r="H22" s="148"/>
      <c r="I22" s="148"/>
      <c r="J22" s="187"/>
    </row>
    <row r="23" spans="2:10" ht="15.75" thickBot="1">
      <c r="B23" s="70">
        <v>120</v>
      </c>
      <c r="C23" s="66" t="s">
        <v>45</v>
      </c>
      <c r="D23" s="57">
        <v>187.18500015158855</v>
      </c>
      <c r="E23" s="57">
        <v>241.26823348836041</v>
      </c>
      <c r="F23" s="57">
        <v>-190.25578214306984</v>
      </c>
      <c r="G23" s="62">
        <v>186.26383139478187</v>
      </c>
      <c r="H23" s="148"/>
      <c r="I23" s="148"/>
      <c r="J23" s="187"/>
    </row>
    <row r="24" spans="2:10" ht="15.75" thickBot="1">
      <c r="B24" s="70">
        <v>122</v>
      </c>
      <c r="C24" s="66" t="s">
        <v>167</v>
      </c>
      <c r="D24" s="57" t="s">
        <v>102</v>
      </c>
      <c r="E24" s="57" t="s">
        <v>102</v>
      </c>
      <c r="F24" s="57" t="s">
        <v>102</v>
      </c>
      <c r="G24" s="62">
        <v>200.47322582289985</v>
      </c>
      <c r="H24" s="148"/>
      <c r="I24" s="148"/>
      <c r="J24" s="187"/>
    </row>
    <row r="25" spans="2:10" ht="15.75" thickBot="1">
      <c r="B25" s="70">
        <v>123</v>
      </c>
      <c r="C25" s="66" t="s">
        <v>253</v>
      </c>
      <c r="D25" s="57" t="s">
        <v>102</v>
      </c>
      <c r="E25" s="57" t="s">
        <v>102</v>
      </c>
      <c r="F25" s="57" t="s">
        <v>102</v>
      </c>
      <c r="G25" s="62">
        <v>188.52977504011466</v>
      </c>
      <c r="H25" s="148"/>
      <c r="I25" s="148"/>
      <c r="J25" s="187"/>
    </row>
    <row r="26" spans="2:10" ht="15.75" thickBot="1">
      <c r="B26" s="70">
        <v>124</v>
      </c>
      <c r="C26" s="66" t="s">
        <v>30</v>
      </c>
      <c r="D26" s="57">
        <v>210.13570296361658</v>
      </c>
      <c r="E26" s="57">
        <v>271.26695464697531</v>
      </c>
      <c r="F26" s="57">
        <v>-150.84517526641872</v>
      </c>
      <c r="G26" s="176">
        <v>146.37</v>
      </c>
      <c r="H26" s="148"/>
      <c r="I26" s="148"/>
      <c r="J26" s="187"/>
    </row>
    <row r="27" spans="2:10" ht="15.75" thickBot="1">
      <c r="B27" s="70">
        <v>125</v>
      </c>
      <c r="C27" s="66" t="s">
        <v>38</v>
      </c>
      <c r="D27" s="57">
        <v>138.79574864650044</v>
      </c>
      <c r="E27" s="57">
        <v>143.86944270812344</v>
      </c>
      <c r="F27" s="57">
        <v>-136.15798086185526</v>
      </c>
      <c r="G27" s="62">
        <v>133.37580553060667</v>
      </c>
      <c r="H27" s="148"/>
      <c r="I27" s="148"/>
      <c r="J27" s="187"/>
    </row>
    <row r="28" spans="2:10" ht="15.75" thickBot="1">
      <c r="B28" s="70">
        <v>126</v>
      </c>
      <c r="C28" s="66" t="s">
        <v>12</v>
      </c>
      <c r="D28" s="57">
        <v>254.11645338761389</v>
      </c>
      <c r="E28" s="57">
        <v>272.17193119278579</v>
      </c>
      <c r="F28" s="57">
        <v>-177.54487765434277</v>
      </c>
      <c r="G28" s="62">
        <v>173.68523848745298</v>
      </c>
      <c r="H28" s="148"/>
      <c r="I28" s="148"/>
      <c r="J28" s="187"/>
    </row>
    <row r="29" spans="2:10" ht="15.75" thickBot="1">
      <c r="B29" s="70">
        <v>127</v>
      </c>
      <c r="C29" s="66" t="s">
        <v>11</v>
      </c>
      <c r="D29" s="57">
        <v>301.7920511952168</v>
      </c>
      <c r="E29" s="57">
        <v>310.13460136102992</v>
      </c>
      <c r="F29" s="57">
        <v>-150.44241443004779</v>
      </c>
      <c r="G29" s="62">
        <v>147.1867353769172</v>
      </c>
      <c r="H29" s="148"/>
      <c r="I29" s="148"/>
      <c r="J29" s="187"/>
    </row>
    <row r="30" spans="2:10" ht="15.75" thickBot="1">
      <c r="B30" s="70">
        <v>128</v>
      </c>
      <c r="C30" s="66" t="s">
        <v>104</v>
      </c>
      <c r="D30" s="57" t="s">
        <v>102</v>
      </c>
      <c r="E30" s="57" t="s">
        <v>102</v>
      </c>
      <c r="F30" s="57" t="s">
        <v>102</v>
      </c>
      <c r="G30" s="62">
        <v>200.67000740582705</v>
      </c>
      <c r="H30" s="148"/>
      <c r="I30" s="148"/>
      <c r="J30" s="187"/>
    </row>
    <row r="31" spans="2:10" ht="15.75" thickBot="1">
      <c r="B31" s="70">
        <v>129</v>
      </c>
      <c r="C31" s="66" t="s">
        <v>4</v>
      </c>
      <c r="D31" s="57">
        <v>249.21438606769087</v>
      </c>
      <c r="E31" s="57">
        <v>262.83279786814882</v>
      </c>
      <c r="F31" s="57">
        <v>-150.90593413945072</v>
      </c>
      <c r="G31" s="62">
        <v>147.75733022086615</v>
      </c>
      <c r="H31" s="148"/>
      <c r="I31" s="148"/>
      <c r="J31" s="187"/>
    </row>
    <row r="32" spans="2:10" ht="15.75" thickBot="1">
      <c r="B32" s="70">
        <v>130</v>
      </c>
      <c r="C32" s="66" t="s">
        <v>20</v>
      </c>
      <c r="D32" s="57">
        <v>243.81762950327283</v>
      </c>
      <c r="E32" s="57">
        <v>259.31858103998871</v>
      </c>
      <c r="F32" s="57">
        <v>-181.76148171277939</v>
      </c>
      <c r="G32" s="62">
        <v>177.8235885398077</v>
      </c>
      <c r="H32" s="148"/>
      <c r="I32" s="148"/>
      <c r="J32" s="187"/>
    </row>
    <row r="33" spans="2:10" ht="15.75" thickBot="1">
      <c r="B33" s="70">
        <v>131</v>
      </c>
      <c r="C33" s="66" t="s">
        <v>105</v>
      </c>
      <c r="D33" s="57" t="s">
        <v>102</v>
      </c>
      <c r="E33" s="57" t="s">
        <v>102</v>
      </c>
      <c r="F33" s="57" t="s">
        <v>102</v>
      </c>
      <c r="G33" s="62">
        <v>221.91972049810332</v>
      </c>
      <c r="H33" s="148"/>
      <c r="I33" s="148"/>
      <c r="J33" s="187"/>
    </row>
    <row r="34" spans="2:10" ht="15.75" thickBot="1">
      <c r="B34" s="70">
        <v>132</v>
      </c>
      <c r="C34" s="66" t="s">
        <v>31</v>
      </c>
      <c r="D34" s="57">
        <v>273.92994590924235</v>
      </c>
      <c r="E34" s="57">
        <v>288.24322238006579</v>
      </c>
      <c r="F34" s="57">
        <v>-178.56867204734669</v>
      </c>
      <c r="G34" s="62">
        <v>174.63577676771763</v>
      </c>
      <c r="H34" s="148"/>
      <c r="I34" s="148"/>
      <c r="J34" s="187"/>
    </row>
    <row r="35" spans="2:10" ht="15.75" thickBot="1">
      <c r="B35" s="70">
        <v>133</v>
      </c>
      <c r="C35" s="66" t="s">
        <v>21</v>
      </c>
      <c r="D35" s="57">
        <v>254.10785905632798</v>
      </c>
      <c r="E35" s="57">
        <v>267.35588780969954</v>
      </c>
      <c r="F35" s="57">
        <v>-169.71686365245554</v>
      </c>
      <c r="G35" s="62">
        <v>166.03626509048968</v>
      </c>
      <c r="H35" s="148"/>
      <c r="I35" s="148"/>
      <c r="J35" s="187"/>
    </row>
    <row r="36" spans="2:10" ht="15.75" thickBot="1">
      <c r="B36" s="70">
        <v>134</v>
      </c>
      <c r="C36" s="66" t="s">
        <v>34</v>
      </c>
      <c r="D36" s="57">
        <v>150.71797555926207</v>
      </c>
      <c r="E36" s="57">
        <v>181.51878453191634</v>
      </c>
      <c r="F36" s="57">
        <v>-136.60180529035839</v>
      </c>
      <c r="G36" s="62">
        <v>133.73993203716182</v>
      </c>
      <c r="H36" s="148"/>
      <c r="I36" s="148"/>
      <c r="J36" s="187"/>
    </row>
    <row r="37" spans="2:10" ht="15.75" thickBot="1">
      <c r="B37" s="70">
        <v>135</v>
      </c>
      <c r="C37" s="66" t="s">
        <v>32</v>
      </c>
      <c r="D37" s="57">
        <v>232.71456362617343</v>
      </c>
      <c r="E37" s="57">
        <v>258.05902660260404</v>
      </c>
      <c r="F37" s="57">
        <v>-178.22003615975035</v>
      </c>
      <c r="G37" s="62">
        <v>174.11942392152497</v>
      </c>
      <c r="H37" s="148"/>
      <c r="I37" s="148"/>
      <c r="J37" s="187"/>
    </row>
    <row r="38" spans="2:10" ht="15.75" thickBot="1">
      <c r="B38" s="70">
        <v>136</v>
      </c>
      <c r="C38" s="66" t="s">
        <v>5</v>
      </c>
      <c r="D38" s="57">
        <v>270.77107558151226</v>
      </c>
      <c r="E38" s="57">
        <v>285.05460987100867</v>
      </c>
      <c r="F38" s="57">
        <v>-182.61379557502158</v>
      </c>
      <c r="G38" s="62">
        <v>178.55287170847905</v>
      </c>
      <c r="H38" s="148"/>
      <c r="I38" s="148"/>
      <c r="J38" s="187"/>
    </row>
    <row r="39" spans="2:10" ht="15.75" thickBot="1">
      <c r="B39" s="70">
        <v>137</v>
      </c>
      <c r="C39" s="66" t="s">
        <v>29</v>
      </c>
      <c r="D39" s="57">
        <v>138.68122304285976</v>
      </c>
      <c r="E39" s="57">
        <v>143.95461240229457</v>
      </c>
      <c r="F39" s="57">
        <v>-136.77275858798851</v>
      </c>
      <c r="G39" s="62">
        <v>134.0130300308152</v>
      </c>
      <c r="H39" s="148"/>
      <c r="I39" s="148"/>
      <c r="J39" s="187"/>
    </row>
    <row r="40" spans="2:10" ht="15.75" thickBot="1">
      <c r="B40" s="70">
        <v>138</v>
      </c>
      <c r="C40" s="66" t="s">
        <v>106</v>
      </c>
      <c r="D40" s="57" t="s">
        <v>102</v>
      </c>
      <c r="E40" s="57" t="s">
        <v>102</v>
      </c>
      <c r="F40" s="57" t="s">
        <v>102</v>
      </c>
      <c r="G40" s="62">
        <v>186.88388799855332</v>
      </c>
      <c r="H40" s="148"/>
      <c r="I40" s="148"/>
      <c r="J40" s="187"/>
    </row>
    <row r="41" spans="2:10" ht="15.75" thickBot="1">
      <c r="B41" s="70">
        <v>139</v>
      </c>
      <c r="C41" s="66" t="s">
        <v>168</v>
      </c>
      <c r="D41" s="57">
        <v>296.62961737607935</v>
      </c>
      <c r="E41" s="57">
        <v>296.62961737607935</v>
      </c>
      <c r="F41" s="57">
        <v>-125.31766824857125</v>
      </c>
      <c r="G41" s="62">
        <v>121.81682200480098</v>
      </c>
      <c r="H41" s="148"/>
      <c r="I41" s="148"/>
      <c r="J41" s="187"/>
    </row>
    <row r="42" spans="2:10" ht="15.75" thickBot="1">
      <c r="B42" s="70">
        <v>140</v>
      </c>
      <c r="C42" s="66" t="s">
        <v>15</v>
      </c>
      <c r="D42" s="57">
        <v>246.6667294372854</v>
      </c>
      <c r="E42" s="57">
        <v>273.13352872844553</v>
      </c>
      <c r="F42" s="57">
        <v>-162.0857965914262</v>
      </c>
      <c r="G42" s="62">
        <v>158.38334005545926</v>
      </c>
      <c r="H42" s="148"/>
      <c r="I42" s="148"/>
      <c r="J42" s="187"/>
    </row>
    <row r="43" spans="2:10" ht="15.75" thickBot="1">
      <c r="B43" s="70">
        <v>141</v>
      </c>
      <c r="C43" s="66" t="s">
        <v>42</v>
      </c>
      <c r="D43" s="57">
        <v>278.33713678044256</v>
      </c>
      <c r="E43" s="57">
        <v>302.70062191349928</v>
      </c>
      <c r="F43" s="57">
        <v>-163.58344608664964</v>
      </c>
      <c r="G43" s="62">
        <v>159.75068833158744</v>
      </c>
      <c r="H43" s="148"/>
      <c r="I43" s="148"/>
      <c r="J43" s="187"/>
    </row>
    <row r="44" spans="2:10" ht="15.75" thickBot="1">
      <c r="B44" s="70">
        <v>142</v>
      </c>
      <c r="C44" s="66" t="s">
        <v>10</v>
      </c>
      <c r="D44" s="57">
        <v>225.82417331792757</v>
      </c>
      <c r="E44" s="57">
        <v>262.73104709069389</v>
      </c>
      <c r="F44" s="57">
        <v>-181.46656612458779</v>
      </c>
      <c r="G44" s="62">
        <v>177.28731130725322</v>
      </c>
      <c r="H44" s="148"/>
      <c r="I44" s="148"/>
      <c r="J44" s="187"/>
    </row>
    <row r="45" spans="2:10" ht="15.75" thickBot="1">
      <c r="B45" s="70">
        <v>143</v>
      </c>
      <c r="C45" s="66" t="s">
        <v>107</v>
      </c>
      <c r="D45" s="57" t="s">
        <v>102</v>
      </c>
      <c r="E45" s="57" t="s">
        <v>102</v>
      </c>
      <c r="F45" s="57" t="s">
        <v>102</v>
      </c>
      <c r="G45" s="62">
        <v>222.55509463231627</v>
      </c>
      <c r="H45" s="148"/>
      <c r="I45" s="148"/>
      <c r="J45" s="187"/>
    </row>
    <row r="46" spans="2:10" ht="15.75" thickBot="1">
      <c r="B46" s="71">
        <v>144</v>
      </c>
      <c r="C46" s="66" t="s">
        <v>108</v>
      </c>
      <c r="D46" s="57" t="s">
        <v>102</v>
      </c>
      <c r="E46" s="57" t="s">
        <v>102</v>
      </c>
      <c r="F46" s="57" t="s">
        <v>102</v>
      </c>
      <c r="G46" s="62">
        <v>219.8230128055778</v>
      </c>
      <c r="H46" s="148"/>
      <c r="I46" s="148"/>
      <c r="J46" s="187"/>
    </row>
    <row r="47" spans="2:10" ht="15.75" thickBot="1">
      <c r="B47" s="71">
        <v>145</v>
      </c>
      <c r="C47" s="66" t="s">
        <v>7</v>
      </c>
      <c r="D47" s="57">
        <v>271.55321866454506</v>
      </c>
      <c r="E47" s="57">
        <v>293.75489702542859</v>
      </c>
      <c r="F47" s="57">
        <v>-176.20106030479155</v>
      </c>
      <c r="G47" s="62">
        <v>172.10441383944104</v>
      </c>
      <c r="H47" s="148"/>
      <c r="I47" s="148"/>
      <c r="J47" s="187"/>
    </row>
    <row r="48" spans="2:10" ht="15.75" thickBot="1">
      <c r="B48" s="71">
        <v>146</v>
      </c>
      <c r="C48" s="66" t="s">
        <v>43</v>
      </c>
      <c r="D48" s="57">
        <v>272.38323848577653</v>
      </c>
      <c r="E48" s="57">
        <v>272.38323848577653</v>
      </c>
      <c r="F48" s="57">
        <v>-132.64297743302393</v>
      </c>
      <c r="G48" s="62">
        <v>130.04921461133173</v>
      </c>
      <c r="H48" s="148"/>
      <c r="I48" s="148"/>
      <c r="J48" s="187"/>
    </row>
    <row r="49" spans="2:10" ht="15.75" thickBot="1">
      <c r="B49" s="71">
        <v>147</v>
      </c>
      <c r="C49" s="66" t="s">
        <v>109</v>
      </c>
      <c r="D49" s="57" t="s">
        <v>102</v>
      </c>
      <c r="E49" s="57" t="s">
        <v>102</v>
      </c>
      <c r="F49" s="57" t="s">
        <v>102</v>
      </c>
      <c r="G49" s="62">
        <v>173.95162242472534</v>
      </c>
      <c r="H49" s="148"/>
      <c r="I49" s="148"/>
      <c r="J49" s="187"/>
    </row>
    <row r="50" spans="2:10" ht="15.75" thickBot="1">
      <c r="B50" s="71">
        <v>148</v>
      </c>
      <c r="C50" s="66" t="s">
        <v>6</v>
      </c>
      <c r="D50" s="57">
        <v>239.69554153251786</v>
      </c>
      <c r="E50" s="57">
        <v>266.24562382649532</v>
      </c>
      <c r="F50" s="57">
        <v>-157.95842550044347</v>
      </c>
      <c r="G50" s="62">
        <v>154.42338179785423</v>
      </c>
      <c r="H50" s="148"/>
      <c r="I50" s="148"/>
      <c r="J50" s="187"/>
    </row>
    <row r="51" spans="2:10" ht="15.75" thickBot="1">
      <c r="B51" s="71">
        <v>149</v>
      </c>
      <c r="C51" s="66" t="s">
        <v>110</v>
      </c>
      <c r="D51" s="57">
        <v>189.45616803959311</v>
      </c>
      <c r="E51" s="57" t="s">
        <v>102</v>
      </c>
      <c r="F51" s="57">
        <v>-179.57948018744543</v>
      </c>
      <c r="G51" s="62">
        <v>175.74085157853062</v>
      </c>
      <c r="H51" s="148"/>
      <c r="I51" s="148"/>
      <c r="J51" s="187"/>
    </row>
    <row r="52" spans="2:10" ht="15.75" thickBot="1">
      <c r="B52" s="71">
        <v>150</v>
      </c>
      <c r="C52" s="66" t="s">
        <v>3</v>
      </c>
      <c r="D52" s="57">
        <v>198.02552098849421</v>
      </c>
      <c r="E52" s="57">
        <v>230.42572827785935</v>
      </c>
      <c r="F52" s="57">
        <v>-188.62485165703936</v>
      </c>
      <c r="G52" s="62">
        <v>184.48134638603051</v>
      </c>
      <c r="H52" s="148"/>
      <c r="I52" s="148"/>
      <c r="J52" s="187"/>
    </row>
    <row r="53" spans="2:10" ht="15.75" thickBot="1">
      <c r="B53" s="71">
        <v>151</v>
      </c>
      <c r="C53" s="66" t="s">
        <v>25</v>
      </c>
      <c r="D53" s="57">
        <v>232.65907605801627</v>
      </c>
      <c r="E53" s="57">
        <v>276.95836961404456</v>
      </c>
      <c r="F53" s="57">
        <v>-169.97543620694509</v>
      </c>
      <c r="G53" s="62">
        <v>166.35988838778374</v>
      </c>
      <c r="H53" s="148"/>
      <c r="I53" s="148"/>
      <c r="J53" s="187"/>
    </row>
    <row r="54" spans="2:10" ht="15.75" thickBot="1">
      <c r="B54" s="71">
        <v>152</v>
      </c>
      <c r="C54" s="66" t="s">
        <v>111</v>
      </c>
      <c r="D54" s="57" t="s">
        <v>102</v>
      </c>
      <c r="E54" s="57" t="s">
        <v>102</v>
      </c>
      <c r="F54" s="57" t="s">
        <v>102</v>
      </c>
      <c r="G54" s="62">
        <v>226.53537784557156</v>
      </c>
      <c r="H54" s="148"/>
      <c r="I54" s="148"/>
      <c r="J54" s="187"/>
    </row>
    <row r="55" spans="2:10" ht="15.75" thickBot="1">
      <c r="B55" s="71">
        <v>153</v>
      </c>
      <c r="C55" s="66" t="s">
        <v>24</v>
      </c>
      <c r="D55" s="57">
        <v>221.47276413629956</v>
      </c>
      <c r="E55" s="57">
        <v>249.64617427924989</v>
      </c>
      <c r="F55" s="57">
        <v>-158.74565525857383</v>
      </c>
      <c r="G55" s="62">
        <v>155.41750252434488</v>
      </c>
      <c r="H55" s="148"/>
      <c r="I55" s="148"/>
      <c r="J55" s="187"/>
    </row>
    <row r="56" spans="2:10" ht="15.75" thickBot="1">
      <c r="B56" s="71">
        <v>154</v>
      </c>
      <c r="C56" s="66" t="s">
        <v>8</v>
      </c>
      <c r="D56" s="57">
        <v>252.96297177203078</v>
      </c>
      <c r="E56" s="57">
        <v>268.10726418915181</v>
      </c>
      <c r="F56" s="57">
        <v>-175.9921942169947</v>
      </c>
      <c r="G56" s="62">
        <v>172.69249546602205</v>
      </c>
      <c r="H56" s="148"/>
      <c r="I56" s="148"/>
      <c r="J56" s="187"/>
    </row>
    <row r="57" spans="2:10" ht="15.75" thickBot="1">
      <c r="B57" s="71">
        <v>155</v>
      </c>
      <c r="C57" s="66" t="s">
        <v>22</v>
      </c>
      <c r="D57" s="57">
        <v>227.32086528152053</v>
      </c>
      <c r="E57" s="57">
        <v>255.11183457591397</v>
      </c>
      <c r="F57" s="57">
        <v>-151.40136939413631</v>
      </c>
      <c r="G57" s="62">
        <v>148.61473132152798</v>
      </c>
      <c r="H57" s="148"/>
      <c r="I57" s="148"/>
      <c r="J57" s="187"/>
    </row>
    <row r="58" spans="2:10" ht="15.75" thickBot="1">
      <c r="B58" s="71">
        <v>156</v>
      </c>
      <c r="C58" s="66" t="s">
        <v>112</v>
      </c>
      <c r="D58" s="57" t="s">
        <v>102</v>
      </c>
      <c r="E58" s="57" t="s">
        <v>102</v>
      </c>
      <c r="F58" s="57" t="s">
        <v>102</v>
      </c>
      <c r="G58" s="62">
        <v>187.49739200530473</v>
      </c>
      <c r="H58" s="148"/>
      <c r="I58" s="148"/>
      <c r="J58" s="187"/>
    </row>
    <row r="59" spans="2:10" ht="15.75" thickBot="1">
      <c r="B59" s="71">
        <v>157</v>
      </c>
      <c r="C59" s="66" t="s">
        <v>113</v>
      </c>
      <c r="D59" s="57" t="s">
        <v>102</v>
      </c>
      <c r="E59" s="57" t="s">
        <v>102</v>
      </c>
      <c r="F59" s="57" t="s">
        <v>102</v>
      </c>
      <c r="G59" s="62">
        <v>184.31492048307004</v>
      </c>
      <c r="H59" s="148"/>
      <c r="I59" s="148"/>
      <c r="J59" s="187"/>
    </row>
    <row r="60" spans="2:10" ht="15.75" thickBot="1">
      <c r="B60" s="71">
        <v>158</v>
      </c>
      <c r="C60" s="66" t="s">
        <v>114</v>
      </c>
      <c r="D60" s="57" t="s">
        <v>102</v>
      </c>
      <c r="E60" s="57" t="s">
        <v>102</v>
      </c>
      <c r="F60" s="57" t="s">
        <v>102</v>
      </c>
      <c r="G60" s="62">
        <v>176.20167107980518</v>
      </c>
      <c r="H60" s="148"/>
      <c r="I60" s="148"/>
      <c r="J60" s="187"/>
    </row>
    <row r="61" spans="2:10" ht="15.75" thickBot="1">
      <c r="B61" s="71">
        <v>160</v>
      </c>
      <c r="C61" s="66" t="s">
        <v>2</v>
      </c>
      <c r="D61" s="57">
        <v>276.52825424042226</v>
      </c>
      <c r="E61" s="57">
        <v>299.42181239641263</v>
      </c>
      <c r="F61" s="57">
        <v>-178.94294932343797</v>
      </c>
      <c r="G61" s="62">
        <v>176.22139275057563</v>
      </c>
      <c r="H61" s="148"/>
      <c r="I61" s="148"/>
      <c r="J61" s="187"/>
    </row>
    <row r="62" spans="2:10" ht="15.75" thickBot="1">
      <c r="B62" s="71">
        <v>161</v>
      </c>
      <c r="C62" s="66" t="s">
        <v>115</v>
      </c>
      <c r="D62" s="57" t="s">
        <v>102</v>
      </c>
      <c r="E62" s="57" t="s">
        <v>102</v>
      </c>
      <c r="F62" s="57" t="s">
        <v>102</v>
      </c>
      <c r="G62" s="62">
        <v>184.55529864505991</v>
      </c>
      <c r="H62" s="148"/>
      <c r="I62" s="148"/>
      <c r="J62" s="187"/>
    </row>
    <row r="63" spans="2:10" ht="15.75" thickBot="1">
      <c r="B63" s="72">
        <v>162</v>
      </c>
      <c r="C63" s="173" t="s">
        <v>23</v>
      </c>
      <c r="D63" s="174">
        <v>253.65277434266071</v>
      </c>
      <c r="E63" s="174">
        <v>276.02535554807713</v>
      </c>
      <c r="F63" s="174">
        <v>-166.75973044738683</v>
      </c>
      <c r="G63" s="175">
        <v>163.59974637311447</v>
      </c>
      <c r="H63" s="148"/>
      <c r="I63" s="148"/>
      <c r="J63" s="187"/>
    </row>
    <row r="64" spans="2:10" ht="15">
      <c r="B64" s="73">
        <v>164</v>
      </c>
      <c r="C64" s="67" t="s">
        <v>116</v>
      </c>
      <c r="D64" s="63" t="s">
        <v>102</v>
      </c>
      <c r="E64" s="63" t="s">
        <v>102</v>
      </c>
      <c r="F64" s="63" t="s">
        <v>102</v>
      </c>
      <c r="G64" s="186">
        <v>229.2391300173463</v>
      </c>
      <c r="H64" s="148"/>
      <c r="I64" s="148"/>
      <c r="J64" s="187"/>
    </row>
    <row r="65" spans="2:10">
      <c r="B65" s="151"/>
      <c r="C65" s="151"/>
      <c r="D65" s="151"/>
      <c r="E65" s="151"/>
      <c r="F65" s="151"/>
      <c r="G65" s="151"/>
      <c r="J65" s="156"/>
    </row>
    <row r="66" spans="2:10">
      <c r="B66" s="151"/>
      <c r="C66" s="151"/>
      <c r="D66" s="151"/>
      <c r="E66" s="151"/>
      <c r="F66" s="151"/>
      <c r="G66" s="151"/>
    </row>
    <row r="68" spans="2:10" s="51" customFormat="1" ht="25.9" customHeight="1">
      <c r="B68" s="193" t="s">
        <v>169</v>
      </c>
      <c r="C68" s="193"/>
      <c r="D68" s="193"/>
      <c r="E68" s="193"/>
      <c r="F68" s="193"/>
      <c r="G68" s="193"/>
      <c r="H68" s="193"/>
      <c r="I68" s="193"/>
      <c r="J68" s="193"/>
    </row>
    <row r="69" spans="2:10" s="51" customFormat="1"/>
    <row r="70" spans="2:10" s="51" customFormat="1" ht="25.9" customHeight="1">
      <c r="B70"/>
      <c r="C70"/>
      <c r="D70"/>
      <c r="E70"/>
      <c r="F70"/>
      <c r="G70"/>
      <c r="I70"/>
      <c r="J70"/>
    </row>
    <row r="71" spans="2:10" s="51" customFormat="1"/>
    <row r="72" spans="2:10" s="51" customFormat="1">
      <c r="B72"/>
      <c r="C72"/>
      <c r="D72"/>
      <c r="E72"/>
      <c r="F72"/>
      <c r="G72"/>
      <c r="I72"/>
      <c r="J72"/>
    </row>
    <row r="73" spans="2:10" s="51" customFormat="1">
      <c r="B73"/>
      <c r="C73"/>
      <c r="D73"/>
      <c r="E73"/>
      <c r="F73"/>
      <c r="G73"/>
      <c r="I73"/>
      <c r="J73"/>
    </row>
    <row r="74" spans="2:10" s="51" customFormat="1">
      <c r="B74"/>
      <c r="C74"/>
      <c r="D74"/>
      <c r="E74"/>
      <c r="F74"/>
      <c r="G74"/>
      <c r="I74"/>
      <c r="J74"/>
    </row>
    <row r="75" spans="2:10" s="51" customFormat="1">
      <c r="B75"/>
      <c r="C75"/>
      <c r="D75"/>
      <c r="E75"/>
      <c r="F75"/>
      <c r="G75"/>
      <c r="I75"/>
      <c r="J75"/>
    </row>
    <row r="76" spans="2:10" s="51" customFormat="1">
      <c r="B76"/>
      <c r="C76"/>
      <c r="D76"/>
      <c r="E76"/>
      <c r="F76"/>
      <c r="G76"/>
      <c r="I76"/>
      <c r="J76"/>
    </row>
    <row r="77" spans="2:10" s="51" customFormat="1">
      <c r="B77"/>
      <c r="C77"/>
      <c r="D77"/>
      <c r="E77"/>
      <c r="F77"/>
      <c r="G77"/>
      <c r="I77"/>
      <c r="J77"/>
    </row>
    <row r="78" spans="2:10" s="51" customFormat="1">
      <c r="B78"/>
      <c r="C78"/>
      <c r="D78"/>
      <c r="E78"/>
      <c r="F78"/>
      <c r="G78"/>
      <c r="I78"/>
      <c r="J78"/>
    </row>
    <row r="79" spans="2:10" s="51" customFormat="1">
      <c r="B79"/>
      <c r="C79"/>
      <c r="D79"/>
      <c r="E79"/>
      <c r="F79"/>
      <c r="G79"/>
      <c r="I79"/>
      <c r="J79"/>
    </row>
    <row r="80" spans="2:10" s="51" customFormat="1">
      <c r="B80"/>
      <c r="C80"/>
      <c r="D80"/>
      <c r="E80"/>
      <c r="F80"/>
      <c r="G80"/>
      <c r="I80"/>
      <c r="J80"/>
    </row>
    <row r="81" spans="2:10" s="51" customFormat="1">
      <c r="B81"/>
      <c r="C81"/>
      <c r="D81"/>
      <c r="E81"/>
      <c r="F81"/>
      <c r="G81"/>
      <c r="I81"/>
      <c r="J81"/>
    </row>
    <row r="82" spans="2:10" s="51" customFormat="1">
      <c r="B82"/>
      <c r="C82"/>
      <c r="D82"/>
      <c r="E82"/>
      <c r="F82"/>
      <c r="G82"/>
      <c r="I82"/>
      <c r="J82"/>
    </row>
    <row r="83" spans="2:10" s="51" customFormat="1">
      <c r="B83"/>
      <c r="C83"/>
      <c r="D83"/>
      <c r="E83"/>
      <c r="F83"/>
      <c r="G83"/>
      <c r="I83"/>
      <c r="J83"/>
    </row>
    <row r="84" spans="2:10" s="51" customFormat="1">
      <c r="B84"/>
      <c r="C84"/>
      <c r="D84"/>
      <c r="E84"/>
      <c r="F84"/>
      <c r="G84"/>
      <c r="I84"/>
      <c r="J84"/>
    </row>
    <row r="85" spans="2:10" s="51" customFormat="1">
      <c r="B85"/>
      <c r="C85"/>
      <c r="D85"/>
      <c r="E85"/>
      <c r="F85"/>
      <c r="G85"/>
      <c r="I85"/>
      <c r="J85"/>
    </row>
    <row r="86" spans="2:10" s="51" customFormat="1">
      <c r="B86"/>
      <c r="C86"/>
      <c r="D86"/>
      <c r="E86"/>
      <c r="F86"/>
      <c r="G86"/>
      <c r="I86"/>
      <c r="J86"/>
    </row>
    <row r="87" spans="2:10" s="51" customFormat="1">
      <c r="B87"/>
      <c r="C87"/>
      <c r="D87"/>
      <c r="E87"/>
      <c r="F87"/>
      <c r="G87"/>
      <c r="I87"/>
      <c r="J87"/>
    </row>
    <row r="88" spans="2:10" s="51" customFormat="1">
      <c r="B88"/>
      <c r="C88"/>
      <c r="D88"/>
      <c r="E88"/>
      <c r="F88"/>
      <c r="G88"/>
      <c r="I88"/>
      <c r="J88"/>
    </row>
    <row r="89" spans="2:10" s="51" customFormat="1">
      <c r="B89"/>
      <c r="C89"/>
      <c r="D89"/>
      <c r="E89"/>
      <c r="F89"/>
      <c r="G89"/>
      <c r="I89"/>
      <c r="J89"/>
    </row>
    <row r="90" spans="2:10" s="51" customFormat="1">
      <c r="B90"/>
      <c r="C90"/>
      <c r="D90"/>
      <c r="E90"/>
      <c r="F90"/>
      <c r="G90"/>
      <c r="I90"/>
      <c r="J90"/>
    </row>
    <row r="91" spans="2:10" s="51" customFormat="1">
      <c r="B91"/>
      <c r="C91"/>
      <c r="D91"/>
      <c r="E91"/>
      <c r="F91"/>
      <c r="G91"/>
      <c r="I91"/>
      <c r="J91"/>
    </row>
    <row r="92" spans="2:10" s="51" customFormat="1">
      <c r="B92"/>
      <c r="C92"/>
      <c r="D92"/>
      <c r="E92"/>
      <c r="F92"/>
      <c r="G92"/>
      <c r="I92"/>
      <c r="J92"/>
    </row>
    <row r="93" spans="2:10" s="51" customFormat="1">
      <c r="B93"/>
      <c r="C93"/>
      <c r="D93"/>
      <c r="E93"/>
      <c r="F93"/>
      <c r="G93"/>
      <c r="I93"/>
      <c r="J93"/>
    </row>
    <row r="94" spans="2:10" s="51" customFormat="1">
      <c r="B94"/>
      <c r="C94"/>
      <c r="D94"/>
      <c r="E94"/>
      <c r="F94"/>
      <c r="G94"/>
      <c r="I94"/>
      <c r="J94"/>
    </row>
    <row r="95" spans="2:10" s="51" customFormat="1">
      <c r="B95"/>
      <c r="C95"/>
      <c r="D95"/>
      <c r="E95"/>
      <c r="F95"/>
      <c r="G95"/>
      <c r="I95"/>
      <c r="J95"/>
    </row>
    <row r="96" spans="2:10" s="51" customFormat="1">
      <c r="B96"/>
      <c r="C96"/>
      <c r="D96"/>
      <c r="E96"/>
      <c r="F96"/>
      <c r="G96"/>
      <c r="I96"/>
      <c r="J96"/>
    </row>
    <row r="97" spans="2:10" s="51" customFormat="1">
      <c r="B97"/>
      <c r="C97"/>
      <c r="D97"/>
      <c r="E97"/>
      <c r="F97"/>
      <c r="G97"/>
      <c r="I97"/>
      <c r="J97"/>
    </row>
    <row r="98" spans="2:10" s="51" customFormat="1">
      <c r="B98"/>
      <c r="C98"/>
      <c r="D98"/>
      <c r="E98"/>
      <c r="F98"/>
      <c r="G98"/>
      <c r="I98"/>
      <c r="J98"/>
    </row>
    <row r="99" spans="2:10" s="51" customFormat="1">
      <c r="B99"/>
      <c r="C99"/>
      <c r="D99"/>
      <c r="E99"/>
      <c r="F99"/>
      <c r="G99"/>
      <c r="I99"/>
      <c r="J99"/>
    </row>
    <row r="100" spans="2:10" s="51" customFormat="1">
      <c r="B100"/>
      <c r="C100"/>
      <c r="D100"/>
      <c r="E100"/>
      <c r="F100"/>
      <c r="G100"/>
      <c r="I100"/>
      <c r="J100"/>
    </row>
    <row r="101" spans="2:10" s="51" customFormat="1">
      <c r="B101"/>
      <c r="C101"/>
      <c r="D101"/>
      <c r="E101"/>
      <c r="F101"/>
      <c r="G101"/>
      <c r="I101"/>
      <c r="J101"/>
    </row>
    <row r="102" spans="2:10" s="51" customFormat="1">
      <c r="B102"/>
      <c r="C102"/>
      <c r="D102"/>
      <c r="E102"/>
      <c r="F102"/>
      <c r="G102"/>
      <c r="I102"/>
      <c r="J102"/>
    </row>
    <row r="103" spans="2:10" s="51" customFormat="1">
      <c r="B103"/>
      <c r="C103"/>
      <c r="D103"/>
      <c r="E103"/>
      <c r="F103"/>
      <c r="G103"/>
      <c r="I103"/>
      <c r="J103"/>
    </row>
    <row r="104" spans="2:10" s="51" customFormat="1">
      <c r="B104"/>
      <c r="C104"/>
      <c r="D104"/>
      <c r="E104"/>
      <c r="F104"/>
      <c r="G104"/>
      <c r="I104"/>
      <c r="J104"/>
    </row>
    <row r="105" spans="2:10" s="51" customFormat="1">
      <c r="B105"/>
      <c r="C105"/>
      <c r="D105"/>
      <c r="E105"/>
      <c r="F105"/>
      <c r="G105"/>
      <c r="I105"/>
      <c r="J105"/>
    </row>
    <row r="106" spans="2:10" s="51" customFormat="1">
      <c r="B106"/>
      <c r="C106"/>
      <c r="D106"/>
      <c r="E106"/>
      <c r="F106"/>
      <c r="G106"/>
      <c r="I106"/>
      <c r="J106"/>
    </row>
    <row r="107" spans="2:10" s="51" customFormat="1">
      <c r="B107"/>
      <c r="C107"/>
      <c r="D107"/>
      <c r="E107"/>
      <c r="F107"/>
      <c r="G107"/>
      <c r="I107"/>
      <c r="J107"/>
    </row>
    <row r="108" spans="2:10" s="51" customFormat="1">
      <c r="B108"/>
      <c r="C108"/>
      <c r="D108"/>
      <c r="E108"/>
      <c r="F108"/>
      <c r="G108"/>
      <c r="I108"/>
      <c r="J108"/>
    </row>
    <row r="109" spans="2:10" s="51" customFormat="1">
      <c r="B109"/>
      <c r="C109"/>
      <c r="D109"/>
      <c r="E109"/>
      <c r="F109"/>
      <c r="G109"/>
      <c r="I109"/>
      <c r="J109"/>
    </row>
    <row r="110" spans="2:10" s="51" customFormat="1">
      <c r="B110"/>
      <c r="C110"/>
      <c r="D110"/>
      <c r="E110"/>
      <c r="F110"/>
      <c r="G110"/>
      <c r="I110"/>
      <c r="J110"/>
    </row>
    <row r="111" spans="2:10" s="51" customFormat="1">
      <c r="B111"/>
      <c r="C111"/>
      <c r="D111"/>
      <c r="E111"/>
      <c r="F111"/>
      <c r="G111"/>
      <c r="I111"/>
      <c r="J111"/>
    </row>
    <row r="112" spans="2:10" s="51" customFormat="1">
      <c r="B112"/>
      <c r="C112"/>
      <c r="D112"/>
      <c r="E112"/>
      <c r="F112"/>
      <c r="G112"/>
      <c r="I112"/>
      <c r="J112"/>
    </row>
    <row r="113" spans="2:10" s="51" customFormat="1">
      <c r="B113"/>
      <c r="C113"/>
      <c r="D113"/>
      <c r="E113"/>
      <c r="F113"/>
      <c r="G113"/>
      <c r="I113"/>
      <c r="J113"/>
    </row>
    <row r="114" spans="2:10" s="51" customFormat="1">
      <c r="B114"/>
      <c r="C114"/>
      <c r="D114"/>
      <c r="E114"/>
      <c r="F114"/>
      <c r="G114"/>
      <c r="I114"/>
      <c r="J114"/>
    </row>
    <row r="115" spans="2:10" s="51" customFormat="1">
      <c r="B115"/>
      <c r="C115"/>
      <c r="D115"/>
      <c r="E115"/>
      <c r="F115"/>
      <c r="G115"/>
      <c r="I115"/>
      <c r="J115"/>
    </row>
    <row r="116" spans="2:10" s="51" customFormat="1">
      <c r="B116"/>
      <c r="C116"/>
      <c r="D116"/>
      <c r="E116"/>
      <c r="F116"/>
      <c r="G116"/>
      <c r="I116"/>
      <c r="J116"/>
    </row>
    <row r="117" spans="2:10" s="51" customFormat="1">
      <c r="B117"/>
      <c r="C117"/>
      <c r="D117"/>
      <c r="E117"/>
      <c r="F117"/>
      <c r="G117"/>
      <c r="I117"/>
      <c r="J117"/>
    </row>
    <row r="118" spans="2:10" s="51" customFormat="1">
      <c r="B118"/>
      <c r="C118"/>
      <c r="D118"/>
      <c r="E118"/>
      <c r="F118"/>
      <c r="G118"/>
      <c r="I118"/>
      <c r="J118"/>
    </row>
    <row r="119" spans="2:10" s="51" customFormat="1">
      <c r="B119"/>
      <c r="C119"/>
      <c r="D119"/>
      <c r="E119"/>
      <c r="F119"/>
      <c r="G119"/>
      <c r="I119"/>
      <c r="J119"/>
    </row>
    <row r="120" spans="2:10" s="51" customFormat="1">
      <c r="B120"/>
      <c r="C120"/>
      <c r="D120"/>
      <c r="E120"/>
      <c r="F120"/>
      <c r="G120"/>
      <c r="I120"/>
      <c r="J120"/>
    </row>
    <row r="121" spans="2:10" s="51" customFormat="1">
      <c r="B121"/>
      <c r="C121"/>
      <c r="D121"/>
      <c r="E121"/>
      <c r="F121"/>
      <c r="G121"/>
      <c r="I121"/>
      <c r="J121"/>
    </row>
    <row r="122" spans="2:10" s="51" customFormat="1">
      <c r="B122"/>
      <c r="C122"/>
      <c r="D122"/>
      <c r="E122"/>
      <c r="F122"/>
      <c r="G122"/>
      <c r="I122"/>
      <c r="J122"/>
    </row>
    <row r="123" spans="2:10" s="51" customFormat="1">
      <c r="B123"/>
      <c r="C123"/>
      <c r="D123"/>
      <c r="E123"/>
      <c r="F123"/>
      <c r="G123"/>
      <c r="I123"/>
      <c r="J123"/>
    </row>
    <row r="124" spans="2:10" s="51" customFormat="1">
      <c r="B124"/>
      <c r="C124"/>
      <c r="D124"/>
      <c r="E124"/>
      <c r="F124"/>
      <c r="G124"/>
      <c r="I124"/>
      <c r="J124"/>
    </row>
    <row r="125" spans="2:10" s="51" customFormat="1">
      <c r="B125"/>
      <c r="C125"/>
      <c r="D125"/>
      <c r="E125"/>
      <c r="F125"/>
      <c r="G125"/>
      <c r="I125"/>
      <c r="J125"/>
    </row>
    <row r="126" spans="2:10" s="51" customFormat="1">
      <c r="B126"/>
      <c r="C126"/>
      <c r="D126"/>
      <c r="E126"/>
      <c r="F126"/>
      <c r="G126"/>
      <c r="I126"/>
      <c r="J126"/>
    </row>
    <row r="127" spans="2:10" s="51" customFormat="1">
      <c r="B127"/>
      <c r="C127"/>
      <c r="D127"/>
      <c r="E127"/>
      <c r="F127"/>
      <c r="G127"/>
      <c r="I127"/>
      <c r="J127"/>
    </row>
    <row r="128" spans="2:10" s="51" customFormat="1">
      <c r="B128"/>
      <c r="C128"/>
      <c r="D128"/>
      <c r="E128"/>
      <c r="F128"/>
      <c r="G128"/>
      <c r="I128"/>
      <c r="J128"/>
    </row>
    <row r="129" spans="2:10" s="51" customFormat="1">
      <c r="B129"/>
      <c r="C129"/>
      <c r="D129"/>
      <c r="E129"/>
      <c r="F129"/>
      <c r="G129"/>
      <c r="I129"/>
      <c r="J129"/>
    </row>
    <row r="130" spans="2:10" s="51" customFormat="1">
      <c r="B130"/>
      <c r="C130"/>
      <c r="D130"/>
      <c r="E130"/>
      <c r="F130"/>
      <c r="G130"/>
      <c r="I130"/>
      <c r="J130"/>
    </row>
    <row r="131" spans="2:10" s="51" customFormat="1">
      <c r="B131"/>
      <c r="C131"/>
      <c r="D131"/>
      <c r="E131"/>
      <c r="F131"/>
      <c r="G131"/>
      <c r="I131"/>
      <c r="J131"/>
    </row>
    <row r="132" spans="2:10" s="51" customFormat="1">
      <c r="B132"/>
      <c r="C132"/>
      <c r="D132"/>
      <c r="E132"/>
      <c r="F132"/>
      <c r="G132"/>
      <c r="I132"/>
      <c r="J132"/>
    </row>
    <row r="133" spans="2:10" s="51" customFormat="1">
      <c r="B133"/>
      <c r="C133"/>
      <c r="D133"/>
      <c r="E133"/>
      <c r="F133"/>
      <c r="G133"/>
      <c r="I133"/>
      <c r="J133"/>
    </row>
    <row r="134" spans="2:10" s="51" customFormat="1">
      <c r="B134"/>
      <c r="C134"/>
      <c r="D134"/>
      <c r="E134"/>
      <c r="F134"/>
      <c r="G134"/>
      <c r="I134"/>
      <c r="J134"/>
    </row>
    <row r="135" spans="2:10" s="51" customFormat="1">
      <c r="B135"/>
      <c r="C135"/>
      <c r="D135"/>
      <c r="E135"/>
      <c r="F135"/>
      <c r="G135"/>
      <c r="I135"/>
      <c r="J135"/>
    </row>
    <row r="136" spans="2:10" s="51" customFormat="1">
      <c r="B136"/>
      <c r="C136"/>
      <c r="D136"/>
      <c r="E136"/>
      <c r="F136"/>
      <c r="G136"/>
      <c r="I136"/>
      <c r="J136"/>
    </row>
    <row r="137" spans="2:10" s="51" customFormat="1">
      <c r="B137"/>
      <c r="C137"/>
      <c r="D137"/>
      <c r="E137"/>
      <c r="F137"/>
      <c r="G137"/>
      <c r="I137"/>
      <c r="J137"/>
    </row>
    <row r="138" spans="2:10" s="51" customFormat="1">
      <c r="B138"/>
      <c r="C138"/>
      <c r="D138"/>
      <c r="E138"/>
      <c r="F138"/>
      <c r="G138"/>
      <c r="I138"/>
      <c r="J138"/>
    </row>
    <row r="139" spans="2:10" s="51" customFormat="1">
      <c r="B139"/>
      <c r="C139"/>
      <c r="D139"/>
      <c r="E139"/>
      <c r="F139"/>
      <c r="G139"/>
      <c r="I139"/>
      <c r="J139"/>
    </row>
    <row r="140" spans="2:10" s="51" customFormat="1">
      <c r="B140"/>
      <c r="C140"/>
      <c r="D140"/>
      <c r="E140"/>
      <c r="F140"/>
      <c r="G140"/>
      <c r="I140"/>
      <c r="J140"/>
    </row>
    <row r="141" spans="2:10" s="51" customFormat="1">
      <c r="B141"/>
      <c r="C141"/>
      <c r="D141"/>
      <c r="E141"/>
      <c r="F141"/>
      <c r="G141"/>
      <c r="I141"/>
      <c r="J141"/>
    </row>
    <row r="142" spans="2:10" s="51" customFormat="1">
      <c r="B142"/>
      <c r="C142"/>
      <c r="D142"/>
      <c r="E142"/>
      <c r="F142"/>
      <c r="G142"/>
      <c r="I142"/>
      <c r="J142"/>
    </row>
    <row r="143" spans="2:10" s="51" customFormat="1">
      <c r="B143"/>
      <c r="C143"/>
      <c r="D143"/>
      <c r="E143"/>
      <c r="F143"/>
      <c r="G143"/>
      <c r="I143"/>
      <c r="J143"/>
    </row>
    <row r="144" spans="2:10" s="51" customFormat="1">
      <c r="B144"/>
      <c r="C144"/>
      <c r="D144"/>
      <c r="E144"/>
      <c r="F144"/>
      <c r="G144"/>
      <c r="I144"/>
      <c r="J144"/>
    </row>
    <row r="145" spans="2:10" s="51" customFormat="1">
      <c r="B145"/>
      <c r="C145"/>
      <c r="D145"/>
      <c r="E145"/>
      <c r="F145"/>
      <c r="G145"/>
      <c r="I145"/>
      <c r="J145"/>
    </row>
    <row r="146" spans="2:10" s="51" customFormat="1">
      <c r="B146"/>
      <c r="C146"/>
      <c r="D146"/>
      <c r="E146"/>
      <c r="F146"/>
      <c r="G146"/>
      <c r="I146"/>
      <c r="J146"/>
    </row>
    <row r="147" spans="2:10" s="51" customFormat="1">
      <c r="B147"/>
      <c r="C147"/>
      <c r="D147"/>
      <c r="E147"/>
      <c r="F147"/>
      <c r="G147"/>
      <c r="I147"/>
      <c r="J147"/>
    </row>
    <row r="148" spans="2:10" s="51" customFormat="1">
      <c r="B148"/>
      <c r="C148"/>
      <c r="D148"/>
      <c r="E148"/>
      <c r="F148"/>
      <c r="G148"/>
      <c r="I148"/>
      <c r="J148"/>
    </row>
    <row r="149" spans="2:10" s="51" customFormat="1">
      <c r="B149"/>
      <c r="C149"/>
      <c r="D149"/>
      <c r="E149"/>
      <c r="F149"/>
      <c r="G149"/>
      <c r="I149"/>
      <c r="J149"/>
    </row>
    <row r="150" spans="2:10" s="51" customFormat="1">
      <c r="B150"/>
      <c r="C150"/>
      <c r="D150"/>
      <c r="E150"/>
      <c r="F150"/>
      <c r="G150"/>
      <c r="I150"/>
      <c r="J150"/>
    </row>
    <row r="151" spans="2:10" s="51" customFormat="1">
      <c r="B151"/>
      <c r="C151"/>
      <c r="D151"/>
      <c r="E151"/>
      <c r="F151"/>
      <c r="G151"/>
      <c r="I151"/>
      <c r="J151"/>
    </row>
    <row r="152" spans="2:10" s="51" customFormat="1">
      <c r="B152"/>
      <c r="C152"/>
      <c r="D152"/>
      <c r="E152"/>
      <c r="F152"/>
      <c r="G152"/>
      <c r="I152"/>
      <c r="J152"/>
    </row>
    <row r="153" spans="2:10" s="51" customFormat="1">
      <c r="B153"/>
      <c r="C153"/>
      <c r="D153"/>
      <c r="E153"/>
      <c r="F153"/>
      <c r="G153"/>
      <c r="I153"/>
      <c r="J153"/>
    </row>
    <row r="154" spans="2:10" s="51" customFormat="1">
      <c r="B154"/>
      <c r="C154"/>
      <c r="D154"/>
      <c r="E154"/>
      <c r="F154"/>
      <c r="G154"/>
      <c r="I154"/>
      <c r="J154"/>
    </row>
    <row r="155" spans="2:10" s="51" customFormat="1">
      <c r="B155"/>
      <c r="C155"/>
      <c r="D155"/>
      <c r="E155"/>
      <c r="F155"/>
      <c r="G155"/>
      <c r="I155"/>
      <c r="J155"/>
    </row>
    <row r="156" spans="2:10" s="51" customFormat="1">
      <c r="B156"/>
      <c r="C156"/>
      <c r="D156"/>
      <c r="E156"/>
      <c r="F156"/>
      <c r="G156"/>
      <c r="I156"/>
      <c r="J156"/>
    </row>
    <row r="157" spans="2:10" s="51" customFormat="1">
      <c r="B157"/>
      <c r="C157"/>
      <c r="D157"/>
      <c r="E157"/>
      <c r="F157"/>
      <c r="G157"/>
      <c r="I157"/>
      <c r="J157"/>
    </row>
    <row r="158" spans="2:10" s="51" customFormat="1">
      <c r="B158"/>
      <c r="C158"/>
      <c r="D158"/>
      <c r="E158"/>
      <c r="F158"/>
      <c r="G158"/>
      <c r="I158"/>
      <c r="J158"/>
    </row>
    <row r="159" spans="2:10" s="51" customFormat="1">
      <c r="B159"/>
      <c r="C159"/>
      <c r="D159"/>
      <c r="E159"/>
      <c r="F159"/>
      <c r="G159"/>
      <c r="I159"/>
      <c r="J159"/>
    </row>
    <row r="160" spans="2:10" s="51" customFormat="1">
      <c r="B160"/>
      <c r="C160"/>
      <c r="D160"/>
      <c r="E160"/>
      <c r="F160"/>
      <c r="G160"/>
      <c r="I160"/>
      <c r="J160"/>
    </row>
    <row r="161" spans="2:10" s="51" customFormat="1">
      <c r="B161"/>
      <c r="C161"/>
      <c r="D161"/>
      <c r="E161"/>
      <c r="F161"/>
      <c r="G161"/>
      <c r="I161"/>
      <c r="J161"/>
    </row>
    <row r="162" spans="2:10" s="51" customFormat="1">
      <c r="B162"/>
      <c r="C162"/>
      <c r="D162"/>
      <c r="E162"/>
      <c r="F162"/>
      <c r="G162"/>
      <c r="I162"/>
      <c r="J162"/>
    </row>
    <row r="163" spans="2:10" s="51" customFormat="1">
      <c r="B163"/>
      <c r="C163"/>
      <c r="D163"/>
      <c r="E163"/>
      <c r="F163"/>
      <c r="G163"/>
      <c r="I163"/>
      <c r="J163"/>
    </row>
    <row r="164" spans="2:10" s="51" customFormat="1">
      <c r="B164"/>
      <c r="C164"/>
      <c r="D164"/>
      <c r="E164"/>
      <c r="F164"/>
      <c r="G164"/>
      <c r="I164"/>
      <c r="J164"/>
    </row>
    <row r="165" spans="2:10" s="51" customFormat="1">
      <c r="B165"/>
      <c r="C165"/>
      <c r="D165"/>
      <c r="E165"/>
      <c r="F165"/>
      <c r="G165"/>
      <c r="I165"/>
      <c r="J165"/>
    </row>
    <row r="166" spans="2:10" s="51" customFormat="1">
      <c r="B166"/>
      <c r="C166"/>
      <c r="D166"/>
      <c r="E166"/>
      <c r="F166"/>
      <c r="G166"/>
      <c r="I166"/>
      <c r="J166"/>
    </row>
    <row r="167" spans="2:10" s="51" customFormat="1">
      <c r="B167"/>
      <c r="C167"/>
      <c r="D167"/>
      <c r="E167"/>
      <c r="F167"/>
      <c r="G167"/>
      <c r="I167"/>
      <c r="J167"/>
    </row>
    <row r="168" spans="2:10" s="51" customFormat="1">
      <c r="B168"/>
      <c r="C168"/>
      <c r="D168"/>
      <c r="E168"/>
      <c r="F168"/>
      <c r="G168"/>
      <c r="I168"/>
      <c r="J168"/>
    </row>
    <row r="169" spans="2:10" s="51" customFormat="1">
      <c r="B169"/>
      <c r="C169"/>
      <c r="D169"/>
      <c r="E169"/>
      <c r="F169"/>
      <c r="G169"/>
      <c r="I169"/>
      <c r="J169"/>
    </row>
    <row r="170" spans="2:10" s="51" customFormat="1">
      <c r="B170"/>
      <c r="C170"/>
      <c r="D170"/>
      <c r="E170"/>
      <c r="F170"/>
      <c r="G170"/>
      <c r="I170"/>
      <c r="J170"/>
    </row>
    <row r="171" spans="2:10" s="51" customFormat="1">
      <c r="B171"/>
      <c r="C171"/>
      <c r="D171"/>
      <c r="E171"/>
      <c r="F171"/>
      <c r="G171"/>
      <c r="I171"/>
      <c r="J171"/>
    </row>
    <row r="172" spans="2:10" s="51" customFormat="1">
      <c r="B172"/>
      <c r="C172"/>
      <c r="D172"/>
      <c r="E172"/>
      <c r="F172"/>
      <c r="G172"/>
      <c r="I172"/>
      <c r="J172"/>
    </row>
    <row r="173" spans="2:10" s="51" customFormat="1">
      <c r="B173"/>
      <c r="C173"/>
      <c r="D173"/>
      <c r="E173"/>
      <c r="F173"/>
      <c r="G173"/>
      <c r="I173"/>
      <c r="J173"/>
    </row>
    <row r="174" spans="2:10" s="51" customFormat="1">
      <c r="B174"/>
      <c r="C174"/>
      <c r="D174"/>
      <c r="E174"/>
      <c r="F174"/>
      <c r="G174"/>
      <c r="I174"/>
      <c r="J174"/>
    </row>
    <row r="175" spans="2:10" s="51" customFormat="1">
      <c r="B175"/>
      <c r="C175"/>
      <c r="D175"/>
      <c r="E175"/>
      <c r="F175"/>
      <c r="G175"/>
      <c r="I175"/>
      <c r="J175"/>
    </row>
    <row r="176" spans="2:10" s="51" customFormat="1">
      <c r="B176"/>
      <c r="C176"/>
      <c r="D176"/>
      <c r="E176"/>
      <c r="F176"/>
      <c r="G176"/>
      <c r="I176"/>
      <c r="J176"/>
    </row>
    <row r="177" spans="2:10" s="51" customFormat="1">
      <c r="B177"/>
      <c r="C177"/>
      <c r="D177"/>
      <c r="E177"/>
      <c r="F177"/>
      <c r="G177"/>
      <c r="I177"/>
      <c r="J177"/>
    </row>
    <row r="178" spans="2:10" s="51" customFormat="1">
      <c r="B178"/>
      <c r="C178"/>
      <c r="D178"/>
      <c r="E178"/>
      <c r="F178"/>
      <c r="G178"/>
      <c r="I178"/>
      <c r="J178"/>
    </row>
    <row r="179" spans="2:10" s="51" customFormat="1">
      <c r="B179"/>
      <c r="C179"/>
      <c r="D179"/>
      <c r="E179"/>
      <c r="F179"/>
      <c r="G179"/>
      <c r="I179"/>
      <c r="J179"/>
    </row>
    <row r="180" spans="2:10" s="51" customFormat="1">
      <c r="B180"/>
      <c r="C180"/>
      <c r="D180"/>
      <c r="E180"/>
      <c r="F180"/>
      <c r="G180"/>
      <c r="I180"/>
      <c r="J180"/>
    </row>
    <row r="181" spans="2:10" s="51" customFormat="1">
      <c r="B181"/>
      <c r="C181"/>
      <c r="D181"/>
      <c r="E181"/>
      <c r="F181"/>
      <c r="G181"/>
      <c r="I181"/>
      <c r="J181"/>
    </row>
    <row r="182" spans="2:10" s="51" customFormat="1">
      <c r="B182"/>
      <c r="C182"/>
      <c r="D182"/>
      <c r="E182"/>
      <c r="F182"/>
      <c r="G182"/>
      <c r="I182"/>
      <c r="J182"/>
    </row>
    <row r="183" spans="2:10" s="51" customFormat="1">
      <c r="B183"/>
      <c r="C183"/>
      <c r="D183"/>
      <c r="E183"/>
      <c r="F183"/>
      <c r="G183"/>
      <c r="I183"/>
      <c r="J183"/>
    </row>
    <row r="184" spans="2:10" s="51" customFormat="1">
      <c r="B184"/>
      <c r="C184"/>
      <c r="D184"/>
      <c r="E184"/>
      <c r="F184"/>
      <c r="G184"/>
      <c r="I184"/>
      <c r="J184"/>
    </row>
    <row r="185" spans="2:10" s="51" customFormat="1">
      <c r="B185"/>
      <c r="C185"/>
      <c r="D185"/>
      <c r="E185"/>
      <c r="F185"/>
      <c r="G185"/>
      <c r="I185"/>
      <c r="J185"/>
    </row>
    <row r="186" spans="2:10" s="51" customFormat="1">
      <c r="B186"/>
      <c r="C186"/>
      <c r="D186"/>
      <c r="E186"/>
      <c r="F186"/>
      <c r="G186"/>
      <c r="I186"/>
      <c r="J186"/>
    </row>
    <row r="187" spans="2:10" s="51" customFormat="1">
      <c r="B187"/>
      <c r="C187"/>
      <c r="D187"/>
      <c r="E187"/>
      <c r="F187"/>
      <c r="G187"/>
      <c r="I187"/>
      <c r="J187"/>
    </row>
    <row r="188" spans="2:10" s="51" customFormat="1">
      <c r="B188"/>
      <c r="C188"/>
      <c r="D188"/>
      <c r="E188"/>
      <c r="F188"/>
      <c r="G188"/>
      <c r="I188"/>
      <c r="J188"/>
    </row>
    <row r="189" spans="2:10" s="51" customFormat="1">
      <c r="B189"/>
      <c r="C189"/>
      <c r="D189"/>
      <c r="E189"/>
      <c r="F189"/>
      <c r="G189"/>
      <c r="I189"/>
      <c r="J189"/>
    </row>
    <row r="190" spans="2:10" s="51" customFormat="1">
      <c r="B190"/>
      <c r="C190"/>
      <c r="D190"/>
      <c r="E190"/>
      <c r="F190"/>
      <c r="G190"/>
      <c r="I190"/>
      <c r="J190"/>
    </row>
    <row r="191" spans="2:10" s="51" customFormat="1">
      <c r="B191"/>
      <c r="C191"/>
      <c r="D191"/>
      <c r="E191"/>
      <c r="F191"/>
      <c r="G191"/>
      <c r="I191"/>
      <c r="J191"/>
    </row>
    <row r="192" spans="2:10" s="51" customFormat="1">
      <c r="B192"/>
      <c r="C192"/>
      <c r="D192"/>
      <c r="E192"/>
      <c r="F192"/>
      <c r="G192"/>
      <c r="I192"/>
      <c r="J192"/>
    </row>
    <row r="193" spans="2:10" s="51" customFormat="1">
      <c r="B193"/>
      <c r="C193"/>
      <c r="D193"/>
      <c r="E193"/>
      <c r="F193"/>
      <c r="G193"/>
      <c r="I193"/>
      <c r="J193"/>
    </row>
    <row r="194" spans="2:10" s="51" customFormat="1">
      <c r="B194"/>
      <c r="C194"/>
      <c r="D194"/>
      <c r="E194"/>
      <c r="F194"/>
      <c r="G194"/>
      <c r="I194"/>
      <c r="J194"/>
    </row>
    <row r="195" spans="2:10" s="51" customFormat="1">
      <c r="B195"/>
      <c r="C195"/>
      <c r="D195"/>
      <c r="E195"/>
      <c r="F195"/>
      <c r="G195"/>
      <c r="I195"/>
      <c r="J195"/>
    </row>
    <row r="196" spans="2:10" s="51" customFormat="1">
      <c r="B196"/>
      <c r="C196"/>
      <c r="D196"/>
      <c r="E196"/>
      <c r="F196"/>
      <c r="G196"/>
      <c r="I196"/>
      <c r="J196"/>
    </row>
    <row r="197" spans="2:10" s="51" customFormat="1">
      <c r="B197"/>
      <c r="C197"/>
      <c r="D197"/>
      <c r="E197"/>
      <c r="F197"/>
      <c r="G197"/>
      <c r="I197"/>
      <c r="J197"/>
    </row>
    <row r="198" spans="2:10" s="51" customFormat="1">
      <c r="B198"/>
      <c r="C198"/>
      <c r="D198"/>
      <c r="E198"/>
      <c r="F198"/>
      <c r="G198"/>
      <c r="I198"/>
      <c r="J198"/>
    </row>
    <row r="199" spans="2:10" s="51" customFormat="1">
      <c r="B199"/>
      <c r="C199"/>
      <c r="D199"/>
      <c r="E199"/>
      <c r="F199"/>
      <c r="G199"/>
      <c r="I199"/>
      <c r="J199"/>
    </row>
    <row r="200" spans="2:10" s="51" customFormat="1">
      <c r="B200"/>
      <c r="C200"/>
      <c r="D200"/>
      <c r="E200"/>
      <c r="F200"/>
      <c r="G200"/>
      <c r="I200"/>
      <c r="J200"/>
    </row>
    <row r="201" spans="2:10" s="51" customFormat="1">
      <c r="B201"/>
      <c r="C201"/>
      <c r="D201"/>
      <c r="E201"/>
      <c r="F201"/>
      <c r="G201"/>
      <c r="I201"/>
      <c r="J201"/>
    </row>
    <row r="202" spans="2:10" s="51" customFormat="1">
      <c r="B202"/>
      <c r="C202"/>
      <c r="D202"/>
      <c r="E202"/>
      <c r="F202"/>
      <c r="G202"/>
      <c r="I202"/>
      <c r="J202"/>
    </row>
    <row r="203" spans="2:10" s="51" customFormat="1">
      <c r="B203"/>
      <c r="C203"/>
      <c r="D203"/>
      <c r="E203"/>
      <c r="F203"/>
      <c r="G203"/>
      <c r="I203"/>
      <c r="J203"/>
    </row>
    <row r="204" spans="2:10" s="51" customFormat="1">
      <c r="B204"/>
      <c r="C204"/>
      <c r="D204"/>
      <c r="E204"/>
      <c r="F204"/>
      <c r="G204"/>
      <c r="I204"/>
      <c r="J204"/>
    </row>
    <row r="205" spans="2:10" s="51" customFormat="1">
      <c r="B205"/>
      <c r="C205"/>
      <c r="D205"/>
      <c r="E205"/>
      <c r="F205"/>
      <c r="G205"/>
      <c r="I205"/>
      <c r="J205"/>
    </row>
    <row r="206" spans="2:10" s="51" customFormat="1">
      <c r="B206"/>
      <c r="C206"/>
      <c r="D206"/>
      <c r="E206"/>
      <c r="F206"/>
      <c r="G206"/>
      <c r="I206"/>
      <c r="J206"/>
    </row>
    <row r="207" spans="2:10" s="51" customFormat="1">
      <c r="B207"/>
      <c r="C207"/>
      <c r="D207"/>
      <c r="E207"/>
      <c r="F207"/>
      <c r="G207"/>
      <c r="I207"/>
      <c r="J207"/>
    </row>
    <row r="208" spans="2:10" s="51" customFormat="1">
      <c r="B208"/>
      <c r="C208"/>
      <c r="D208"/>
      <c r="E208"/>
      <c r="F208"/>
      <c r="G208"/>
      <c r="I208"/>
      <c r="J208"/>
    </row>
    <row r="209" spans="2:10" s="51" customFormat="1">
      <c r="B209"/>
      <c r="C209"/>
      <c r="D209"/>
      <c r="E209"/>
      <c r="F209"/>
      <c r="G209"/>
      <c r="I209"/>
      <c r="J209"/>
    </row>
    <row r="210" spans="2:10" s="51" customFormat="1">
      <c r="B210"/>
      <c r="C210"/>
      <c r="D210"/>
      <c r="E210"/>
      <c r="F210"/>
      <c r="G210"/>
      <c r="I210"/>
      <c r="J210"/>
    </row>
    <row r="211" spans="2:10" s="51" customFormat="1">
      <c r="B211"/>
      <c r="C211"/>
      <c r="D211"/>
      <c r="E211"/>
      <c r="F211"/>
      <c r="G211"/>
      <c r="I211"/>
      <c r="J211"/>
    </row>
    <row r="212" spans="2:10" s="51" customFormat="1">
      <c r="B212"/>
      <c r="C212"/>
      <c r="D212"/>
      <c r="E212"/>
      <c r="F212"/>
      <c r="G212"/>
      <c r="I212"/>
      <c r="J212"/>
    </row>
    <row r="213" spans="2:10" s="51" customFormat="1">
      <c r="B213"/>
      <c r="C213"/>
      <c r="D213"/>
      <c r="E213"/>
      <c r="F213"/>
      <c r="G213"/>
      <c r="I213"/>
      <c r="J213"/>
    </row>
    <row r="214" spans="2:10" s="51" customFormat="1">
      <c r="B214"/>
      <c r="C214"/>
      <c r="D214"/>
      <c r="E214"/>
      <c r="F214"/>
      <c r="G214"/>
      <c r="I214"/>
      <c r="J214"/>
    </row>
    <row r="215" spans="2:10" s="51" customFormat="1">
      <c r="B215"/>
      <c r="C215"/>
      <c r="D215"/>
      <c r="E215"/>
      <c r="F215"/>
      <c r="G215"/>
      <c r="I215"/>
      <c r="J215"/>
    </row>
    <row r="216" spans="2:10" s="51" customFormat="1">
      <c r="B216"/>
      <c r="C216"/>
      <c r="D216"/>
      <c r="E216"/>
      <c r="F216"/>
      <c r="G216"/>
      <c r="I216"/>
      <c r="J216"/>
    </row>
    <row r="217" spans="2:10" s="51" customFormat="1">
      <c r="B217"/>
      <c r="C217"/>
      <c r="D217"/>
      <c r="E217"/>
      <c r="F217"/>
      <c r="G217"/>
      <c r="I217"/>
      <c r="J217"/>
    </row>
    <row r="218" spans="2:10" s="51" customFormat="1">
      <c r="B218"/>
      <c r="C218"/>
      <c r="D218"/>
      <c r="E218"/>
      <c r="F218"/>
      <c r="G218"/>
      <c r="I218"/>
      <c r="J218"/>
    </row>
    <row r="219" spans="2:10" s="51" customFormat="1">
      <c r="B219"/>
      <c r="C219"/>
      <c r="D219"/>
      <c r="E219"/>
      <c r="F219"/>
      <c r="G219"/>
      <c r="I219"/>
      <c r="J219"/>
    </row>
    <row r="220" spans="2:10" s="51" customFormat="1">
      <c r="B220"/>
      <c r="C220"/>
      <c r="D220"/>
      <c r="E220"/>
      <c r="F220"/>
      <c r="G220"/>
      <c r="I220"/>
      <c r="J220"/>
    </row>
    <row r="221" spans="2:10" s="51" customFormat="1">
      <c r="B221"/>
      <c r="C221"/>
      <c r="D221"/>
      <c r="E221"/>
      <c r="F221"/>
      <c r="G221"/>
      <c r="I221"/>
      <c r="J221"/>
    </row>
    <row r="222" spans="2:10" s="51" customFormat="1">
      <c r="B222"/>
      <c r="C222"/>
      <c r="D222"/>
      <c r="E222"/>
      <c r="F222"/>
      <c r="G222"/>
      <c r="I222"/>
      <c r="J222"/>
    </row>
    <row r="223" spans="2:10" s="51" customFormat="1">
      <c r="B223"/>
      <c r="C223"/>
      <c r="D223"/>
      <c r="E223"/>
      <c r="F223"/>
      <c r="G223"/>
      <c r="I223"/>
      <c r="J223"/>
    </row>
    <row r="224" spans="2:10" s="51" customFormat="1">
      <c r="B224"/>
      <c r="C224"/>
      <c r="D224"/>
      <c r="E224"/>
      <c r="F224"/>
      <c r="G224"/>
      <c r="I224"/>
      <c r="J224"/>
    </row>
    <row r="225" spans="2:10" s="51" customFormat="1">
      <c r="B225"/>
      <c r="C225"/>
      <c r="D225"/>
      <c r="E225"/>
      <c r="F225"/>
      <c r="G225"/>
      <c r="I225"/>
      <c r="J225"/>
    </row>
    <row r="226" spans="2:10" s="51" customFormat="1">
      <c r="B226"/>
      <c r="C226"/>
      <c r="D226"/>
      <c r="E226"/>
      <c r="F226"/>
      <c r="G226"/>
      <c r="I226"/>
      <c r="J226"/>
    </row>
    <row r="227" spans="2:10" s="51" customFormat="1">
      <c r="B227"/>
      <c r="C227"/>
      <c r="D227"/>
      <c r="E227"/>
      <c r="F227"/>
      <c r="G227"/>
      <c r="I227"/>
      <c r="J227"/>
    </row>
    <row r="228" spans="2:10" s="51" customFormat="1">
      <c r="B228"/>
      <c r="C228"/>
      <c r="D228"/>
      <c r="E228"/>
      <c r="F228"/>
      <c r="G228"/>
      <c r="I228"/>
      <c r="J228"/>
    </row>
    <row r="229" spans="2:10" s="51" customFormat="1">
      <c r="B229"/>
      <c r="C229"/>
      <c r="D229"/>
      <c r="E229"/>
      <c r="F229"/>
      <c r="G229"/>
      <c r="I229"/>
      <c r="J229"/>
    </row>
    <row r="230" spans="2:10" s="51" customFormat="1">
      <c r="B230"/>
      <c r="C230"/>
      <c r="D230"/>
      <c r="E230"/>
      <c r="F230"/>
      <c r="G230"/>
      <c r="I230"/>
      <c r="J230"/>
    </row>
    <row r="231" spans="2:10" s="51" customFormat="1">
      <c r="B231"/>
      <c r="C231"/>
      <c r="D231"/>
      <c r="E231"/>
      <c r="F231"/>
      <c r="G231"/>
      <c r="I231"/>
      <c r="J231"/>
    </row>
    <row r="232" spans="2:10" s="51" customFormat="1">
      <c r="B232"/>
      <c r="C232"/>
      <c r="D232"/>
      <c r="E232"/>
      <c r="F232"/>
      <c r="G232"/>
      <c r="I232"/>
      <c r="J232"/>
    </row>
    <row r="233" spans="2:10" s="51" customFormat="1">
      <c r="B233"/>
      <c r="C233"/>
      <c r="D233"/>
      <c r="E233"/>
      <c r="F233"/>
      <c r="G233"/>
      <c r="I233"/>
      <c r="J233"/>
    </row>
    <row r="234" spans="2:10" s="51" customFormat="1">
      <c r="B234"/>
      <c r="C234"/>
      <c r="D234"/>
      <c r="E234"/>
      <c r="F234"/>
      <c r="G234"/>
      <c r="I234"/>
      <c r="J234"/>
    </row>
    <row r="235" spans="2:10" s="51" customFormat="1">
      <c r="B235"/>
      <c r="C235"/>
      <c r="D235"/>
      <c r="E235"/>
      <c r="F235"/>
      <c r="G235"/>
      <c r="I235"/>
      <c r="J235"/>
    </row>
    <row r="236" spans="2:10" s="51" customFormat="1">
      <c r="B236"/>
      <c r="C236"/>
      <c r="D236"/>
      <c r="E236"/>
      <c r="F236"/>
      <c r="G236"/>
      <c r="I236"/>
      <c r="J236"/>
    </row>
    <row r="237" spans="2:10" s="51" customFormat="1">
      <c r="B237"/>
      <c r="C237"/>
      <c r="D237"/>
      <c r="E237"/>
      <c r="F237"/>
      <c r="G237"/>
      <c r="I237"/>
      <c r="J237"/>
    </row>
    <row r="238" spans="2:10" s="51" customFormat="1">
      <c r="B238"/>
      <c r="C238"/>
      <c r="D238"/>
      <c r="E238"/>
      <c r="F238"/>
      <c r="G238"/>
      <c r="I238"/>
      <c r="J238"/>
    </row>
    <row r="239" spans="2:10" s="51" customFormat="1">
      <c r="B239"/>
      <c r="C239"/>
      <c r="D239"/>
      <c r="E239"/>
      <c r="F239"/>
      <c r="G239"/>
      <c r="I239"/>
      <c r="J239"/>
    </row>
    <row r="240" spans="2:10" s="51" customFormat="1">
      <c r="B240"/>
      <c r="C240"/>
      <c r="D240"/>
      <c r="E240"/>
      <c r="F240"/>
      <c r="G240"/>
      <c r="I240"/>
      <c r="J240"/>
    </row>
    <row r="241" spans="2:10" s="51" customFormat="1">
      <c r="B241"/>
      <c r="C241"/>
      <c r="D241"/>
      <c r="E241"/>
      <c r="F241"/>
      <c r="G241"/>
      <c r="I241"/>
      <c r="J241"/>
    </row>
    <row r="242" spans="2:10" s="51" customFormat="1">
      <c r="B242"/>
      <c r="C242"/>
      <c r="D242"/>
      <c r="E242"/>
      <c r="F242"/>
      <c r="G242"/>
      <c r="I242"/>
      <c r="J242"/>
    </row>
    <row r="243" spans="2:10" s="51" customFormat="1">
      <c r="B243"/>
      <c r="C243"/>
      <c r="D243"/>
      <c r="E243"/>
      <c r="F243"/>
      <c r="G243"/>
      <c r="I243"/>
      <c r="J243"/>
    </row>
    <row r="244" spans="2:10" s="51" customFormat="1">
      <c r="B244"/>
      <c r="C244"/>
      <c r="D244"/>
      <c r="E244"/>
      <c r="F244"/>
      <c r="G244"/>
      <c r="I244"/>
      <c r="J244"/>
    </row>
    <row r="245" spans="2:10" s="51" customFormat="1">
      <c r="B245"/>
      <c r="C245"/>
      <c r="D245"/>
      <c r="E245"/>
      <c r="F245"/>
      <c r="G245"/>
      <c r="I245"/>
      <c r="J245"/>
    </row>
    <row r="246" spans="2:10" s="51" customFormat="1">
      <c r="B246"/>
      <c r="C246"/>
      <c r="D246"/>
      <c r="E246"/>
      <c r="F246"/>
      <c r="G246"/>
      <c r="I246"/>
      <c r="J246"/>
    </row>
    <row r="247" spans="2:10" s="51" customFormat="1">
      <c r="B247"/>
      <c r="C247"/>
      <c r="D247"/>
      <c r="E247"/>
      <c r="F247"/>
      <c r="G247"/>
      <c r="I247"/>
      <c r="J247"/>
    </row>
    <row r="248" spans="2:10" s="51" customFormat="1">
      <c r="B248"/>
      <c r="C248"/>
      <c r="D248"/>
      <c r="E248"/>
      <c r="F248"/>
      <c r="G248"/>
      <c r="I248"/>
      <c r="J248"/>
    </row>
    <row r="249" spans="2:10" s="51" customFormat="1">
      <c r="B249"/>
      <c r="C249"/>
      <c r="D249"/>
      <c r="E249"/>
      <c r="F249"/>
      <c r="G249"/>
      <c r="I249"/>
      <c r="J249"/>
    </row>
    <row r="250" spans="2:10" s="51" customFormat="1">
      <c r="B250"/>
      <c r="C250"/>
      <c r="D250"/>
      <c r="E250"/>
      <c r="F250"/>
      <c r="G250"/>
      <c r="I250"/>
      <c r="J250"/>
    </row>
    <row r="251" spans="2:10" s="51" customFormat="1">
      <c r="B251"/>
      <c r="C251"/>
      <c r="D251"/>
      <c r="E251"/>
      <c r="F251"/>
      <c r="G251"/>
      <c r="I251"/>
      <c r="J251"/>
    </row>
    <row r="252" spans="2:10" s="51" customFormat="1">
      <c r="B252"/>
      <c r="C252"/>
      <c r="D252"/>
      <c r="E252"/>
      <c r="F252"/>
      <c r="G252"/>
      <c r="I252"/>
      <c r="J252"/>
    </row>
    <row r="253" spans="2:10" s="51" customFormat="1">
      <c r="B253"/>
      <c r="C253"/>
      <c r="D253"/>
      <c r="E253"/>
      <c r="F253"/>
      <c r="G253"/>
      <c r="I253"/>
      <c r="J253"/>
    </row>
    <row r="254" spans="2:10" s="51" customFormat="1">
      <c r="B254"/>
      <c r="C254"/>
      <c r="D254"/>
      <c r="E254"/>
      <c r="F254"/>
      <c r="G254"/>
      <c r="I254"/>
      <c r="J254"/>
    </row>
    <row r="255" spans="2:10" s="51" customFormat="1">
      <c r="B255"/>
      <c r="C255"/>
      <c r="D255"/>
      <c r="E255"/>
      <c r="F255"/>
      <c r="G255"/>
      <c r="I255"/>
      <c r="J255"/>
    </row>
    <row r="256" spans="2:10" s="51" customFormat="1">
      <c r="B256"/>
      <c r="C256"/>
      <c r="D256"/>
      <c r="E256"/>
      <c r="F256"/>
      <c r="G256"/>
      <c r="I256"/>
      <c r="J256"/>
    </row>
    <row r="257" spans="2:10" s="51" customFormat="1">
      <c r="B257"/>
      <c r="C257"/>
      <c r="D257"/>
      <c r="E257"/>
      <c r="F257"/>
      <c r="G257"/>
      <c r="I257"/>
      <c r="J257"/>
    </row>
    <row r="258" spans="2:10" s="51" customFormat="1">
      <c r="B258"/>
      <c r="C258"/>
      <c r="D258"/>
      <c r="E258"/>
      <c r="F258"/>
      <c r="G258"/>
      <c r="I258"/>
      <c r="J258"/>
    </row>
    <row r="259" spans="2:10" s="51" customFormat="1">
      <c r="B259"/>
      <c r="C259"/>
      <c r="D259"/>
      <c r="E259"/>
      <c r="F259"/>
      <c r="G259"/>
      <c r="I259"/>
      <c r="J259"/>
    </row>
    <row r="260" spans="2:10" s="51" customFormat="1">
      <c r="B260"/>
      <c r="C260"/>
      <c r="D260"/>
      <c r="E260"/>
      <c r="F260"/>
      <c r="G260"/>
      <c r="I260"/>
      <c r="J260"/>
    </row>
    <row r="261" spans="2:10" s="51" customFormat="1">
      <c r="B261"/>
      <c r="C261"/>
      <c r="D261"/>
      <c r="E261"/>
      <c r="F261"/>
      <c r="G261"/>
      <c r="I261"/>
      <c r="J261"/>
    </row>
    <row r="262" spans="2:10" s="51" customFormat="1">
      <c r="B262"/>
      <c r="C262"/>
      <c r="D262"/>
      <c r="E262"/>
      <c r="F262"/>
      <c r="G262"/>
      <c r="I262"/>
      <c r="J262"/>
    </row>
    <row r="263" spans="2:10" s="51" customFormat="1">
      <c r="B263"/>
      <c r="C263"/>
      <c r="D263"/>
      <c r="E263"/>
      <c r="F263"/>
      <c r="G263"/>
      <c r="I263"/>
      <c r="J263"/>
    </row>
    <row r="264" spans="2:10" s="51" customFormat="1">
      <c r="B264"/>
      <c r="C264"/>
      <c r="D264"/>
      <c r="E264"/>
      <c r="F264"/>
      <c r="G264"/>
      <c r="I264"/>
      <c r="J264"/>
    </row>
    <row r="265" spans="2:10" s="51" customFormat="1">
      <c r="B265"/>
      <c r="C265"/>
      <c r="D265"/>
      <c r="E265"/>
      <c r="F265"/>
      <c r="G265"/>
      <c r="I265"/>
      <c r="J265"/>
    </row>
    <row r="266" spans="2:10" s="51" customFormat="1">
      <c r="B266"/>
      <c r="C266"/>
      <c r="D266"/>
      <c r="E266"/>
      <c r="F266"/>
      <c r="G266"/>
      <c r="I266"/>
      <c r="J266"/>
    </row>
    <row r="267" spans="2:10" s="51" customFormat="1">
      <c r="B267"/>
      <c r="C267"/>
      <c r="D267"/>
      <c r="E267"/>
      <c r="F267"/>
      <c r="G267"/>
      <c r="I267"/>
      <c r="J267"/>
    </row>
    <row r="268" spans="2:10" s="51" customFormat="1">
      <c r="B268"/>
      <c r="C268"/>
      <c r="D268"/>
      <c r="E268"/>
      <c r="F268"/>
      <c r="G268"/>
      <c r="I268"/>
      <c r="J268"/>
    </row>
    <row r="269" spans="2:10" s="51" customFormat="1">
      <c r="B269"/>
      <c r="C269"/>
      <c r="D269"/>
      <c r="E269"/>
      <c r="F269"/>
      <c r="G269"/>
      <c r="I269"/>
      <c r="J269"/>
    </row>
    <row r="270" spans="2:10" s="51" customFormat="1">
      <c r="B270"/>
      <c r="C270"/>
      <c r="D270"/>
      <c r="E270"/>
      <c r="F270"/>
      <c r="G270"/>
      <c r="I270"/>
      <c r="J270"/>
    </row>
    <row r="271" spans="2:10" s="51" customFormat="1">
      <c r="B271"/>
      <c r="C271"/>
      <c r="D271"/>
      <c r="E271"/>
      <c r="F271"/>
      <c r="G271"/>
      <c r="I271"/>
      <c r="J271"/>
    </row>
    <row r="272" spans="2:10" s="51" customFormat="1">
      <c r="B272"/>
      <c r="C272"/>
      <c r="D272"/>
      <c r="E272"/>
      <c r="F272"/>
      <c r="G272"/>
      <c r="I272"/>
      <c r="J272"/>
    </row>
    <row r="273" spans="2:10" s="51" customFormat="1">
      <c r="B273"/>
      <c r="C273"/>
      <c r="D273"/>
      <c r="E273"/>
      <c r="F273"/>
      <c r="G273"/>
      <c r="I273"/>
      <c r="J273"/>
    </row>
    <row r="274" spans="2:10" s="51" customFormat="1">
      <c r="B274"/>
      <c r="C274"/>
      <c r="D274"/>
      <c r="E274"/>
      <c r="F274"/>
      <c r="G274"/>
      <c r="I274"/>
      <c r="J274"/>
    </row>
    <row r="275" spans="2:10" s="51" customFormat="1">
      <c r="B275"/>
      <c r="C275"/>
      <c r="D275"/>
      <c r="E275"/>
      <c r="F275"/>
      <c r="G275"/>
      <c r="I275"/>
      <c r="J275"/>
    </row>
    <row r="276" spans="2:10" s="51" customFormat="1">
      <c r="B276"/>
      <c r="C276"/>
      <c r="D276"/>
      <c r="E276"/>
      <c r="F276"/>
      <c r="G276"/>
      <c r="I276"/>
      <c r="J276"/>
    </row>
    <row r="277" spans="2:10" s="51" customFormat="1">
      <c r="B277"/>
      <c r="C277"/>
      <c r="D277"/>
      <c r="E277"/>
      <c r="F277"/>
      <c r="G277"/>
      <c r="I277"/>
      <c r="J277"/>
    </row>
    <row r="278" spans="2:10" s="51" customFormat="1">
      <c r="B278"/>
      <c r="C278"/>
      <c r="D278"/>
      <c r="E278"/>
      <c r="F278"/>
      <c r="G278"/>
      <c r="I278"/>
      <c r="J278"/>
    </row>
    <row r="279" spans="2:10" s="51" customFormat="1">
      <c r="B279"/>
      <c r="C279"/>
      <c r="D279"/>
      <c r="E279"/>
      <c r="F279"/>
      <c r="G279"/>
      <c r="I279"/>
      <c r="J279"/>
    </row>
    <row r="280" spans="2:10" s="51" customFormat="1">
      <c r="B280"/>
      <c r="C280"/>
      <c r="D280"/>
      <c r="E280"/>
      <c r="F280"/>
      <c r="G280"/>
      <c r="I280"/>
      <c r="J280"/>
    </row>
    <row r="281" spans="2:10" s="51" customFormat="1">
      <c r="B281"/>
      <c r="C281"/>
      <c r="D281"/>
      <c r="E281"/>
      <c r="F281"/>
      <c r="G281"/>
      <c r="I281"/>
      <c r="J281"/>
    </row>
    <row r="282" spans="2:10" s="51" customFormat="1">
      <c r="B282"/>
      <c r="C282"/>
      <c r="D282"/>
      <c r="E282"/>
      <c r="F282"/>
      <c r="G282"/>
      <c r="I282"/>
      <c r="J282"/>
    </row>
    <row r="283" spans="2:10" s="51" customFormat="1">
      <c r="B283"/>
      <c r="C283"/>
      <c r="D283"/>
      <c r="E283"/>
      <c r="F283"/>
      <c r="G283"/>
      <c r="I283"/>
      <c r="J283"/>
    </row>
    <row r="284" spans="2:10" s="51" customFormat="1">
      <c r="B284"/>
      <c r="C284"/>
      <c r="D284"/>
      <c r="E284"/>
      <c r="F284"/>
      <c r="G284"/>
      <c r="I284"/>
      <c r="J284"/>
    </row>
    <row r="285" spans="2:10" s="51" customFormat="1">
      <c r="B285"/>
      <c r="C285"/>
      <c r="D285"/>
      <c r="E285"/>
      <c r="F285"/>
      <c r="G285"/>
      <c r="I285"/>
      <c r="J285"/>
    </row>
    <row r="286" spans="2:10" s="51" customFormat="1">
      <c r="B286"/>
      <c r="C286"/>
      <c r="D286"/>
      <c r="E286"/>
      <c r="F286"/>
      <c r="G286"/>
      <c r="I286"/>
      <c r="J286"/>
    </row>
    <row r="287" spans="2:10" s="51" customFormat="1">
      <c r="B287"/>
      <c r="C287"/>
      <c r="D287"/>
      <c r="E287"/>
      <c r="F287"/>
      <c r="G287"/>
      <c r="I287"/>
      <c r="J287"/>
    </row>
    <row r="288" spans="2:10" s="51" customFormat="1">
      <c r="B288"/>
      <c r="C288"/>
      <c r="D288"/>
      <c r="E288"/>
      <c r="F288"/>
      <c r="G288"/>
      <c r="I288"/>
      <c r="J288"/>
    </row>
    <row r="289" spans="2:10" s="51" customFormat="1">
      <c r="B289"/>
      <c r="C289"/>
      <c r="D289"/>
      <c r="E289"/>
      <c r="F289"/>
      <c r="G289"/>
      <c r="I289"/>
      <c r="J289"/>
    </row>
    <row r="290" spans="2:10" s="51" customFormat="1">
      <c r="B290"/>
      <c r="C290"/>
      <c r="D290"/>
      <c r="E290"/>
      <c r="F290"/>
      <c r="G290"/>
      <c r="I290"/>
      <c r="J290"/>
    </row>
    <row r="291" spans="2:10" s="51" customFormat="1">
      <c r="B291"/>
      <c r="C291"/>
      <c r="D291"/>
      <c r="E291"/>
      <c r="F291"/>
      <c r="G291"/>
      <c r="I291"/>
      <c r="J291"/>
    </row>
    <row r="292" spans="2:10" s="51" customFormat="1">
      <c r="B292"/>
      <c r="C292"/>
      <c r="D292"/>
      <c r="E292"/>
      <c r="F292"/>
      <c r="G292"/>
      <c r="I292"/>
      <c r="J292"/>
    </row>
    <row r="293" spans="2:10" s="51" customFormat="1">
      <c r="B293"/>
      <c r="C293"/>
      <c r="D293"/>
      <c r="E293"/>
      <c r="F293"/>
      <c r="G293"/>
      <c r="I293"/>
      <c r="J293"/>
    </row>
    <row r="294" spans="2:10" s="51" customFormat="1">
      <c r="B294"/>
      <c r="C294"/>
      <c r="D294"/>
      <c r="E294"/>
      <c r="F294"/>
      <c r="G294"/>
      <c r="I294"/>
      <c r="J294"/>
    </row>
    <row r="295" spans="2:10" s="51" customFormat="1">
      <c r="B295"/>
      <c r="C295"/>
      <c r="D295"/>
      <c r="E295"/>
      <c r="F295"/>
      <c r="G295"/>
      <c r="I295"/>
      <c r="J295"/>
    </row>
    <row r="296" spans="2:10" s="51" customFormat="1">
      <c r="B296"/>
      <c r="C296"/>
      <c r="D296"/>
      <c r="E296"/>
      <c r="F296"/>
      <c r="G296"/>
      <c r="I296"/>
      <c r="J296"/>
    </row>
    <row r="297" spans="2:10" s="51" customFormat="1">
      <c r="B297"/>
      <c r="C297"/>
      <c r="D297"/>
      <c r="E297"/>
      <c r="F297"/>
      <c r="G297"/>
      <c r="I297"/>
      <c r="J297"/>
    </row>
    <row r="298" spans="2:10" s="51" customFormat="1">
      <c r="B298"/>
      <c r="C298"/>
      <c r="D298"/>
      <c r="E298"/>
      <c r="F298"/>
      <c r="G298"/>
      <c r="I298"/>
      <c r="J298"/>
    </row>
    <row r="299" spans="2:10" s="51" customFormat="1">
      <c r="B299"/>
      <c r="C299"/>
      <c r="D299"/>
      <c r="E299"/>
      <c r="F299"/>
      <c r="G299"/>
      <c r="I299"/>
      <c r="J299"/>
    </row>
    <row r="300" spans="2:10" s="51" customFormat="1">
      <c r="B300"/>
      <c r="C300"/>
      <c r="D300"/>
      <c r="E300"/>
      <c r="F300"/>
      <c r="G300"/>
      <c r="I300"/>
      <c r="J300"/>
    </row>
    <row r="301" spans="2:10" s="51" customFormat="1">
      <c r="B301"/>
      <c r="C301"/>
      <c r="D301"/>
      <c r="E301"/>
      <c r="F301"/>
      <c r="G301"/>
      <c r="I301"/>
      <c r="J301"/>
    </row>
    <row r="302" spans="2:10" s="51" customFormat="1">
      <c r="B302"/>
      <c r="C302"/>
      <c r="D302"/>
      <c r="E302"/>
      <c r="F302"/>
      <c r="G302"/>
      <c r="I302"/>
      <c r="J302"/>
    </row>
    <row r="303" spans="2:10" s="51" customFormat="1">
      <c r="B303"/>
      <c r="C303"/>
      <c r="D303"/>
      <c r="E303"/>
      <c r="F303"/>
      <c r="G303"/>
      <c r="I303"/>
      <c r="J303"/>
    </row>
    <row r="304" spans="2:10" s="51" customFormat="1">
      <c r="B304"/>
      <c r="C304"/>
      <c r="D304"/>
      <c r="E304"/>
      <c r="F304"/>
      <c r="G304"/>
      <c r="I304"/>
      <c r="J304"/>
    </row>
    <row r="305" spans="2:10" s="51" customFormat="1">
      <c r="B305"/>
      <c r="C305"/>
      <c r="D305"/>
      <c r="E305"/>
      <c r="F305"/>
      <c r="G305"/>
      <c r="I305"/>
      <c r="J305"/>
    </row>
    <row r="306" spans="2:10" s="51" customFormat="1">
      <c r="B306"/>
      <c r="C306"/>
      <c r="D306"/>
      <c r="E306"/>
      <c r="F306"/>
      <c r="G306"/>
      <c r="I306"/>
      <c r="J306"/>
    </row>
    <row r="307" spans="2:10" s="51" customFormat="1">
      <c r="B307"/>
      <c r="C307"/>
      <c r="D307"/>
      <c r="E307"/>
      <c r="F307"/>
      <c r="G307"/>
      <c r="I307"/>
      <c r="J307"/>
    </row>
    <row r="308" spans="2:10" s="51" customFormat="1">
      <c r="B308"/>
      <c r="C308"/>
      <c r="D308"/>
      <c r="E308"/>
      <c r="F308"/>
      <c r="G308"/>
      <c r="I308"/>
      <c r="J308"/>
    </row>
    <row r="309" spans="2:10" s="51" customFormat="1">
      <c r="B309"/>
      <c r="C309"/>
      <c r="D309"/>
      <c r="E309"/>
      <c r="F309"/>
      <c r="G309"/>
      <c r="I309"/>
      <c r="J309"/>
    </row>
    <row r="310" spans="2:10" s="51" customFormat="1">
      <c r="B310"/>
      <c r="C310"/>
      <c r="D310"/>
      <c r="E310"/>
      <c r="F310"/>
      <c r="G310"/>
      <c r="I310"/>
      <c r="J310"/>
    </row>
    <row r="311" spans="2:10" s="51" customFormat="1">
      <c r="B311"/>
      <c r="C311"/>
      <c r="D311"/>
      <c r="E311"/>
      <c r="F311"/>
      <c r="G311"/>
      <c r="I311"/>
      <c r="J311"/>
    </row>
    <row r="312" spans="2:10" s="51" customFormat="1">
      <c r="B312"/>
      <c r="C312"/>
      <c r="D312"/>
      <c r="E312"/>
      <c r="F312"/>
      <c r="G312"/>
      <c r="I312"/>
      <c r="J312"/>
    </row>
    <row r="313" spans="2:10" s="51" customFormat="1">
      <c r="B313"/>
      <c r="C313"/>
      <c r="D313"/>
      <c r="E313"/>
      <c r="F313"/>
      <c r="G313"/>
      <c r="I313"/>
      <c r="J313"/>
    </row>
    <row r="314" spans="2:10" s="51" customFormat="1">
      <c r="B314"/>
      <c r="C314"/>
      <c r="D314"/>
      <c r="E314"/>
      <c r="F314"/>
      <c r="G314"/>
      <c r="I314"/>
      <c r="J314"/>
    </row>
    <row r="315" spans="2:10" s="51" customFormat="1">
      <c r="B315"/>
      <c r="C315"/>
      <c r="D315"/>
      <c r="E315"/>
      <c r="F315"/>
      <c r="G315"/>
      <c r="I315"/>
      <c r="J315"/>
    </row>
    <row r="316" spans="2:10" s="51" customFormat="1">
      <c r="B316"/>
      <c r="C316"/>
      <c r="D316"/>
      <c r="E316"/>
      <c r="F316"/>
      <c r="G316"/>
      <c r="I316"/>
      <c r="J316"/>
    </row>
    <row r="317" spans="2:10" s="51" customFormat="1">
      <c r="B317"/>
      <c r="C317"/>
      <c r="D317"/>
      <c r="E317"/>
      <c r="F317"/>
      <c r="G317"/>
      <c r="I317"/>
      <c r="J317"/>
    </row>
    <row r="318" spans="2:10" s="51" customFormat="1">
      <c r="B318"/>
      <c r="C318"/>
      <c r="D318"/>
      <c r="E318"/>
      <c r="F318"/>
      <c r="G318"/>
      <c r="I318"/>
      <c r="J318"/>
    </row>
    <row r="319" spans="2:10" s="51" customFormat="1">
      <c r="B319"/>
      <c r="C319"/>
      <c r="D319"/>
      <c r="E319"/>
      <c r="F319"/>
      <c r="G319"/>
      <c r="I319"/>
      <c r="J319"/>
    </row>
    <row r="320" spans="2:10" s="51" customFormat="1">
      <c r="B320"/>
      <c r="C320"/>
      <c r="D320"/>
      <c r="E320"/>
      <c r="F320"/>
      <c r="G320"/>
      <c r="I320"/>
      <c r="J320"/>
    </row>
    <row r="321" spans="2:10" s="51" customFormat="1">
      <c r="B321"/>
      <c r="C321"/>
      <c r="D321"/>
      <c r="E321"/>
      <c r="F321"/>
      <c r="G321"/>
      <c r="I321"/>
      <c r="J321"/>
    </row>
    <row r="322" spans="2:10" s="51" customFormat="1">
      <c r="B322"/>
      <c r="C322"/>
      <c r="D322"/>
      <c r="E322"/>
      <c r="F322"/>
      <c r="G322"/>
      <c r="I322"/>
      <c r="J322"/>
    </row>
    <row r="323" spans="2:10" s="51" customFormat="1">
      <c r="B323"/>
      <c r="C323"/>
      <c r="D323"/>
      <c r="E323"/>
      <c r="F323"/>
      <c r="G323"/>
      <c r="I323"/>
      <c r="J323"/>
    </row>
    <row r="324" spans="2:10" s="51" customFormat="1">
      <c r="B324"/>
      <c r="C324"/>
      <c r="D324"/>
      <c r="E324"/>
      <c r="F324"/>
      <c r="G324"/>
      <c r="I324"/>
      <c r="J324"/>
    </row>
    <row r="325" spans="2:10" s="51" customFormat="1">
      <c r="B325"/>
      <c r="C325"/>
      <c r="D325"/>
      <c r="E325"/>
      <c r="F325"/>
      <c r="G325"/>
      <c r="I325"/>
      <c r="J325"/>
    </row>
    <row r="326" spans="2:10" s="51" customFormat="1">
      <c r="B326"/>
      <c r="C326"/>
      <c r="D326"/>
      <c r="E326"/>
      <c r="F326"/>
      <c r="G326"/>
      <c r="I326"/>
      <c r="J326"/>
    </row>
    <row r="327" spans="2:10" s="51" customFormat="1">
      <c r="B327"/>
      <c r="C327"/>
      <c r="D327"/>
      <c r="E327"/>
      <c r="F327"/>
      <c r="G327"/>
      <c r="I327"/>
      <c r="J327"/>
    </row>
    <row r="328" spans="2:10" s="51" customFormat="1">
      <c r="B328"/>
      <c r="C328"/>
      <c r="D328"/>
      <c r="E328"/>
      <c r="F328"/>
      <c r="G328"/>
      <c r="I328"/>
      <c r="J328"/>
    </row>
    <row r="329" spans="2:10" s="51" customFormat="1">
      <c r="B329"/>
      <c r="C329"/>
      <c r="D329"/>
      <c r="E329"/>
      <c r="F329"/>
      <c r="G329"/>
      <c r="I329"/>
      <c r="J329"/>
    </row>
    <row r="330" spans="2:10" s="51" customFormat="1">
      <c r="B330"/>
      <c r="C330"/>
      <c r="D330"/>
      <c r="E330"/>
      <c r="F330"/>
      <c r="G330"/>
      <c r="I330"/>
      <c r="J330"/>
    </row>
    <row r="331" spans="2:10" s="51" customFormat="1">
      <c r="B331"/>
      <c r="C331"/>
      <c r="D331"/>
      <c r="E331"/>
      <c r="F331"/>
      <c r="G331"/>
      <c r="I331"/>
      <c r="J331"/>
    </row>
    <row r="332" spans="2:10" s="51" customFormat="1">
      <c r="B332"/>
      <c r="C332"/>
      <c r="D332"/>
      <c r="E332"/>
      <c r="F332"/>
      <c r="G332"/>
      <c r="I332"/>
      <c r="J332"/>
    </row>
    <row r="333" spans="2:10" s="51" customFormat="1">
      <c r="B333"/>
      <c r="C333"/>
      <c r="D333"/>
      <c r="E333"/>
      <c r="F333"/>
      <c r="G333"/>
      <c r="I333"/>
      <c r="J333"/>
    </row>
    <row r="334" spans="2:10" s="51" customFormat="1">
      <c r="B334"/>
      <c r="C334"/>
      <c r="D334"/>
      <c r="E334"/>
      <c r="F334"/>
      <c r="G334"/>
      <c r="I334"/>
      <c r="J334"/>
    </row>
    <row r="335" spans="2:10" s="51" customFormat="1">
      <c r="B335"/>
      <c r="C335"/>
      <c r="D335"/>
      <c r="E335"/>
      <c r="F335"/>
      <c r="G335"/>
      <c r="I335"/>
      <c r="J335"/>
    </row>
    <row r="336" spans="2:10" s="51" customFormat="1">
      <c r="B336"/>
      <c r="C336"/>
      <c r="D336"/>
      <c r="E336"/>
      <c r="F336"/>
      <c r="G336"/>
      <c r="I336"/>
      <c r="J336"/>
    </row>
    <row r="337" spans="2:10" s="51" customFormat="1">
      <c r="B337"/>
      <c r="C337"/>
      <c r="D337"/>
      <c r="E337"/>
      <c r="F337"/>
      <c r="G337"/>
      <c r="I337"/>
      <c r="J337"/>
    </row>
    <row r="338" spans="2:10" s="51" customFormat="1">
      <c r="B338"/>
      <c r="C338"/>
      <c r="D338"/>
      <c r="E338"/>
      <c r="F338"/>
      <c r="G338"/>
      <c r="I338"/>
      <c r="J338"/>
    </row>
    <row r="339" spans="2:10" s="51" customFormat="1">
      <c r="B339"/>
      <c r="C339"/>
      <c r="D339"/>
      <c r="E339"/>
      <c r="F339"/>
      <c r="G339"/>
      <c r="I339"/>
      <c r="J339"/>
    </row>
    <row r="340" spans="2:10" s="51" customFormat="1">
      <c r="B340"/>
      <c r="C340"/>
      <c r="D340"/>
      <c r="E340"/>
      <c r="F340"/>
      <c r="G340"/>
      <c r="I340"/>
      <c r="J340"/>
    </row>
    <row r="341" spans="2:10" s="51" customFormat="1">
      <c r="B341"/>
      <c r="C341"/>
      <c r="D341"/>
      <c r="E341"/>
      <c r="F341"/>
      <c r="G341"/>
      <c r="I341"/>
      <c r="J341"/>
    </row>
    <row r="342" spans="2:10" s="51" customFormat="1">
      <c r="B342"/>
      <c r="C342"/>
      <c r="D342"/>
      <c r="E342"/>
      <c r="F342"/>
      <c r="G342"/>
      <c r="I342"/>
      <c r="J342"/>
    </row>
    <row r="343" spans="2:10" s="51" customFormat="1">
      <c r="B343"/>
      <c r="C343"/>
      <c r="D343"/>
      <c r="E343"/>
      <c r="F343"/>
      <c r="G343"/>
      <c r="I343"/>
      <c r="J343"/>
    </row>
    <row r="344" spans="2:10" s="51" customFormat="1">
      <c r="B344"/>
      <c r="C344"/>
      <c r="D344"/>
      <c r="E344"/>
      <c r="F344"/>
      <c r="G344"/>
      <c r="I344"/>
      <c r="J344"/>
    </row>
    <row r="345" spans="2:10" s="51" customFormat="1">
      <c r="B345"/>
      <c r="C345"/>
      <c r="D345"/>
      <c r="E345"/>
      <c r="F345"/>
      <c r="G345"/>
      <c r="I345"/>
      <c r="J345"/>
    </row>
    <row r="346" spans="2:10" s="51" customFormat="1">
      <c r="B346"/>
      <c r="C346"/>
      <c r="D346"/>
      <c r="E346"/>
      <c r="F346"/>
      <c r="G346"/>
      <c r="I346"/>
      <c r="J346"/>
    </row>
    <row r="347" spans="2:10" s="51" customFormat="1">
      <c r="B347"/>
      <c r="C347"/>
      <c r="D347"/>
      <c r="E347"/>
      <c r="F347"/>
      <c r="G347"/>
      <c r="I347"/>
      <c r="J347"/>
    </row>
    <row r="348" spans="2:10" s="51" customFormat="1">
      <c r="B348"/>
      <c r="C348"/>
      <c r="D348"/>
      <c r="E348"/>
      <c r="F348"/>
      <c r="G348"/>
      <c r="I348"/>
      <c r="J348"/>
    </row>
    <row r="349" spans="2:10" s="51" customFormat="1">
      <c r="B349"/>
      <c r="C349"/>
      <c r="D349"/>
      <c r="E349"/>
      <c r="F349"/>
      <c r="G349"/>
      <c r="I349"/>
      <c r="J349"/>
    </row>
    <row r="350" spans="2:10" s="51" customFormat="1">
      <c r="B350"/>
      <c r="C350"/>
      <c r="D350"/>
      <c r="E350"/>
      <c r="F350"/>
      <c r="G350"/>
      <c r="I350"/>
      <c r="J350"/>
    </row>
    <row r="351" spans="2:10" s="51" customFormat="1">
      <c r="B351"/>
      <c r="C351"/>
      <c r="D351"/>
      <c r="E351"/>
      <c r="F351"/>
      <c r="G351"/>
      <c r="I351"/>
      <c r="J351"/>
    </row>
    <row r="352" spans="2:10" s="51" customFormat="1">
      <c r="B352"/>
      <c r="C352"/>
      <c r="D352"/>
      <c r="E352"/>
      <c r="F352"/>
      <c r="G352"/>
      <c r="I352"/>
      <c r="J352"/>
    </row>
    <row r="353" spans="2:10" s="51" customFormat="1">
      <c r="B353"/>
      <c r="C353"/>
      <c r="D353"/>
      <c r="E353"/>
      <c r="F353"/>
      <c r="G353"/>
      <c r="I353"/>
      <c r="J353"/>
    </row>
    <row r="354" spans="2:10" s="51" customFormat="1">
      <c r="B354"/>
      <c r="C354"/>
      <c r="D354"/>
      <c r="E354"/>
      <c r="F354"/>
      <c r="G354"/>
      <c r="I354"/>
      <c r="J354"/>
    </row>
    <row r="355" spans="2:10" s="51" customFormat="1">
      <c r="B355"/>
      <c r="C355"/>
      <c r="D355"/>
      <c r="E355"/>
      <c r="F355"/>
      <c r="G355"/>
      <c r="I355"/>
      <c r="J355"/>
    </row>
    <row r="356" spans="2:10" s="51" customFormat="1">
      <c r="B356"/>
      <c r="C356"/>
      <c r="D356"/>
      <c r="E356"/>
      <c r="F356"/>
      <c r="G356"/>
      <c r="I356"/>
      <c r="J356"/>
    </row>
    <row r="357" spans="2:10" s="51" customFormat="1">
      <c r="B357"/>
      <c r="C357"/>
      <c r="D357"/>
      <c r="E357"/>
      <c r="F357"/>
      <c r="G357"/>
      <c r="I357"/>
      <c r="J357"/>
    </row>
    <row r="358" spans="2:10" s="51" customFormat="1">
      <c r="B358"/>
      <c r="C358"/>
      <c r="D358"/>
      <c r="E358"/>
      <c r="F358"/>
      <c r="G358"/>
      <c r="I358"/>
      <c r="J358"/>
    </row>
    <row r="359" spans="2:10" s="51" customFormat="1">
      <c r="B359"/>
      <c r="C359"/>
      <c r="D359"/>
      <c r="E359"/>
      <c r="F359"/>
      <c r="G359"/>
      <c r="I359"/>
      <c r="J359"/>
    </row>
    <row r="360" spans="2:10" s="51" customFormat="1">
      <c r="B360"/>
      <c r="C360"/>
      <c r="D360"/>
      <c r="E360"/>
      <c r="F360"/>
      <c r="G360"/>
      <c r="I360"/>
      <c r="J360"/>
    </row>
    <row r="361" spans="2:10" s="51" customFormat="1">
      <c r="B361"/>
      <c r="C361"/>
      <c r="D361"/>
      <c r="E361"/>
      <c r="F361"/>
      <c r="G361"/>
      <c r="I361"/>
      <c r="J361"/>
    </row>
    <row r="362" spans="2:10" s="51" customFormat="1">
      <c r="B362"/>
      <c r="C362"/>
      <c r="D362"/>
      <c r="E362"/>
      <c r="F362"/>
      <c r="G362"/>
      <c r="I362"/>
      <c r="J362"/>
    </row>
    <row r="363" spans="2:10" s="51" customFormat="1">
      <c r="B363"/>
      <c r="C363"/>
      <c r="D363"/>
      <c r="E363"/>
      <c r="F363"/>
      <c r="G363"/>
      <c r="I363"/>
      <c r="J363"/>
    </row>
    <row r="364" spans="2:10" s="51" customFormat="1">
      <c r="B364"/>
      <c r="C364"/>
      <c r="D364"/>
      <c r="E364"/>
      <c r="F364"/>
      <c r="G364"/>
      <c r="I364"/>
      <c r="J364"/>
    </row>
    <row r="365" spans="2:10" s="51" customFormat="1">
      <c r="B365"/>
      <c r="C365"/>
      <c r="D365"/>
      <c r="E365"/>
      <c r="F365"/>
      <c r="G365"/>
      <c r="I365"/>
      <c r="J365"/>
    </row>
    <row r="366" spans="2:10" s="51" customFormat="1">
      <c r="B366"/>
      <c r="C366"/>
      <c r="D366"/>
      <c r="E366"/>
      <c r="F366"/>
      <c r="G366"/>
      <c r="I366"/>
      <c r="J366"/>
    </row>
    <row r="367" spans="2:10" s="51" customFormat="1">
      <c r="B367"/>
      <c r="C367"/>
      <c r="D367"/>
      <c r="E367"/>
      <c r="F367"/>
      <c r="G367"/>
      <c r="I367"/>
      <c r="J367"/>
    </row>
    <row r="368" spans="2:10" s="51" customFormat="1">
      <c r="B368"/>
      <c r="C368"/>
      <c r="D368"/>
      <c r="E368"/>
      <c r="F368"/>
      <c r="G368"/>
      <c r="I368"/>
      <c r="J368"/>
    </row>
    <row r="369" spans="2:10" s="51" customFormat="1">
      <c r="B369"/>
      <c r="C369"/>
      <c r="D369"/>
      <c r="E369"/>
      <c r="F369"/>
      <c r="G369"/>
      <c r="I369"/>
      <c r="J369"/>
    </row>
    <row r="370" spans="2:10" s="51" customFormat="1">
      <c r="B370"/>
      <c r="C370"/>
      <c r="D370"/>
      <c r="E370"/>
      <c r="F370"/>
      <c r="G370"/>
      <c r="I370"/>
      <c r="J370"/>
    </row>
    <row r="371" spans="2:10" s="51" customFormat="1">
      <c r="B371"/>
      <c r="C371"/>
      <c r="D371"/>
      <c r="E371"/>
      <c r="F371"/>
      <c r="G371"/>
      <c r="I371"/>
      <c r="J371"/>
    </row>
    <row r="372" spans="2:10" s="51" customFormat="1">
      <c r="B372"/>
      <c r="C372"/>
      <c r="D372"/>
      <c r="E372"/>
      <c r="F372"/>
      <c r="G372"/>
      <c r="I372"/>
      <c r="J372"/>
    </row>
    <row r="373" spans="2:10" s="51" customFormat="1">
      <c r="B373"/>
      <c r="C373"/>
      <c r="D373"/>
      <c r="E373"/>
      <c r="F373"/>
      <c r="G373"/>
      <c r="I373"/>
      <c r="J373"/>
    </row>
    <row r="374" spans="2:10" s="51" customFormat="1">
      <c r="B374"/>
      <c r="C374"/>
      <c r="D374"/>
      <c r="E374"/>
      <c r="F374"/>
      <c r="G374"/>
      <c r="I374"/>
      <c r="J374"/>
    </row>
    <row r="375" spans="2:10" s="51" customFormat="1">
      <c r="B375"/>
      <c r="C375"/>
      <c r="D375"/>
      <c r="E375"/>
      <c r="F375"/>
      <c r="G375"/>
      <c r="I375"/>
      <c r="J375"/>
    </row>
    <row r="376" spans="2:10" s="51" customFormat="1">
      <c r="B376"/>
      <c r="C376"/>
      <c r="D376"/>
      <c r="E376"/>
      <c r="F376"/>
      <c r="G376"/>
      <c r="I376"/>
      <c r="J376"/>
    </row>
    <row r="377" spans="2:10" s="51" customFormat="1">
      <c r="B377"/>
      <c r="C377"/>
      <c r="D377"/>
      <c r="E377"/>
      <c r="F377"/>
      <c r="G377"/>
      <c r="I377"/>
      <c r="J377"/>
    </row>
    <row r="378" spans="2:10" s="51" customFormat="1">
      <c r="B378"/>
      <c r="C378"/>
      <c r="D378"/>
      <c r="E378"/>
      <c r="F378"/>
      <c r="G378"/>
      <c r="I378"/>
      <c r="J378"/>
    </row>
    <row r="379" spans="2:10" s="51" customFormat="1">
      <c r="B379"/>
      <c r="C379"/>
      <c r="D379"/>
      <c r="E379"/>
      <c r="F379"/>
      <c r="G379"/>
      <c r="I379"/>
      <c r="J379"/>
    </row>
    <row r="380" spans="2:10" s="51" customFormat="1">
      <c r="B380"/>
      <c r="C380"/>
      <c r="D380"/>
      <c r="E380"/>
      <c r="F380"/>
      <c r="G380"/>
      <c r="I380"/>
      <c r="J380"/>
    </row>
    <row r="381" spans="2:10" s="51" customFormat="1">
      <c r="B381"/>
      <c r="C381"/>
      <c r="D381"/>
      <c r="E381"/>
      <c r="F381"/>
      <c r="G381"/>
      <c r="I381"/>
      <c r="J381"/>
    </row>
    <row r="382" spans="2:10" s="51" customFormat="1">
      <c r="B382"/>
      <c r="C382"/>
      <c r="D382"/>
      <c r="E382"/>
      <c r="F382"/>
      <c r="G382"/>
      <c r="I382"/>
      <c r="J382"/>
    </row>
    <row r="383" spans="2:10" s="51" customFormat="1">
      <c r="B383"/>
      <c r="C383"/>
      <c r="D383"/>
      <c r="E383"/>
      <c r="F383"/>
      <c r="G383"/>
      <c r="I383"/>
      <c r="J383"/>
    </row>
    <row r="384" spans="2:10" s="51" customFormat="1">
      <c r="B384"/>
      <c r="C384"/>
      <c r="D384"/>
      <c r="E384"/>
      <c r="F384"/>
      <c r="G384"/>
      <c r="I384"/>
      <c r="J384"/>
    </row>
    <row r="385" spans="2:10" s="51" customFormat="1">
      <c r="B385"/>
      <c r="C385"/>
      <c r="D385"/>
      <c r="E385"/>
      <c r="F385"/>
      <c r="G385"/>
      <c r="I385"/>
      <c r="J385"/>
    </row>
    <row r="386" spans="2:10" s="51" customFormat="1">
      <c r="B386"/>
      <c r="C386"/>
      <c r="D386"/>
      <c r="E386"/>
      <c r="F386"/>
      <c r="G386"/>
      <c r="I386"/>
      <c r="J386"/>
    </row>
    <row r="387" spans="2:10" s="51" customFormat="1">
      <c r="B387"/>
      <c r="C387"/>
      <c r="D387"/>
      <c r="E387"/>
      <c r="F387"/>
      <c r="G387"/>
      <c r="I387"/>
      <c r="J387"/>
    </row>
    <row r="388" spans="2:10" s="51" customFormat="1">
      <c r="B388"/>
      <c r="C388"/>
      <c r="D388"/>
      <c r="E388"/>
      <c r="F388"/>
      <c r="G388"/>
      <c r="I388"/>
      <c r="J388"/>
    </row>
    <row r="389" spans="2:10" s="51" customFormat="1">
      <c r="B389"/>
      <c r="C389"/>
      <c r="D389"/>
      <c r="E389"/>
      <c r="F389"/>
      <c r="G389"/>
      <c r="I389"/>
      <c r="J389"/>
    </row>
    <row r="390" spans="2:10" s="51" customFormat="1">
      <c r="B390"/>
      <c r="C390"/>
      <c r="D390"/>
      <c r="E390"/>
      <c r="F390"/>
      <c r="G390"/>
      <c r="I390"/>
      <c r="J390"/>
    </row>
    <row r="391" spans="2:10" s="51" customFormat="1">
      <c r="B391"/>
      <c r="C391"/>
      <c r="D391"/>
      <c r="E391"/>
      <c r="F391"/>
      <c r="G391"/>
      <c r="I391"/>
      <c r="J391"/>
    </row>
    <row r="392" spans="2:10" s="51" customFormat="1">
      <c r="B392"/>
      <c r="C392"/>
      <c r="D392"/>
      <c r="E392"/>
      <c r="F392"/>
      <c r="G392"/>
      <c r="I392"/>
      <c r="J392"/>
    </row>
    <row r="393" spans="2:10" s="51" customFormat="1">
      <c r="B393"/>
      <c r="C393"/>
      <c r="D393"/>
      <c r="E393"/>
      <c r="F393"/>
      <c r="G393"/>
      <c r="I393"/>
      <c r="J393"/>
    </row>
    <row r="394" spans="2:10" s="51" customFormat="1">
      <c r="B394"/>
      <c r="C394"/>
      <c r="D394"/>
      <c r="E394"/>
      <c r="F394"/>
      <c r="G394"/>
      <c r="I394"/>
      <c r="J394"/>
    </row>
    <row r="395" spans="2:10" s="51" customFormat="1">
      <c r="B395"/>
      <c r="C395"/>
      <c r="D395"/>
      <c r="E395"/>
      <c r="F395"/>
      <c r="G395"/>
      <c r="I395"/>
      <c r="J395"/>
    </row>
    <row r="396" spans="2:10" s="51" customFormat="1">
      <c r="B396"/>
      <c r="C396"/>
      <c r="D396"/>
      <c r="E396"/>
      <c r="F396"/>
      <c r="G396"/>
      <c r="I396"/>
      <c r="J396"/>
    </row>
    <row r="397" spans="2:10" s="51" customFormat="1">
      <c r="B397"/>
      <c r="C397"/>
      <c r="D397"/>
      <c r="E397"/>
      <c r="F397"/>
      <c r="G397"/>
      <c r="I397"/>
      <c r="J397"/>
    </row>
    <row r="398" spans="2:10" s="51" customFormat="1">
      <c r="B398"/>
      <c r="C398"/>
      <c r="D398"/>
      <c r="E398"/>
      <c r="F398"/>
      <c r="G398"/>
      <c r="I398"/>
      <c r="J398"/>
    </row>
    <row r="399" spans="2:10" s="51" customFormat="1">
      <c r="B399"/>
      <c r="C399"/>
      <c r="D399"/>
      <c r="E399"/>
      <c r="F399"/>
      <c r="G399"/>
      <c r="I399"/>
      <c r="J399"/>
    </row>
    <row r="400" spans="2:10" s="51" customFormat="1">
      <c r="B400"/>
      <c r="C400"/>
      <c r="D400"/>
      <c r="E400"/>
      <c r="F400"/>
      <c r="G400"/>
      <c r="I400"/>
      <c r="J400"/>
    </row>
    <row r="401" spans="2:10" s="51" customFormat="1">
      <c r="B401"/>
      <c r="C401"/>
      <c r="D401"/>
      <c r="E401"/>
      <c r="F401"/>
      <c r="G401"/>
      <c r="I401"/>
      <c r="J401"/>
    </row>
    <row r="402" spans="2:10" s="51" customFormat="1">
      <c r="B402"/>
      <c r="C402"/>
      <c r="D402"/>
      <c r="E402"/>
      <c r="F402"/>
      <c r="G402"/>
      <c r="I402"/>
      <c r="J402"/>
    </row>
    <row r="403" spans="2:10" s="51" customFormat="1">
      <c r="B403"/>
      <c r="C403"/>
      <c r="D403"/>
      <c r="E403"/>
      <c r="F403"/>
      <c r="G403"/>
      <c r="I403"/>
      <c r="J403"/>
    </row>
    <row r="404" spans="2:10" s="51" customFormat="1">
      <c r="B404"/>
      <c r="C404"/>
      <c r="D404"/>
      <c r="E404"/>
      <c r="F404"/>
      <c r="G404"/>
      <c r="I404"/>
      <c r="J404"/>
    </row>
    <row r="405" spans="2:10" s="51" customFormat="1">
      <c r="B405"/>
      <c r="C405"/>
      <c r="D405"/>
      <c r="E405"/>
      <c r="F405"/>
      <c r="G405"/>
      <c r="I405"/>
      <c r="J405"/>
    </row>
    <row r="406" spans="2:10" s="51" customFormat="1">
      <c r="B406"/>
      <c r="C406"/>
      <c r="D406"/>
      <c r="E406"/>
      <c r="F406"/>
      <c r="G406"/>
      <c r="I406"/>
      <c r="J406"/>
    </row>
    <row r="407" spans="2:10" s="51" customFormat="1">
      <c r="B407"/>
      <c r="C407"/>
      <c r="D407"/>
      <c r="E407"/>
      <c r="F407"/>
      <c r="G407"/>
      <c r="I407"/>
      <c r="J407"/>
    </row>
    <row r="408" spans="2:10" s="51" customFormat="1">
      <c r="B408"/>
      <c r="C408"/>
      <c r="D408"/>
      <c r="E408"/>
      <c r="F408"/>
      <c r="G408"/>
      <c r="I408"/>
      <c r="J408"/>
    </row>
    <row r="409" spans="2:10" s="51" customFormat="1">
      <c r="B409"/>
      <c r="C409"/>
      <c r="D409"/>
      <c r="E409"/>
      <c r="F409"/>
      <c r="G409"/>
      <c r="I409"/>
      <c r="J409"/>
    </row>
    <row r="410" spans="2:10" s="51" customFormat="1">
      <c r="B410"/>
      <c r="C410"/>
      <c r="D410"/>
      <c r="E410"/>
      <c r="F410"/>
      <c r="G410"/>
      <c r="I410"/>
      <c r="J410"/>
    </row>
    <row r="411" spans="2:10" s="51" customFormat="1">
      <c r="B411"/>
      <c r="C411"/>
      <c r="D411"/>
      <c r="E411"/>
      <c r="F411"/>
      <c r="G411"/>
      <c r="I411"/>
      <c r="J411"/>
    </row>
    <row r="412" spans="2:10" s="51" customFormat="1">
      <c r="B412"/>
      <c r="C412"/>
      <c r="D412"/>
      <c r="E412"/>
      <c r="F412"/>
      <c r="G412"/>
      <c r="I412"/>
      <c r="J412"/>
    </row>
    <row r="413" spans="2:10" s="51" customFormat="1">
      <c r="B413"/>
      <c r="C413"/>
      <c r="D413"/>
      <c r="E413"/>
      <c r="F413"/>
      <c r="G413"/>
      <c r="I413"/>
      <c r="J413"/>
    </row>
    <row r="414" spans="2:10" s="51" customFormat="1">
      <c r="B414"/>
      <c r="C414"/>
      <c r="D414"/>
      <c r="E414"/>
      <c r="F414"/>
      <c r="G414"/>
      <c r="I414"/>
      <c r="J414"/>
    </row>
    <row r="415" spans="2:10" s="51" customFormat="1">
      <c r="B415"/>
      <c r="C415"/>
      <c r="D415"/>
      <c r="E415"/>
      <c r="F415"/>
      <c r="G415"/>
      <c r="I415"/>
      <c r="J415"/>
    </row>
    <row r="416" spans="2:10" s="51" customFormat="1">
      <c r="B416"/>
      <c r="C416"/>
      <c r="D416"/>
      <c r="E416"/>
      <c r="F416"/>
      <c r="G416"/>
      <c r="I416"/>
      <c r="J416"/>
    </row>
    <row r="417" spans="2:10" s="51" customFormat="1">
      <c r="B417"/>
      <c r="C417"/>
      <c r="D417"/>
      <c r="E417"/>
      <c r="F417"/>
      <c r="G417"/>
      <c r="I417"/>
      <c r="J417"/>
    </row>
    <row r="418" spans="2:10" s="51" customFormat="1">
      <c r="B418"/>
      <c r="C418"/>
      <c r="D418"/>
      <c r="E418"/>
      <c r="F418"/>
      <c r="G418"/>
      <c r="I418"/>
      <c r="J418"/>
    </row>
    <row r="419" spans="2:10" s="51" customFormat="1">
      <c r="B419"/>
      <c r="C419"/>
      <c r="D419"/>
      <c r="E419"/>
      <c r="F419"/>
      <c r="G419"/>
      <c r="I419"/>
      <c r="J419"/>
    </row>
    <row r="420" spans="2:10" s="51" customFormat="1">
      <c r="B420"/>
      <c r="C420"/>
      <c r="D420"/>
      <c r="E420"/>
      <c r="F420"/>
      <c r="G420"/>
      <c r="I420"/>
      <c r="J420"/>
    </row>
    <row r="421" spans="2:10" s="51" customFormat="1">
      <c r="B421"/>
      <c r="C421"/>
      <c r="D421"/>
      <c r="E421"/>
      <c r="F421"/>
      <c r="G421"/>
      <c r="I421"/>
      <c r="J421"/>
    </row>
    <row r="422" spans="2:10" s="51" customFormat="1">
      <c r="B422"/>
      <c r="C422"/>
      <c r="D422"/>
      <c r="E422"/>
      <c r="F422"/>
      <c r="G422"/>
      <c r="I422"/>
      <c r="J422"/>
    </row>
    <row r="423" spans="2:10" s="51" customFormat="1">
      <c r="B423"/>
      <c r="C423"/>
      <c r="D423"/>
      <c r="E423"/>
      <c r="F423"/>
      <c r="G423"/>
      <c r="I423"/>
      <c r="J423"/>
    </row>
    <row r="424" spans="2:10" s="51" customFormat="1">
      <c r="B424"/>
      <c r="C424"/>
      <c r="D424"/>
      <c r="E424"/>
      <c r="F424"/>
      <c r="G424"/>
      <c r="I424"/>
      <c r="J424"/>
    </row>
    <row r="425" spans="2:10" s="51" customFormat="1">
      <c r="B425"/>
      <c r="C425"/>
      <c r="D425"/>
      <c r="E425"/>
      <c r="F425"/>
      <c r="G425"/>
      <c r="I425"/>
      <c r="J425"/>
    </row>
    <row r="426" spans="2:10" s="51" customFormat="1">
      <c r="B426"/>
      <c r="C426"/>
      <c r="D426"/>
      <c r="E426"/>
      <c r="F426"/>
      <c r="G426"/>
      <c r="I426"/>
      <c r="J426"/>
    </row>
    <row r="427" spans="2:10" s="51" customFormat="1">
      <c r="B427"/>
      <c r="C427"/>
      <c r="D427"/>
      <c r="E427"/>
      <c r="F427"/>
      <c r="G427"/>
      <c r="I427"/>
      <c r="J427"/>
    </row>
    <row r="428" spans="2:10" s="51" customFormat="1">
      <c r="B428"/>
      <c r="C428"/>
      <c r="D428"/>
      <c r="E428"/>
      <c r="F428"/>
      <c r="G428"/>
      <c r="I428"/>
      <c r="J428"/>
    </row>
    <row r="429" spans="2:10" s="51" customFormat="1">
      <c r="B429"/>
      <c r="C429"/>
      <c r="D429"/>
      <c r="E429"/>
      <c r="F429"/>
      <c r="G429"/>
      <c r="I429"/>
      <c r="J429"/>
    </row>
    <row r="430" spans="2:10" s="51" customFormat="1">
      <c r="B430"/>
      <c r="C430"/>
      <c r="D430"/>
      <c r="E430"/>
      <c r="F430"/>
      <c r="G430"/>
      <c r="I430"/>
      <c r="J430"/>
    </row>
    <row r="431" spans="2:10" s="51" customFormat="1">
      <c r="B431"/>
      <c r="C431"/>
      <c r="D431"/>
      <c r="E431"/>
      <c r="F431"/>
      <c r="G431"/>
      <c r="I431"/>
      <c r="J431"/>
    </row>
    <row r="432" spans="2:10" s="51" customFormat="1">
      <c r="B432"/>
      <c r="C432"/>
      <c r="D432"/>
      <c r="E432"/>
      <c r="F432"/>
      <c r="G432"/>
      <c r="I432"/>
      <c r="J432"/>
    </row>
    <row r="433" spans="2:10" s="51" customFormat="1">
      <c r="B433"/>
      <c r="C433"/>
      <c r="D433"/>
      <c r="E433"/>
      <c r="F433"/>
      <c r="G433"/>
      <c r="I433"/>
      <c r="J433"/>
    </row>
    <row r="434" spans="2:10" s="51" customFormat="1">
      <c r="B434"/>
      <c r="C434"/>
      <c r="D434"/>
      <c r="E434"/>
      <c r="F434"/>
      <c r="G434"/>
      <c r="I434"/>
      <c r="J434"/>
    </row>
    <row r="435" spans="2:10" s="51" customFormat="1">
      <c r="B435"/>
      <c r="C435"/>
      <c r="D435"/>
      <c r="E435"/>
      <c r="F435"/>
      <c r="G435"/>
      <c r="I435"/>
      <c r="J435"/>
    </row>
    <row r="436" spans="2:10" s="51" customFormat="1">
      <c r="B436"/>
      <c r="C436"/>
      <c r="D436"/>
      <c r="E436"/>
      <c r="F436"/>
      <c r="G436"/>
      <c r="I436"/>
      <c r="J436"/>
    </row>
    <row r="437" spans="2:10" s="51" customFormat="1">
      <c r="B437"/>
      <c r="C437"/>
      <c r="D437"/>
      <c r="E437"/>
      <c r="F437"/>
      <c r="G437"/>
      <c r="I437"/>
      <c r="J437"/>
    </row>
    <row r="438" spans="2:10" s="51" customFormat="1">
      <c r="B438"/>
      <c r="C438"/>
      <c r="D438"/>
      <c r="E438"/>
      <c r="F438"/>
      <c r="G438"/>
      <c r="I438"/>
      <c r="J438"/>
    </row>
    <row r="439" spans="2:10" s="51" customFormat="1">
      <c r="B439"/>
      <c r="C439"/>
      <c r="D439"/>
      <c r="E439"/>
      <c r="F439"/>
      <c r="G439"/>
      <c r="I439"/>
      <c r="J439"/>
    </row>
    <row r="440" spans="2:10" s="51" customFormat="1">
      <c r="B440"/>
      <c r="C440"/>
      <c r="D440"/>
      <c r="E440"/>
      <c r="F440"/>
      <c r="G440"/>
      <c r="I440"/>
      <c r="J440"/>
    </row>
    <row r="441" spans="2:10" s="51" customFormat="1">
      <c r="B441"/>
      <c r="C441"/>
      <c r="D441"/>
      <c r="E441"/>
      <c r="F441"/>
      <c r="G441"/>
      <c r="I441"/>
      <c r="J441"/>
    </row>
    <row r="442" spans="2:10" s="51" customFormat="1">
      <c r="B442"/>
      <c r="C442"/>
      <c r="D442"/>
      <c r="E442"/>
      <c r="F442"/>
      <c r="G442"/>
      <c r="I442"/>
      <c r="J442"/>
    </row>
    <row r="443" spans="2:10" s="51" customFormat="1">
      <c r="B443"/>
      <c r="C443"/>
      <c r="D443"/>
      <c r="E443"/>
      <c r="F443"/>
      <c r="G443"/>
      <c r="I443"/>
      <c r="J443"/>
    </row>
    <row r="444" spans="2:10" s="51" customFormat="1">
      <c r="B444"/>
      <c r="C444"/>
      <c r="D444"/>
      <c r="E444"/>
      <c r="F444"/>
      <c r="G444"/>
      <c r="I444"/>
      <c r="J444"/>
    </row>
    <row r="445" spans="2:10" s="51" customFormat="1">
      <c r="B445"/>
      <c r="C445"/>
      <c r="D445"/>
      <c r="E445"/>
      <c r="F445"/>
      <c r="G445"/>
      <c r="I445"/>
      <c r="J445"/>
    </row>
    <row r="446" spans="2:10" s="51" customFormat="1">
      <c r="B446"/>
      <c r="C446"/>
      <c r="D446"/>
      <c r="E446"/>
      <c r="F446"/>
      <c r="G446"/>
      <c r="I446"/>
      <c r="J446"/>
    </row>
    <row r="447" spans="2:10" s="51" customFormat="1">
      <c r="B447"/>
      <c r="C447"/>
      <c r="D447"/>
      <c r="E447"/>
      <c r="F447"/>
      <c r="G447"/>
      <c r="I447"/>
      <c r="J447"/>
    </row>
    <row r="448" spans="2:10" s="51" customFormat="1">
      <c r="B448"/>
      <c r="C448"/>
      <c r="D448"/>
      <c r="E448"/>
      <c r="F448"/>
      <c r="G448"/>
      <c r="I448"/>
      <c r="J448"/>
    </row>
    <row r="449" spans="2:10" s="51" customFormat="1">
      <c r="B449"/>
      <c r="C449"/>
      <c r="D449"/>
      <c r="E449"/>
      <c r="F449"/>
      <c r="G449"/>
      <c r="I449"/>
      <c r="J449"/>
    </row>
    <row r="450" spans="2:10" s="51" customFormat="1">
      <c r="B450"/>
      <c r="C450"/>
      <c r="D450"/>
      <c r="E450"/>
      <c r="F450"/>
      <c r="G450"/>
      <c r="I450"/>
      <c r="J450"/>
    </row>
    <row r="451" spans="2:10" s="51" customFormat="1">
      <c r="B451"/>
      <c r="C451"/>
      <c r="D451"/>
      <c r="E451"/>
      <c r="F451"/>
      <c r="G451"/>
      <c r="I451"/>
      <c r="J451"/>
    </row>
    <row r="452" spans="2:10" s="51" customFormat="1">
      <c r="B452"/>
      <c r="C452"/>
      <c r="D452"/>
      <c r="E452"/>
      <c r="F452"/>
      <c r="G452"/>
      <c r="I452"/>
      <c r="J452"/>
    </row>
    <row r="453" spans="2:10" s="51" customFormat="1">
      <c r="B453"/>
      <c r="C453"/>
      <c r="D453"/>
      <c r="E453"/>
      <c r="F453"/>
      <c r="G453"/>
      <c r="I453"/>
      <c r="J453"/>
    </row>
    <row r="454" spans="2:10" s="51" customFormat="1">
      <c r="B454"/>
      <c r="C454"/>
      <c r="D454"/>
      <c r="E454"/>
      <c r="F454"/>
      <c r="G454"/>
      <c r="I454"/>
      <c r="J454"/>
    </row>
    <row r="455" spans="2:10" s="51" customFormat="1">
      <c r="B455"/>
      <c r="C455"/>
      <c r="D455"/>
      <c r="E455"/>
      <c r="F455"/>
      <c r="G455"/>
      <c r="I455"/>
      <c r="J455"/>
    </row>
    <row r="456" spans="2:10" s="51" customFormat="1">
      <c r="B456"/>
      <c r="C456"/>
      <c r="D456"/>
      <c r="E456"/>
      <c r="F456"/>
      <c r="G456"/>
      <c r="I456"/>
      <c r="J456"/>
    </row>
    <row r="457" spans="2:10" s="51" customFormat="1">
      <c r="B457"/>
      <c r="C457"/>
      <c r="D457"/>
      <c r="E457"/>
      <c r="F457"/>
      <c r="G457"/>
      <c r="I457"/>
      <c r="J457"/>
    </row>
    <row r="458" spans="2:10" s="51" customFormat="1">
      <c r="B458"/>
      <c r="C458"/>
      <c r="D458"/>
      <c r="E458"/>
      <c r="F458"/>
      <c r="G458"/>
      <c r="I458"/>
      <c r="J458"/>
    </row>
    <row r="459" spans="2:10" s="51" customFormat="1">
      <c r="B459"/>
      <c r="C459"/>
      <c r="D459"/>
      <c r="E459"/>
      <c r="F459"/>
      <c r="G459"/>
      <c r="I459"/>
      <c r="J459"/>
    </row>
    <row r="460" spans="2:10" s="51" customFormat="1">
      <c r="B460"/>
      <c r="C460"/>
      <c r="D460"/>
      <c r="E460"/>
      <c r="F460"/>
      <c r="G460"/>
      <c r="I460"/>
      <c r="J460"/>
    </row>
    <row r="461" spans="2:10" s="51" customFormat="1">
      <c r="B461"/>
      <c r="C461"/>
      <c r="D461"/>
      <c r="E461"/>
      <c r="F461"/>
      <c r="G461"/>
      <c r="I461"/>
      <c r="J461"/>
    </row>
    <row r="462" spans="2:10" s="51" customFormat="1">
      <c r="B462"/>
      <c r="C462"/>
      <c r="D462"/>
      <c r="E462"/>
      <c r="F462"/>
      <c r="G462"/>
      <c r="I462"/>
      <c r="J462"/>
    </row>
    <row r="463" spans="2:10" s="51" customFormat="1">
      <c r="B463"/>
      <c r="C463"/>
      <c r="D463"/>
      <c r="E463"/>
      <c r="F463"/>
      <c r="G463"/>
      <c r="I463"/>
      <c r="J463"/>
    </row>
    <row r="464" spans="2:10" s="51" customFormat="1">
      <c r="B464"/>
      <c r="C464"/>
      <c r="D464"/>
      <c r="E464"/>
      <c r="F464"/>
      <c r="G464"/>
      <c r="I464"/>
      <c r="J464"/>
    </row>
    <row r="465" spans="2:10" s="51" customFormat="1">
      <c r="B465"/>
      <c r="C465"/>
      <c r="D465"/>
      <c r="E465"/>
      <c r="F465"/>
      <c r="G465"/>
      <c r="I465"/>
      <c r="J465"/>
    </row>
    <row r="466" spans="2:10" s="51" customFormat="1">
      <c r="B466"/>
      <c r="C466"/>
      <c r="D466"/>
      <c r="E466"/>
      <c r="F466"/>
      <c r="G466"/>
      <c r="I466"/>
      <c r="J466"/>
    </row>
    <row r="467" spans="2:10" s="51" customFormat="1">
      <c r="B467"/>
      <c r="C467"/>
      <c r="D467"/>
      <c r="E467"/>
      <c r="F467"/>
      <c r="G467"/>
      <c r="I467"/>
      <c r="J467"/>
    </row>
    <row r="468" spans="2:10" s="51" customFormat="1">
      <c r="B468"/>
      <c r="C468"/>
      <c r="D468"/>
      <c r="E468"/>
      <c r="F468"/>
      <c r="G468"/>
      <c r="I468"/>
      <c r="J468"/>
    </row>
    <row r="469" spans="2:10" s="51" customFormat="1">
      <c r="B469"/>
      <c r="C469"/>
      <c r="D469"/>
      <c r="E469"/>
      <c r="F469"/>
      <c r="G469"/>
      <c r="I469"/>
      <c r="J469"/>
    </row>
    <row r="470" spans="2:10" s="51" customFormat="1">
      <c r="B470"/>
      <c r="C470"/>
      <c r="D470"/>
      <c r="E470"/>
      <c r="F470"/>
      <c r="G470"/>
      <c r="I470"/>
      <c r="J470"/>
    </row>
    <row r="471" spans="2:10" s="51" customFormat="1">
      <c r="B471"/>
      <c r="C471"/>
      <c r="D471"/>
      <c r="E471"/>
      <c r="F471"/>
      <c r="G471"/>
      <c r="I471"/>
      <c r="J471"/>
    </row>
    <row r="472" spans="2:10" s="51" customFormat="1">
      <c r="B472"/>
      <c r="C472"/>
      <c r="D472"/>
      <c r="E472"/>
      <c r="F472"/>
      <c r="G472"/>
      <c r="I472"/>
      <c r="J472"/>
    </row>
    <row r="473" spans="2:10" s="51" customFormat="1">
      <c r="B473"/>
      <c r="C473"/>
      <c r="D473"/>
      <c r="E473"/>
      <c r="F473"/>
      <c r="G473"/>
      <c r="I473"/>
      <c r="J473"/>
    </row>
    <row r="474" spans="2:10" s="51" customFormat="1">
      <c r="B474"/>
      <c r="C474"/>
      <c r="D474"/>
      <c r="E474"/>
      <c r="F474"/>
      <c r="G474"/>
      <c r="I474"/>
      <c r="J474"/>
    </row>
    <row r="475" spans="2:10" s="51" customFormat="1">
      <c r="B475"/>
      <c r="C475"/>
      <c r="D475"/>
      <c r="E475"/>
      <c r="F475"/>
      <c r="G475"/>
      <c r="I475"/>
      <c r="J475"/>
    </row>
    <row r="476" spans="2:10" s="51" customFormat="1">
      <c r="B476"/>
      <c r="C476"/>
      <c r="D476"/>
      <c r="E476"/>
      <c r="F476"/>
      <c r="G476"/>
      <c r="I476"/>
      <c r="J476"/>
    </row>
    <row r="477" spans="2:10" s="51" customFormat="1">
      <c r="B477"/>
      <c r="C477"/>
      <c r="D477"/>
      <c r="E477"/>
      <c r="F477"/>
      <c r="G477"/>
      <c r="I477"/>
      <c r="J477"/>
    </row>
    <row r="478" spans="2:10" s="51" customFormat="1">
      <c r="B478"/>
      <c r="C478"/>
      <c r="D478"/>
      <c r="E478"/>
      <c r="F478"/>
      <c r="G478"/>
      <c r="I478"/>
      <c r="J478"/>
    </row>
    <row r="479" spans="2:10" s="51" customFormat="1">
      <c r="B479"/>
      <c r="C479"/>
      <c r="D479"/>
      <c r="E479"/>
      <c r="F479"/>
      <c r="G479"/>
      <c r="I479"/>
      <c r="J479"/>
    </row>
    <row r="480" spans="2:10" s="51" customFormat="1">
      <c r="B480"/>
      <c r="C480"/>
      <c r="D480"/>
      <c r="E480"/>
      <c r="F480"/>
      <c r="G480"/>
      <c r="I480"/>
      <c r="J480"/>
    </row>
    <row r="481" spans="2:10" s="51" customFormat="1">
      <c r="B481"/>
      <c r="C481"/>
      <c r="D481"/>
      <c r="E481"/>
      <c r="F481"/>
      <c r="G481"/>
      <c r="I481"/>
      <c r="J481"/>
    </row>
    <row r="482" spans="2:10" s="51" customFormat="1">
      <c r="B482"/>
      <c r="C482"/>
      <c r="D482"/>
      <c r="E482"/>
      <c r="F482"/>
      <c r="G482"/>
      <c r="I482"/>
      <c r="J482"/>
    </row>
    <row r="483" spans="2:10" s="51" customFormat="1">
      <c r="B483"/>
      <c r="C483"/>
      <c r="D483"/>
      <c r="E483"/>
      <c r="F483"/>
      <c r="G483"/>
      <c r="I483"/>
      <c r="J483"/>
    </row>
    <row r="484" spans="2:10" s="51" customFormat="1">
      <c r="B484"/>
      <c r="C484"/>
      <c r="D484"/>
      <c r="E484"/>
      <c r="F484"/>
      <c r="G484"/>
      <c r="I484"/>
      <c r="J484"/>
    </row>
    <row r="485" spans="2:10" s="51" customFormat="1">
      <c r="B485"/>
      <c r="C485"/>
      <c r="D485"/>
      <c r="E485"/>
      <c r="F485"/>
      <c r="G485"/>
      <c r="I485"/>
      <c r="J485"/>
    </row>
    <row r="486" spans="2:10" s="51" customFormat="1">
      <c r="B486"/>
      <c r="C486"/>
      <c r="D486"/>
      <c r="E486"/>
      <c r="F486"/>
      <c r="G486"/>
      <c r="I486"/>
      <c r="J486"/>
    </row>
    <row r="487" spans="2:10" s="51" customFormat="1">
      <c r="B487"/>
      <c r="C487"/>
      <c r="D487"/>
      <c r="E487"/>
      <c r="F487"/>
      <c r="G487"/>
      <c r="I487"/>
      <c r="J487"/>
    </row>
    <row r="488" spans="2:10" s="51" customFormat="1">
      <c r="B488"/>
      <c r="C488"/>
      <c r="D488"/>
      <c r="E488"/>
      <c r="F488"/>
      <c r="G488"/>
      <c r="I488"/>
      <c r="J488"/>
    </row>
    <row r="489" spans="2:10" s="51" customFormat="1">
      <c r="B489"/>
      <c r="C489"/>
      <c r="D489"/>
      <c r="E489"/>
      <c r="F489"/>
      <c r="G489"/>
      <c r="I489"/>
      <c r="J489"/>
    </row>
    <row r="490" spans="2:10" s="51" customFormat="1">
      <c r="B490"/>
      <c r="C490"/>
      <c r="D490"/>
      <c r="E490"/>
      <c r="F490"/>
      <c r="G490"/>
      <c r="I490"/>
      <c r="J490"/>
    </row>
    <row r="491" spans="2:10" s="51" customFormat="1">
      <c r="B491"/>
      <c r="C491"/>
      <c r="D491"/>
      <c r="E491"/>
      <c r="F491"/>
      <c r="G491"/>
      <c r="I491"/>
      <c r="J491"/>
    </row>
    <row r="492" spans="2:10" s="51" customFormat="1">
      <c r="B492"/>
      <c r="C492"/>
      <c r="D492"/>
      <c r="E492"/>
      <c r="F492"/>
      <c r="G492"/>
      <c r="I492"/>
      <c r="J492"/>
    </row>
    <row r="493" spans="2:10" s="51" customFormat="1">
      <c r="B493"/>
      <c r="C493"/>
      <c r="D493"/>
      <c r="E493"/>
      <c r="F493"/>
      <c r="G493"/>
      <c r="I493"/>
      <c r="J493"/>
    </row>
    <row r="494" spans="2:10" s="51" customFormat="1">
      <c r="B494"/>
      <c r="C494"/>
      <c r="D494"/>
      <c r="E494"/>
      <c r="F494"/>
      <c r="G494"/>
      <c r="I494"/>
      <c r="J494"/>
    </row>
    <row r="495" spans="2:10" s="51" customFormat="1">
      <c r="B495"/>
      <c r="C495"/>
      <c r="D495"/>
      <c r="E495"/>
      <c r="F495"/>
      <c r="G495"/>
      <c r="I495"/>
      <c r="J495"/>
    </row>
    <row r="496" spans="2:10" s="51" customFormat="1">
      <c r="B496"/>
      <c r="C496"/>
      <c r="D496"/>
      <c r="E496"/>
      <c r="F496"/>
      <c r="G496"/>
      <c r="I496"/>
      <c r="J496"/>
    </row>
    <row r="497" spans="2:10" s="51" customFormat="1">
      <c r="B497"/>
      <c r="C497"/>
      <c r="D497"/>
      <c r="E497"/>
      <c r="F497"/>
      <c r="G497"/>
      <c r="I497"/>
      <c r="J497"/>
    </row>
    <row r="498" spans="2:10" s="51" customFormat="1">
      <c r="B498"/>
      <c r="C498"/>
      <c r="D498"/>
      <c r="E498"/>
      <c r="F498"/>
      <c r="G498"/>
      <c r="I498"/>
      <c r="J498"/>
    </row>
    <row r="499" spans="2:10" s="51" customFormat="1">
      <c r="B499"/>
      <c r="C499"/>
      <c r="D499"/>
      <c r="E499"/>
      <c r="F499"/>
      <c r="G499"/>
      <c r="I499"/>
      <c r="J499"/>
    </row>
    <row r="500" spans="2:10" s="51" customFormat="1">
      <c r="B500"/>
      <c r="C500"/>
      <c r="D500"/>
      <c r="E500"/>
      <c r="F500"/>
      <c r="G500"/>
      <c r="I500"/>
      <c r="J500"/>
    </row>
    <row r="501" spans="2:10" s="51" customFormat="1">
      <c r="B501"/>
      <c r="C501"/>
      <c r="D501"/>
      <c r="E501"/>
      <c r="F501"/>
      <c r="G501"/>
      <c r="I501"/>
      <c r="J501"/>
    </row>
    <row r="502" spans="2:10" s="51" customFormat="1">
      <c r="B502"/>
      <c r="C502"/>
      <c r="D502"/>
      <c r="E502"/>
      <c r="F502"/>
      <c r="G502"/>
      <c r="I502"/>
      <c r="J502"/>
    </row>
    <row r="503" spans="2:10" s="51" customFormat="1">
      <c r="B503"/>
      <c r="C503"/>
      <c r="D503"/>
      <c r="E503"/>
      <c r="F503"/>
      <c r="G503"/>
      <c r="I503"/>
      <c r="J503"/>
    </row>
    <row r="504" spans="2:10" s="51" customFormat="1">
      <c r="B504"/>
      <c r="C504"/>
      <c r="D504"/>
      <c r="E504"/>
      <c r="F504"/>
      <c r="G504"/>
      <c r="I504"/>
      <c r="J504"/>
    </row>
    <row r="505" spans="2:10" s="51" customFormat="1">
      <c r="B505"/>
      <c r="C505"/>
      <c r="D505"/>
      <c r="E505"/>
      <c r="F505"/>
      <c r="G505"/>
      <c r="I505"/>
      <c r="J505"/>
    </row>
    <row r="506" spans="2:10" s="51" customFormat="1">
      <c r="B506"/>
      <c r="C506"/>
      <c r="D506"/>
      <c r="E506"/>
      <c r="F506"/>
      <c r="G506"/>
      <c r="I506"/>
      <c r="J506"/>
    </row>
    <row r="507" spans="2:10" s="51" customFormat="1">
      <c r="B507"/>
      <c r="C507"/>
      <c r="D507"/>
      <c r="E507"/>
      <c r="F507"/>
      <c r="G507"/>
      <c r="I507"/>
      <c r="J507"/>
    </row>
    <row r="508" spans="2:10" s="51" customFormat="1">
      <c r="B508"/>
      <c r="C508"/>
      <c r="D508"/>
      <c r="E508"/>
      <c r="F508"/>
      <c r="G508"/>
      <c r="I508"/>
      <c r="J508"/>
    </row>
    <row r="509" spans="2:10" s="51" customFormat="1">
      <c r="B509"/>
      <c r="C509"/>
      <c r="D509"/>
      <c r="E509"/>
      <c r="F509"/>
      <c r="G509"/>
      <c r="I509"/>
      <c r="J509"/>
    </row>
    <row r="510" spans="2:10" s="51" customFormat="1">
      <c r="B510"/>
      <c r="C510"/>
      <c r="D510"/>
      <c r="E510"/>
      <c r="F510"/>
      <c r="G510"/>
      <c r="I510"/>
      <c r="J510"/>
    </row>
    <row r="511" spans="2:10" s="51" customFormat="1">
      <c r="B511"/>
      <c r="C511"/>
      <c r="D511"/>
      <c r="E511"/>
      <c r="F511"/>
      <c r="G511"/>
      <c r="I511"/>
      <c r="J511"/>
    </row>
    <row r="512" spans="2:10" s="51" customFormat="1"/>
    <row r="513" spans="2:10" s="51" customFormat="1" ht="25.9" customHeight="1">
      <c r="B513"/>
      <c r="C513"/>
      <c r="D513"/>
      <c r="E513"/>
      <c r="F513"/>
      <c r="G513"/>
      <c r="I513"/>
      <c r="J513"/>
    </row>
    <row r="514" spans="2:10" s="51" customFormat="1"/>
    <row r="515" spans="2:10">
      <c r="G515" s="2" t="s">
        <v>75</v>
      </c>
      <c r="I515">
        <f>VLOOKUP('CT Exposição e CT CCEAR-D'!G515,CCEAR_D!$A$2:$I$48,7,FALSE)</f>
        <v>77186.713999999993</v>
      </c>
      <c r="J515" s="38"/>
    </row>
    <row r="516" spans="2:10">
      <c r="G516" s="2" t="s">
        <v>33</v>
      </c>
      <c r="I516">
        <f>VLOOKUP('CT Exposição e CT CCEAR-D'!G516,CCEAR_D!$A$2:$I$48,7,FALSE)</f>
        <v>310.39699999999999</v>
      </c>
      <c r="J516" s="38">
        <v>129.43</v>
      </c>
    </row>
    <row r="517" spans="2:10">
      <c r="G517" s="2" t="s">
        <v>35</v>
      </c>
      <c r="I517">
        <f>VLOOKUP('CT Exposição e CT CCEAR-D'!G517,CCEAR_D!$A$2:$I$48,7,FALSE)</f>
        <v>0</v>
      </c>
      <c r="J517" s="40">
        <v>150.33000000000001</v>
      </c>
    </row>
  </sheetData>
  <mergeCells count="2">
    <mergeCell ref="B1:E1"/>
    <mergeCell ref="B68:J68"/>
  </mergeCells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>
    <tabColor rgb="FFC00000"/>
  </sheetPr>
  <dimension ref="A1:AF103"/>
  <sheetViews>
    <sheetView topLeftCell="K91" workbookViewId="0">
      <selection activeCell="F18" sqref="F18"/>
    </sheetView>
  </sheetViews>
  <sheetFormatPr defaultRowHeight="11.25"/>
  <cols>
    <col min="1" max="1" width="12.85546875" style="86" bestFit="1" customWidth="1"/>
    <col min="2" max="2" width="6" style="86" bestFit="1" customWidth="1"/>
    <col min="3" max="3" width="14" style="86" bestFit="1" customWidth="1"/>
    <col min="4" max="4" width="15.140625" style="86" bestFit="1" customWidth="1"/>
    <col min="5" max="5" width="14.140625" style="86" bestFit="1" customWidth="1"/>
    <col min="6" max="6" width="13.5703125" style="86" bestFit="1" customWidth="1"/>
    <col min="7" max="7" width="13.140625" style="86" bestFit="1" customWidth="1"/>
    <col min="8" max="8" width="17.140625" style="86" bestFit="1" customWidth="1"/>
    <col min="9" max="9" width="13.42578125" style="86" bestFit="1" customWidth="1"/>
    <col min="10" max="10" width="13" style="86" bestFit="1" customWidth="1"/>
    <col min="11" max="11" width="15.7109375" style="86" bestFit="1" customWidth="1"/>
    <col min="12" max="13" width="15.7109375" style="86" customWidth="1"/>
    <col min="14" max="14" width="15.140625" style="86" bestFit="1" customWidth="1"/>
    <col min="15" max="15" width="13" style="86" bestFit="1" customWidth="1"/>
    <col min="16" max="16" width="14.140625" style="86" bestFit="1" customWidth="1"/>
    <col min="17" max="17" width="16" style="86" bestFit="1" customWidth="1"/>
    <col min="18" max="18" width="14.140625" style="86" bestFit="1" customWidth="1"/>
    <col min="19" max="19" width="13.140625" style="86" bestFit="1" customWidth="1"/>
    <col min="20" max="20" width="14.42578125" style="86" bestFit="1" customWidth="1"/>
    <col min="21" max="21" width="20.85546875" style="86" bestFit="1" customWidth="1"/>
    <col min="22" max="22" width="16.7109375" style="86" bestFit="1" customWidth="1"/>
    <col min="23" max="23" width="15.140625" style="86" bestFit="1" customWidth="1"/>
    <col min="24" max="24" width="16.7109375" style="86" bestFit="1" customWidth="1"/>
    <col min="25" max="25" width="14.140625" style="86" bestFit="1" customWidth="1"/>
    <col min="26" max="26" width="13.140625" style="86" bestFit="1" customWidth="1"/>
    <col min="27" max="27" width="14.140625" style="86" bestFit="1" customWidth="1"/>
    <col min="28" max="30" width="9.28515625" style="86" bestFit="1" customWidth="1"/>
    <col min="31" max="31" width="14.140625" style="86" bestFit="1" customWidth="1"/>
    <col min="32" max="16384" width="9.140625" style="86"/>
  </cols>
  <sheetData>
    <row r="1" spans="1:32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</row>
    <row r="2" spans="1:32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</row>
    <row r="3" spans="1:32" ht="12.75" customHeight="1">
      <c r="D3" s="194" t="s">
        <v>143</v>
      </c>
      <c r="E3" s="194"/>
      <c r="F3" s="195" t="s">
        <v>144</v>
      </c>
      <c r="G3" s="196"/>
      <c r="H3" s="196"/>
      <c r="I3" s="196"/>
      <c r="J3" s="196"/>
      <c r="K3" s="196"/>
      <c r="L3" s="196" t="s">
        <v>145</v>
      </c>
      <c r="M3" s="196"/>
      <c r="N3" s="197"/>
      <c r="O3" s="198" t="s">
        <v>146</v>
      </c>
      <c r="P3" s="198"/>
      <c r="Q3" s="198"/>
      <c r="R3" s="199" t="s">
        <v>147</v>
      </c>
      <c r="S3" s="199"/>
      <c r="T3" s="199"/>
    </row>
    <row r="4" spans="1:32" ht="22.5">
      <c r="A4" s="87" t="s">
        <v>0</v>
      </c>
      <c r="B4" s="87" t="s">
        <v>77</v>
      </c>
      <c r="C4" s="87" t="s">
        <v>148</v>
      </c>
      <c r="D4" s="88" t="s">
        <v>149</v>
      </c>
      <c r="E4" s="88" t="s">
        <v>150</v>
      </c>
      <c r="F4" s="87" t="s">
        <v>151</v>
      </c>
      <c r="G4" s="87" t="s">
        <v>152</v>
      </c>
      <c r="H4" s="87" t="s">
        <v>153</v>
      </c>
      <c r="I4" s="87" t="s">
        <v>154</v>
      </c>
      <c r="J4" s="87" t="s">
        <v>155</v>
      </c>
      <c r="K4" s="87" t="s">
        <v>156</v>
      </c>
      <c r="L4" s="87" t="s">
        <v>157</v>
      </c>
      <c r="M4" s="87" t="s">
        <v>158</v>
      </c>
      <c r="N4" s="87" t="s">
        <v>159</v>
      </c>
      <c r="O4" s="89" t="s">
        <v>160</v>
      </c>
      <c r="P4" s="89" t="s">
        <v>161</v>
      </c>
      <c r="Q4" s="89" t="s">
        <v>159</v>
      </c>
      <c r="R4" s="90" t="s">
        <v>162</v>
      </c>
      <c r="S4" s="90" t="s">
        <v>161</v>
      </c>
      <c r="T4" s="90" t="s">
        <v>159</v>
      </c>
      <c r="U4" s="91"/>
    </row>
    <row r="5" spans="1:32">
      <c r="A5" s="92" t="str">
        <f>Total!A4</f>
        <v>RGE SUL</v>
      </c>
      <c r="B5" s="92">
        <f>Total!B4</f>
        <v>396</v>
      </c>
      <c r="C5" s="93">
        <f>Total!$F$1</f>
        <v>42795</v>
      </c>
      <c r="D5" s="94">
        <f>Total!C4</f>
        <v>5208082.1099999994</v>
      </c>
      <c r="E5" s="94">
        <f>Total!W4</f>
        <v>-5168477.0406738073</v>
      </c>
      <c r="F5" s="94">
        <f>-Total!D4</f>
        <v>3227908.109817646</v>
      </c>
      <c r="G5" s="94">
        <f>-Total!E4</f>
        <v>4109330.6389260786</v>
      </c>
      <c r="H5" s="94">
        <f>-Total!F4</f>
        <v>5582037.8799999999</v>
      </c>
      <c r="I5" s="94">
        <f>-Total!G4</f>
        <v>-1773587.43</v>
      </c>
      <c r="J5" s="94">
        <f>-Total!H4-Total!I4</f>
        <v>1832229.76</v>
      </c>
      <c r="K5" s="94">
        <f>-Total!J4</f>
        <v>-18759346.552221343</v>
      </c>
      <c r="L5" s="94">
        <f>-Total!L4</f>
        <v>-75744515.59604691</v>
      </c>
      <c r="M5" s="94">
        <f>-Total!M4</f>
        <v>-3114105.6171029471</v>
      </c>
      <c r="N5" s="94">
        <f>-Total!N4</f>
        <v>9086910.1701375172</v>
      </c>
      <c r="O5" s="94">
        <f>-Total!AD4</f>
        <v>0</v>
      </c>
      <c r="P5" s="94">
        <f>-Total!AE4</f>
        <v>0</v>
      </c>
      <c r="Q5" s="94">
        <f>-Total!AF4</f>
        <v>39605.069326192141</v>
      </c>
      <c r="R5" s="94">
        <f>-Total!AG4</f>
        <v>-67826734.507120833</v>
      </c>
      <c r="S5" s="94">
        <f>-Total!AH4</f>
        <v>-20041222.409324288</v>
      </c>
      <c r="T5" s="94">
        <f>-Total!AI4</f>
        <v>12275213.210628971</v>
      </c>
      <c r="U5" s="95"/>
      <c r="V5" s="85"/>
      <c r="W5" s="85"/>
      <c r="X5" s="96"/>
      <c r="Y5" s="96"/>
    </row>
    <row r="6" spans="1:32">
      <c r="A6" s="92" t="str">
        <f>Total!A5</f>
        <v>AMAZONAS ENERG</v>
      </c>
      <c r="B6" s="92">
        <f>Total!B5</f>
        <v>7019</v>
      </c>
      <c r="C6" s="93">
        <f>Total!$F$1</f>
        <v>42795</v>
      </c>
      <c r="D6" s="94">
        <f>Total!C5</f>
        <v>0</v>
      </c>
      <c r="E6" s="94">
        <f>Total!W5</f>
        <v>0</v>
      </c>
      <c r="F6" s="94">
        <f>-Total!D5</f>
        <v>0</v>
      </c>
      <c r="G6" s="94">
        <f>-Total!E5</f>
        <v>0</v>
      </c>
      <c r="H6" s="94">
        <f>-Total!F5</f>
        <v>0</v>
      </c>
      <c r="I6" s="94">
        <f>-Total!G5</f>
        <v>0</v>
      </c>
      <c r="J6" s="94">
        <f>-Total!H5-Total!I5</f>
        <v>0</v>
      </c>
      <c r="K6" s="94">
        <f>-Total!J5</f>
        <v>0</v>
      </c>
      <c r="L6" s="94">
        <f>-Total!L5</f>
        <v>0</v>
      </c>
      <c r="M6" s="94">
        <f>-Total!M5</f>
        <v>0</v>
      </c>
      <c r="N6" s="94">
        <f>-Total!N5</f>
        <v>0</v>
      </c>
      <c r="O6" s="94">
        <f>-Total!AD5</f>
        <v>0</v>
      </c>
      <c r="P6" s="94">
        <f>-Total!AE5</f>
        <v>0</v>
      </c>
      <c r="Q6" s="94">
        <f>-Total!AF5</f>
        <v>0</v>
      </c>
      <c r="R6" s="94">
        <f>-Total!AG5</f>
        <v>0</v>
      </c>
      <c r="S6" s="94">
        <f>-Total!AH5</f>
        <v>0</v>
      </c>
      <c r="T6" s="94">
        <f>-Total!AI5</f>
        <v>0</v>
      </c>
      <c r="U6" s="95"/>
      <c r="V6" s="85"/>
      <c r="W6" s="85"/>
      <c r="X6" s="96"/>
      <c r="Y6" s="96"/>
    </row>
    <row r="7" spans="1:32">
      <c r="A7" s="92" t="str">
        <f>Total!A6</f>
        <v>AMPLA</v>
      </c>
      <c r="B7" s="92">
        <f>Total!B6</f>
        <v>383</v>
      </c>
      <c r="C7" s="93">
        <f>Total!$F$1</f>
        <v>42795</v>
      </c>
      <c r="D7" s="94">
        <f>Total!C6</f>
        <v>7877392.5557629289</v>
      </c>
      <c r="E7" s="94">
        <f>Total!W6</f>
        <v>-7816906.4713270823</v>
      </c>
      <c r="F7" s="94">
        <f>-Total!D6</f>
        <v>1908285.3928729789</v>
      </c>
      <c r="G7" s="94">
        <f>-Total!E6</f>
        <v>3013544.7047840557</v>
      </c>
      <c r="H7" s="94">
        <f>-Total!F6</f>
        <v>807807.29308559746</v>
      </c>
      <c r="I7" s="94">
        <f>-Total!G6</f>
        <v>-1946982.46</v>
      </c>
      <c r="J7" s="94">
        <f>-Total!H6-Total!I6</f>
        <v>2633216.56</v>
      </c>
      <c r="K7" s="94">
        <f>-Total!J6</f>
        <v>-24550620.102618136</v>
      </c>
      <c r="L7" s="94">
        <f>-Total!L6</f>
        <v>-1590126.7340261224</v>
      </c>
      <c r="M7" s="94">
        <f>-Total!M6</f>
        <v>-20705091.486785565</v>
      </c>
      <c r="N7" s="94">
        <f>-Total!N6</f>
        <v>-10105914.266131125</v>
      </c>
      <c r="O7" s="94">
        <f>-Total!AD6</f>
        <v>60486.084435846657</v>
      </c>
      <c r="P7" s="94">
        <f>-Total!AE6</f>
        <v>0</v>
      </c>
      <c r="Q7" s="94">
        <f>-Total!AF6</f>
        <v>0</v>
      </c>
      <c r="R7" s="94">
        <f>-Total!AG6</f>
        <v>223756.71940768417</v>
      </c>
      <c r="S7" s="94">
        <f>-Total!AH6</f>
        <v>-42622495.029403701</v>
      </c>
      <c r="T7" s="94">
        <f>-Total!AI6</f>
        <v>-8197628.8732581465</v>
      </c>
      <c r="U7" s="95"/>
      <c r="V7" s="85"/>
      <c r="W7" s="85"/>
      <c r="X7" s="96"/>
      <c r="Y7" s="96"/>
    </row>
    <row r="8" spans="1:32">
      <c r="A8" s="92" t="str">
        <f>Total!A7</f>
        <v>BANDEIRANTE</v>
      </c>
      <c r="B8" s="92">
        <f>Total!B7</f>
        <v>391</v>
      </c>
      <c r="C8" s="93">
        <f>Total!$F$1</f>
        <v>42795</v>
      </c>
      <c r="D8" s="94">
        <f>Total!C7</f>
        <v>5817189.21</v>
      </c>
      <c r="E8" s="94">
        <f>Total!W7</f>
        <v>9191408.2832659259</v>
      </c>
      <c r="F8" s="94">
        <f>-Total!D7</f>
        <v>-5491034.4918537866</v>
      </c>
      <c r="G8" s="94">
        <f>-Total!E7</f>
        <v>6553793.4599353075</v>
      </c>
      <c r="H8" s="94">
        <f>-Total!F7</f>
        <v>7367443.5899999999</v>
      </c>
      <c r="I8" s="94">
        <f>-Total!G7</f>
        <v>-2131488.0299999998</v>
      </c>
      <c r="J8" s="94">
        <f>-Total!H7-Total!I7</f>
        <v>2234132.1999999997</v>
      </c>
      <c r="K8" s="94">
        <f>-Total!J7</f>
        <v>-22732438.543742608</v>
      </c>
      <c r="L8" s="94">
        <f>-Total!L7</f>
        <v>61029752.719015881</v>
      </c>
      <c r="M8" s="94">
        <f>-Total!M7</f>
        <v>-6036350.8974852171</v>
      </c>
      <c r="N8" s="94">
        <f>-Total!N7</f>
        <v>23425526.653935608</v>
      </c>
      <c r="O8" s="94">
        <f>-Total!AD7</f>
        <v>15008597.493265927</v>
      </c>
      <c r="P8" s="94">
        <f>-Total!AE7</f>
        <v>0</v>
      </c>
      <c r="Q8" s="94">
        <f>-Total!AF7</f>
        <v>0</v>
      </c>
      <c r="R8" s="94">
        <f>-Total!AG7</f>
        <v>57810904.245685264</v>
      </c>
      <c r="S8" s="94">
        <f>-Total!AH7</f>
        <v>-26534657.241227828</v>
      </c>
      <c r="T8" s="94">
        <f>-Total!AI7</f>
        <v>17934492.162081823</v>
      </c>
      <c r="U8" s="95"/>
      <c r="V8" s="85"/>
      <c r="W8" s="85"/>
      <c r="X8" s="96"/>
      <c r="Y8" s="96"/>
    </row>
    <row r="9" spans="1:32">
      <c r="A9" s="92" t="str">
        <f>Total!A8</f>
        <v>CAIUA DISTRIB</v>
      </c>
      <c r="B9" s="92">
        <f>Total!B8</f>
        <v>5216</v>
      </c>
      <c r="C9" s="93">
        <f>Total!$F$1</f>
        <v>42795</v>
      </c>
      <c r="D9" s="94">
        <f>Total!C8</f>
        <v>1163266.8199999828</v>
      </c>
      <c r="E9" s="94">
        <f>Total!W8</f>
        <v>-164222.62535807493</v>
      </c>
      <c r="F9" s="94">
        <f>-Total!D8</f>
        <v>86903.281183869854</v>
      </c>
      <c r="G9" s="94">
        <f>-Total!E8</f>
        <v>387209.7524085606</v>
      </c>
      <c r="H9" s="94">
        <f>-Total!F8</f>
        <v>823114.52</v>
      </c>
      <c r="I9" s="94">
        <f>-Total!G8</f>
        <v>-232315.07</v>
      </c>
      <c r="J9" s="94">
        <f>-Total!H8-Total!I8</f>
        <v>258529.1</v>
      </c>
      <c r="K9" s="94">
        <f>-Total!J8</f>
        <v>-2672123.9600946242</v>
      </c>
      <c r="L9" s="94">
        <f>-Total!L8</f>
        <v>1005862.6709314976</v>
      </c>
      <c r="M9" s="94">
        <f>-Total!M8</f>
        <v>-151993.21676077112</v>
      </c>
      <c r="N9" s="94">
        <f>-Total!N8</f>
        <v>4756434.4488672251</v>
      </c>
      <c r="O9" s="94">
        <f>-Total!AD8</f>
        <v>999044.19464190793</v>
      </c>
      <c r="P9" s="94">
        <f>-Total!AE8</f>
        <v>0</v>
      </c>
      <c r="Q9" s="94">
        <f>-Total!AF8</f>
        <v>-2.9103830456733704E-11</v>
      </c>
      <c r="R9" s="94">
        <f>-Total!AG8</f>
        <v>984827.67869815021</v>
      </c>
      <c r="S9" s="94">
        <f>-Total!AH8</f>
        <v>-2565588.076855395</v>
      </c>
      <c r="T9" s="94">
        <f>-Total!AI8</f>
        <v>4843337.7300510947</v>
      </c>
      <c r="U9" s="95"/>
      <c r="V9" s="85"/>
      <c r="W9" s="85"/>
      <c r="X9" s="96"/>
      <c r="Y9" s="96"/>
    </row>
    <row r="10" spans="1:32">
      <c r="A10" s="92" t="str">
        <f>Total!A9</f>
        <v>CEA</v>
      </c>
      <c r="B10" s="92">
        <f>Total!B9</f>
        <v>31</v>
      </c>
      <c r="C10" s="93">
        <f>Total!$F$1</f>
        <v>42795</v>
      </c>
      <c r="D10" s="94">
        <f>Total!C9</f>
        <v>1011611.62</v>
      </c>
      <c r="E10" s="94">
        <f>Total!W9</f>
        <v>8072679.5363159347</v>
      </c>
      <c r="F10" s="94">
        <f>-Total!D9</f>
        <v>8898865.2726145778</v>
      </c>
      <c r="G10" s="94">
        <f>-Total!E9</f>
        <v>3710985.3306289068</v>
      </c>
      <c r="H10" s="94">
        <f>-Total!F9</f>
        <v>1152355.99</v>
      </c>
      <c r="I10" s="94">
        <f>-Total!G9</f>
        <v>0</v>
      </c>
      <c r="J10" s="94">
        <f>-Total!H9-Total!I9</f>
        <v>401422.91</v>
      </c>
      <c r="K10" s="94">
        <f>-Total!J9</f>
        <v>0</v>
      </c>
      <c r="L10" s="94">
        <f>-Total!L9</f>
        <v>12396572.791362647</v>
      </c>
      <c r="M10" s="94">
        <f>-Total!M9</f>
        <v>3024922.3358007502</v>
      </c>
      <c r="N10" s="94">
        <f>-Total!N9</f>
        <v>9370475.0192557052</v>
      </c>
      <c r="O10" s="94">
        <f>-Total!AD9</f>
        <v>9084291.1563159339</v>
      </c>
      <c r="P10" s="94">
        <f>-Total!AE9</f>
        <v>9.3132257461547852E-10</v>
      </c>
      <c r="Q10" s="94">
        <f>-Total!AF9</f>
        <v>0</v>
      </c>
      <c r="R10" s="94">
        <f>-Total!AG9</f>
        <v>8175622.9556756206</v>
      </c>
      <c r="S10" s="94">
        <f>-Total!AH9</f>
        <v>3426345.2458007494</v>
      </c>
      <c r="T10" s="94">
        <f>-Total!AI9</f>
        <v>18269340.291870281</v>
      </c>
      <c r="U10" s="95"/>
      <c r="V10" s="85"/>
      <c r="W10" s="85"/>
      <c r="X10" s="96"/>
      <c r="Y10" s="96"/>
    </row>
    <row r="11" spans="1:32">
      <c r="A11" s="92" t="str">
        <f>Total!A10</f>
        <v>CEAL</v>
      </c>
      <c r="B11" s="92">
        <f>Total!B10</f>
        <v>44</v>
      </c>
      <c r="C11" s="93">
        <f>Total!$F$1</f>
        <v>42795</v>
      </c>
      <c r="D11" s="94">
        <f>Total!C10</f>
        <v>4589576.3100000005</v>
      </c>
      <c r="E11" s="94">
        <f>Total!W10</f>
        <v>5188153.6251631668</v>
      </c>
      <c r="F11" s="94">
        <f>-Total!D10</f>
        <v>9363599.0282077938</v>
      </c>
      <c r="G11" s="94">
        <f>-Total!E10</f>
        <v>9035811.460775381</v>
      </c>
      <c r="H11" s="94">
        <f>-Total!F10</f>
        <v>3789822.41</v>
      </c>
      <c r="I11" s="94">
        <f>-Total!G10</f>
        <v>0</v>
      </c>
      <c r="J11" s="94">
        <f>-Total!H10-Total!I10</f>
        <v>1009636.44</v>
      </c>
      <c r="K11" s="94">
        <f>-Total!J10</f>
        <v>-9272686.2715067919</v>
      </c>
      <c r="L11" s="94">
        <f>-Total!L10</f>
        <v>23478900.970244315</v>
      </c>
      <c r="M11" s="94">
        <f>-Total!M10</f>
        <v>538220.55698638409</v>
      </c>
      <c r="N11" s="94">
        <f>-Total!N10</f>
        <v>3916178.109682675</v>
      </c>
      <c r="O11" s="94">
        <f>-Total!AD10</f>
        <v>9777729.9351631664</v>
      </c>
      <c r="P11" s="94">
        <f>-Total!AE10</f>
        <v>0</v>
      </c>
      <c r="Q11" s="94">
        <f>-Total!AF10</f>
        <v>9.3132257461547852E-10</v>
      </c>
      <c r="R11" s="94">
        <f>-Total!AG10</f>
        <v>26526804.905856531</v>
      </c>
      <c r="S11" s="94">
        <f>-Total!AH10</f>
        <v>-7724829.2745204084</v>
      </c>
      <c r="T11" s="94">
        <f>-Total!AI10</f>
        <v>13279777.137890469</v>
      </c>
      <c r="U11" s="95"/>
      <c r="V11" s="85"/>
      <c r="W11" s="85"/>
      <c r="X11" s="96"/>
      <c r="Y11" s="96"/>
    </row>
    <row r="12" spans="1:32">
      <c r="A12" s="92" t="str">
        <f>Total!A11</f>
        <v>CEB DISTRIBUIC</v>
      </c>
      <c r="B12" s="92">
        <f>Total!B11</f>
        <v>5160</v>
      </c>
      <c r="C12" s="93">
        <f>Total!$F$1</f>
        <v>42795</v>
      </c>
      <c r="D12" s="94">
        <f>Total!C11</f>
        <v>4041038.2</v>
      </c>
      <c r="E12" s="94">
        <f>Total!W11</f>
        <v>7024397.1446767356</v>
      </c>
      <c r="F12" s="94">
        <f>-Total!D11</f>
        <v>-5928441.7665451216</v>
      </c>
      <c r="G12" s="94">
        <f>-Total!E11</f>
        <v>4082598.7307961411</v>
      </c>
      <c r="H12" s="94">
        <f>-Total!F11</f>
        <v>4329510.0999999996</v>
      </c>
      <c r="I12" s="94">
        <f>-Total!G11</f>
        <v>-1265301.95</v>
      </c>
      <c r="J12" s="94">
        <f>-Total!H11-Total!I11</f>
        <v>1604901.33</v>
      </c>
      <c r="K12" s="94">
        <f>-Total!J11</f>
        <v>-15232764.069707889</v>
      </c>
      <c r="L12" s="94">
        <f>-Total!L11</f>
        <v>39547584.815718897</v>
      </c>
      <c r="M12" s="94">
        <f>-Total!M11</f>
        <v>-2881597.8594157789</v>
      </c>
      <c r="N12" s="94">
        <f>-Total!N11</f>
        <v>23096905.365920927</v>
      </c>
      <c r="O12" s="94">
        <f>-Total!AD11</f>
        <v>11065435.344676737</v>
      </c>
      <c r="P12" s="94">
        <f>-Total!AE11</f>
        <v>0</v>
      </c>
      <c r="Q12" s="94">
        <f>-Total!AF11</f>
        <v>-9.3132257461547852E-10</v>
      </c>
      <c r="R12" s="94">
        <f>-Total!AG11</f>
        <v>35628956.351838306</v>
      </c>
      <c r="S12" s="94">
        <f>-Total!AH11</f>
        <v>-16509460.599123668</v>
      </c>
      <c r="T12" s="94">
        <f>-Total!AI11</f>
        <v>17168463.599375807</v>
      </c>
      <c r="U12" s="95"/>
      <c r="V12" s="85"/>
      <c r="W12" s="85"/>
      <c r="X12" s="96"/>
      <c r="Y12" s="96"/>
    </row>
    <row r="13" spans="1:32">
      <c r="A13" s="92" t="str">
        <f>Total!A12</f>
        <v>CEEE DISTRIB</v>
      </c>
      <c r="B13" s="92">
        <f>Total!B12</f>
        <v>5707</v>
      </c>
      <c r="C13" s="93">
        <f>Total!$F$1</f>
        <v>42795</v>
      </c>
      <c r="D13" s="94">
        <f>Total!C12</f>
        <v>6531211.54</v>
      </c>
      <c r="E13" s="94">
        <f>Total!W12</f>
        <v>1616934.824810473</v>
      </c>
      <c r="F13" s="94">
        <f>-Total!D12</f>
        <v>3043314.3722858517</v>
      </c>
      <c r="G13" s="94">
        <f>-Total!E12</f>
        <v>4471538.4651670801</v>
      </c>
      <c r="H13" s="94">
        <f>-Total!F12</f>
        <v>6303597.3700000001</v>
      </c>
      <c r="I13" s="94">
        <f>-Total!G12</f>
        <v>-1737168.06</v>
      </c>
      <c r="J13" s="94">
        <f>-Total!H12-Total!I12</f>
        <v>1954220.19</v>
      </c>
      <c r="K13" s="94">
        <f>-Total!J12</f>
        <v>-19847271.088193104</v>
      </c>
      <c r="L13" s="94">
        <f>-Total!L12</f>
        <v>43225115.905387267</v>
      </c>
      <c r="M13" s="94">
        <f>-Total!M12</f>
        <v>-5979001.0063862037</v>
      </c>
      <c r="N13" s="94">
        <f>-Total!N12</f>
        <v>3350436.7192091499</v>
      </c>
      <c r="O13" s="94">
        <f>-Total!AD12</f>
        <v>8148146.3648104733</v>
      </c>
      <c r="P13" s="94">
        <f>-Total!AE12</f>
        <v>0</v>
      </c>
      <c r="Q13" s="94">
        <f>-Total!AF12</f>
        <v>-2.3283064365386963E-10</v>
      </c>
      <c r="R13" s="94">
        <f>-Total!AG12</f>
        <v>44114937.315743871</v>
      </c>
      <c r="S13" s="94">
        <f>-Total!AH12</f>
        <v>-23872051.904579304</v>
      </c>
      <c r="T13" s="94">
        <f>-Total!AI12</f>
        <v>6393751.0914950017</v>
      </c>
      <c r="U13" s="95"/>
      <c r="V13" s="85"/>
      <c r="W13" s="85"/>
      <c r="X13" s="96"/>
      <c r="Y13" s="96"/>
    </row>
    <row r="14" spans="1:32">
      <c r="A14" s="92" t="str">
        <f>Total!A13</f>
        <v>CELESC DIST</v>
      </c>
      <c r="B14" s="92">
        <f>Total!B13</f>
        <v>5697</v>
      </c>
      <c r="C14" s="93">
        <f>Total!$F$1</f>
        <v>42795</v>
      </c>
      <c r="D14" s="94">
        <f>Total!C13</f>
        <v>11531680.909999998</v>
      </c>
      <c r="E14" s="94">
        <f>Total!W13</f>
        <v>-1659657.7960569803</v>
      </c>
      <c r="F14" s="94">
        <f>-Total!D13</f>
        <v>10055804.137433346</v>
      </c>
      <c r="G14" s="94">
        <f>-Total!E13</f>
        <v>18644918.929510135</v>
      </c>
      <c r="H14" s="94">
        <f>-Total!F13</f>
        <v>8082330.1799999997</v>
      </c>
      <c r="I14" s="94">
        <f>-Total!G13</f>
        <v>-3343779.82</v>
      </c>
      <c r="J14" s="94">
        <f>-Total!H13-Total!I13</f>
        <v>3829131.86</v>
      </c>
      <c r="K14" s="94">
        <f>-Total!J13</f>
        <v>-41078766.848494202</v>
      </c>
      <c r="L14" s="94">
        <f>-Total!L13</f>
        <v>-6598025.866567147</v>
      </c>
      <c r="M14" s="94">
        <f>-Total!M13</f>
        <v>-4728558.3814143017</v>
      </c>
      <c r="N14" s="94">
        <f>-Total!N13</f>
        <v>57125173.79056634</v>
      </c>
      <c r="O14" s="94">
        <f>-Total!AD13</f>
        <v>9872023.113943018</v>
      </c>
      <c r="P14" s="94">
        <f>-Total!AE13</f>
        <v>0</v>
      </c>
      <c r="Q14" s="94">
        <f>-Total!AF13</f>
        <v>0</v>
      </c>
      <c r="R14" s="94">
        <f>-Total!AG13</f>
        <v>6913420.3089999706</v>
      </c>
      <c r="S14" s="94">
        <f>-Total!AH13</f>
        <v>-41978193.369908504</v>
      </c>
      <c r="T14" s="94">
        <f>-Total!AI13</f>
        <v>67180977.92799969</v>
      </c>
      <c r="U14" s="95"/>
      <c r="V14" s="85"/>
      <c r="W14" s="85"/>
      <c r="X14" s="96"/>
      <c r="Y14" s="96"/>
    </row>
    <row r="15" spans="1:32">
      <c r="A15" s="92" t="str">
        <f>Total!A14</f>
        <v>CELG</v>
      </c>
      <c r="B15" s="92">
        <f>Total!B14</f>
        <v>6072</v>
      </c>
      <c r="C15" s="93">
        <f>Total!$F$1</f>
        <v>42795</v>
      </c>
      <c r="D15" s="94">
        <f>Total!C14</f>
        <v>8137887.0299999993</v>
      </c>
      <c r="E15" s="94">
        <f>Total!W14</f>
        <v>8854506.1788918693</v>
      </c>
      <c r="F15" s="94">
        <f>-Total!D14</f>
        <v>-184917.43227785372</v>
      </c>
      <c r="G15" s="94">
        <f>-Total!E14</f>
        <v>11765836.634087965</v>
      </c>
      <c r="H15" s="94">
        <f>-Total!F14</f>
        <v>9250041.7300000004</v>
      </c>
      <c r="I15" s="94">
        <f>-Total!G14</f>
        <v>-2241032.19</v>
      </c>
      <c r="J15" s="94">
        <f>-Total!H14-Total!I14</f>
        <v>2958104.11</v>
      </c>
      <c r="K15" s="94">
        <f>-Total!J14</f>
        <v>-30073633.477886818</v>
      </c>
      <c r="L15" s="94">
        <f>-Total!L14</f>
        <v>80476962.880909175</v>
      </c>
      <c r="M15" s="94">
        <f>-Total!M14</f>
        <v>-6949836.6957736313</v>
      </c>
      <c r="N15" s="94">
        <f>-Total!N14</f>
        <v>7671725.373485025</v>
      </c>
      <c r="O15" s="94">
        <f>-Total!AD14</f>
        <v>16992393.208891869</v>
      </c>
      <c r="P15" s="94">
        <f>-Total!AE14</f>
        <v>0</v>
      </c>
      <c r="Q15" s="94">
        <f>-Total!AF14</f>
        <v>0</v>
      </c>
      <c r="R15" s="94">
        <f>-Total!AG14</f>
        <v>82259415.846105278</v>
      </c>
      <c r="S15" s="94">
        <f>-Total!AH14</f>
        <v>-34065366.06366045</v>
      </c>
      <c r="T15" s="94">
        <f>-Total!AI14</f>
        <v>7486807.9412071714</v>
      </c>
      <c r="U15" s="95"/>
      <c r="V15" s="85"/>
      <c r="W15" s="85"/>
      <c r="X15" s="96"/>
      <c r="Y15" s="96"/>
    </row>
    <row r="16" spans="1:32">
      <c r="A16" s="92" t="str">
        <f>Total!A15</f>
        <v>CELPA</v>
      </c>
      <c r="B16" s="92">
        <f>Total!B15</f>
        <v>371</v>
      </c>
      <c r="C16" s="93">
        <f>Total!$F$1</f>
        <v>42795</v>
      </c>
      <c r="D16" s="94">
        <f>Total!C15</f>
        <v>6074766.0899999999</v>
      </c>
      <c r="E16" s="94">
        <f>Total!W15</f>
        <v>12058752.594268844</v>
      </c>
      <c r="F16" s="94">
        <f>-Total!D15</f>
        <v>15509721.718510214</v>
      </c>
      <c r="G16" s="94">
        <f>-Total!E15</f>
        <v>6173327.6189085133</v>
      </c>
      <c r="H16" s="94">
        <f>-Total!F15</f>
        <v>7986428.5700000003</v>
      </c>
      <c r="I16" s="94">
        <f>-Total!G15</f>
        <v>0</v>
      </c>
      <c r="J16" s="94">
        <f>-Total!H15-Total!I15</f>
        <v>2330739.4500000002</v>
      </c>
      <c r="K16" s="94">
        <f>-Total!J15</f>
        <v>-21737009.085742831</v>
      </c>
      <c r="L16" s="94">
        <f>-Total!L15</f>
        <v>34084343.126653388</v>
      </c>
      <c r="M16" s="94">
        <f>-Total!M15</f>
        <v>3645533.114166351</v>
      </c>
      <c r="N16" s="94">
        <f>-Total!N15</f>
        <v>29636954.539384164</v>
      </c>
      <c r="O16" s="94">
        <f>-Total!AD15</f>
        <v>18133518.684268843</v>
      </c>
      <c r="P16" s="94">
        <f>-Total!AE15</f>
        <v>0</v>
      </c>
      <c r="Q16" s="94">
        <f>-Total!AF15</f>
        <v>0</v>
      </c>
      <c r="R16" s="94">
        <f>-Total!AG15</f>
        <v>30110580.631293062</v>
      </c>
      <c r="S16" s="94">
        <f>-Total!AH15</f>
        <v>-15760736.521576481</v>
      </c>
      <c r="T16" s="94">
        <f>-Total!AI15</f>
        <v>45146676.257894382</v>
      </c>
      <c r="U16" s="95"/>
      <c r="V16" s="85"/>
      <c r="W16" s="85"/>
      <c r="X16" s="96"/>
      <c r="Y16" s="96"/>
    </row>
    <row r="17" spans="1:25">
      <c r="A17" s="92" t="str">
        <f>Total!A16</f>
        <v>CELPE</v>
      </c>
      <c r="B17" s="92">
        <f>Total!B16</f>
        <v>43</v>
      </c>
      <c r="C17" s="93">
        <f>Total!$F$1</f>
        <v>42795</v>
      </c>
      <c r="D17" s="94">
        <f>Total!C16</f>
        <v>10968287.940000001</v>
      </c>
      <c r="E17" s="94">
        <f>Total!W16</f>
        <v>-10901240.653016143</v>
      </c>
      <c r="F17" s="94">
        <f>-Total!D16</f>
        <v>10328325.544353606</v>
      </c>
      <c r="G17" s="94">
        <f>-Total!E16</f>
        <v>8929372.5207090024</v>
      </c>
      <c r="H17" s="94">
        <f>-Total!F16</f>
        <v>9067828.2899999991</v>
      </c>
      <c r="I17" s="94">
        <f>-Total!G16</f>
        <v>0</v>
      </c>
      <c r="J17" s="94">
        <f>-Total!H16-Total!I16</f>
        <v>2978122.1</v>
      </c>
      <c r="K17" s="94">
        <f>-Total!J16</f>
        <v>-29677865.342003778</v>
      </c>
      <c r="L17" s="94">
        <f>-Total!L16</f>
        <v>2583878.1358253211</v>
      </c>
      <c r="M17" s="94">
        <f>-Total!M16</f>
        <v>-12716240.236849938</v>
      </c>
      <c r="N17" s="94">
        <f>-Total!N16</f>
        <v>2072601.3821130246</v>
      </c>
      <c r="O17" s="94">
        <f>-Total!AD16</f>
        <v>67047.286983858794</v>
      </c>
      <c r="P17" s="94">
        <f>-Total!AE16</f>
        <v>0</v>
      </c>
      <c r="Q17" s="94">
        <f>-Total!AF16</f>
        <v>0</v>
      </c>
      <c r="R17" s="94">
        <f>-Total!AG16</f>
        <v>20514031.659550462</v>
      </c>
      <c r="S17" s="94">
        <f>-Total!AH16</f>
        <v>-39415983.478853717</v>
      </c>
      <c r="T17" s="94">
        <f>-Total!AI16</f>
        <v>12400926.926466631</v>
      </c>
      <c r="U17" s="95"/>
      <c r="V17" s="85"/>
      <c r="W17" s="85"/>
      <c r="X17" s="96"/>
      <c r="Y17" s="96"/>
    </row>
    <row r="18" spans="1:25">
      <c r="A18" s="92" t="str">
        <f>Total!A17</f>
        <v>ENERGISA TO</v>
      </c>
      <c r="B18" s="92">
        <f>Total!B17</f>
        <v>32</v>
      </c>
      <c r="C18" s="93">
        <f>Total!$F$1</f>
        <v>42795</v>
      </c>
      <c r="D18" s="94">
        <f>Total!C17</f>
        <v>1834414.4600000002</v>
      </c>
      <c r="E18" s="94">
        <f>Total!W17</f>
        <v>5012683.4682174055</v>
      </c>
      <c r="F18" s="94">
        <f>-Total!D17</f>
        <v>1217991.5057777551</v>
      </c>
      <c r="G18" s="94">
        <f>-Total!E17</f>
        <v>2635881.6393551952</v>
      </c>
      <c r="H18" s="94">
        <f>-Total!F17</f>
        <v>1535558.7699999998</v>
      </c>
      <c r="I18" s="94">
        <f>-Total!G17</f>
        <v>0</v>
      </c>
      <c r="J18" s="94">
        <f>-Total!H17-Total!I17</f>
        <v>520713.75000000006</v>
      </c>
      <c r="K18" s="94">
        <f>-Total!J17</f>
        <v>-5030658.7814182825</v>
      </c>
      <c r="L18" s="94">
        <f>-Total!L17</f>
        <v>9748225.945396902</v>
      </c>
      <c r="M18" s="94">
        <f>-Total!M17</f>
        <v>295912.76716343407</v>
      </c>
      <c r="N18" s="94">
        <f>-Total!N17</f>
        <v>18421259.686799262</v>
      </c>
      <c r="O18" s="94">
        <f>-Total!AD17</f>
        <v>6847097.9282174055</v>
      </c>
      <c r="P18" s="94">
        <f>-Total!AE17</f>
        <v>0</v>
      </c>
      <c r="Q18" s="94">
        <f>-Total!AF17</f>
        <v>0</v>
      </c>
      <c r="R18" s="94">
        <f>-Total!AG17</f>
        <v>7072568.4265346918</v>
      </c>
      <c r="S18" s="94">
        <f>-Total!AH17</f>
        <v>-4214032.2642548485</v>
      </c>
      <c r="T18" s="94">
        <f>-Total!AI17</f>
        <v>19639251.192577016</v>
      </c>
      <c r="U18" s="95"/>
      <c r="V18" s="85"/>
      <c r="W18" s="85"/>
      <c r="X18" s="96"/>
      <c r="Y18" s="96"/>
    </row>
    <row r="19" spans="1:25">
      <c r="A19" s="92" t="str">
        <f>Total!A18</f>
        <v>CEMAR</v>
      </c>
      <c r="B19" s="92">
        <f>Total!B18</f>
        <v>37</v>
      </c>
      <c r="C19" s="93">
        <f>Total!$F$1</f>
        <v>42795</v>
      </c>
      <c r="D19" s="94">
        <f>Total!C18</f>
        <v>4464808.3000000007</v>
      </c>
      <c r="E19" s="94">
        <f>Total!W18</f>
        <v>10927097.838304956</v>
      </c>
      <c r="F19" s="94">
        <f>-Total!D18</f>
        <v>10485843.495133201</v>
      </c>
      <c r="G19" s="94">
        <f>-Total!E18</f>
        <v>5590210.8231609203</v>
      </c>
      <c r="H19" s="94">
        <f>-Total!F18</f>
        <v>6026887.7000000002</v>
      </c>
      <c r="I19" s="94">
        <f>-Total!G18</f>
        <v>0</v>
      </c>
      <c r="J19" s="94">
        <f>-Total!H18-Total!I18</f>
        <v>1562113.6300000001</v>
      </c>
      <c r="K19" s="94">
        <f>-Total!J18</f>
        <v>-15294832.382553503</v>
      </c>
      <c r="L19" s="94">
        <f>-Total!L18</f>
        <v>50332869.355965197</v>
      </c>
      <c r="M19" s="94">
        <f>-Total!M18</f>
        <v>870180.08489299007</v>
      </c>
      <c r="N19" s="94">
        <f>-Total!N18</f>
        <v>6352394.0018629925</v>
      </c>
      <c r="O19" s="94">
        <f>-Total!AD18</f>
        <v>15391906.138304956</v>
      </c>
      <c r="P19" s="94">
        <f>-Total!AE18</f>
        <v>0</v>
      </c>
      <c r="Q19" s="94">
        <f>-Total!AF18</f>
        <v>0</v>
      </c>
      <c r="R19" s="94">
        <f>-Total!AG18</f>
        <v>46558061.74082116</v>
      </c>
      <c r="S19" s="94">
        <f>-Total!AH18</f>
        <v>-12862538.667660512</v>
      </c>
      <c r="T19" s="94">
        <f>-Total!AI18</f>
        <v>16838237.496996194</v>
      </c>
      <c r="U19" s="95"/>
      <c r="V19" s="85"/>
      <c r="W19" s="85"/>
      <c r="X19" s="96"/>
      <c r="Y19" s="96"/>
    </row>
    <row r="20" spans="1:25">
      <c r="A20" s="92" t="str">
        <f>Total!A19</f>
        <v>ENERGISA MT</v>
      </c>
      <c r="B20" s="92">
        <f>Total!B19</f>
        <v>405</v>
      </c>
      <c r="C20" s="93">
        <f>Total!$F$1</f>
        <v>42795</v>
      </c>
      <c r="D20" s="94">
        <f>Total!C19</f>
        <v>5832243.6600000001</v>
      </c>
      <c r="E20" s="94">
        <f>Total!W19</f>
        <v>-5802442.6570403678</v>
      </c>
      <c r="F20" s="94">
        <f>-Total!D19</f>
        <v>-1205547.07482262</v>
      </c>
      <c r="G20" s="94">
        <f>-Total!E19</f>
        <v>632266.71548641846</v>
      </c>
      <c r="H20" s="94">
        <f>-Total!F19</f>
        <v>3779416.0300000003</v>
      </c>
      <c r="I20" s="94">
        <f>-Total!G19</f>
        <v>-1180873.94</v>
      </c>
      <c r="J20" s="94">
        <f>-Total!H19-Total!I19</f>
        <v>1432383.74</v>
      </c>
      <c r="K20" s="94">
        <f>-Total!J19</f>
        <v>-16286076.432399735</v>
      </c>
      <c r="L20" s="94">
        <f>-Total!L19</f>
        <v>-1525075.5749725569</v>
      </c>
      <c r="M20" s="94">
        <f>-Total!M19</f>
        <v>-7876277.5023997333</v>
      </c>
      <c r="N20" s="94">
        <f>-Total!N19</f>
        <v>6733938.3794268034</v>
      </c>
      <c r="O20" s="94">
        <f>-Total!AD19</f>
        <v>29801.002959632315</v>
      </c>
      <c r="P20" s="94">
        <f>-Total!AE19</f>
        <v>0</v>
      </c>
      <c r="Q20" s="94">
        <f>-Total!AF19</f>
        <v>0</v>
      </c>
      <c r="R20" s="94">
        <f>-Total!AG19</f>
        <v>1675932.2275542296</v>
      </c>
      <c r="S20" s="94">
        <f>-Total!AH19</f>
        <v>-22729970.194799468</v>
      </c>
      <c r="T20" s="94">
        <f>-Total!AI19</f>
        <v>5528391.3046041839</v>
      </c>
      <c r="U20" s="95"/>
      <c r="V20" s="85"/>
      <c r="W20" s="85"/>
      <c r="X20" s="96"/>
      <c r="Y20" s="96"/>
    </row>
    <row r="21" spans="1:25">
      <c r="A21" s="92" t="str">
        <f>Total!A20</f>
        <v>CEMIG DISTRIB</v>
      </c>
      <c r="B21" s="92">
        <f>Total!B20</f>
        <v>4950</v>
      </c>
      <c r="C21" s="93">
        <f>Total!$F$1</f>
        <v>42795</v>
      </c>
      <c r="D21" s="94">
        <f>Total!C20</f>
        <v>17308076.580000006</v>
      </c>
      <c r="E21" s="94">
        <f>Total!W20</f>
        <v>-17160537.78623946</v>
      </c>
      <c r="F21" s="94">
        <f>-Total!D20</f>
        <v>2179059.2120460905</v>
      </c>
      <c r="G21" s="94">
        <f>-Total!E20</f>
        <v>19178313.193006113</v>
      </c>
      <c r="H21" s="94">
        <f>-Total!F20</f>
        <v>20902811.280000001</v>
      </c>
      <c r="I21" s="94">
        <f>-Total!G20</f>
        <v>-5607746.6100000003</v>
      </c>
      <c r="J21" s="94">
        <f>-Total!H20-Total!I20</f>
        <v>6557396.2800000003</v>
      </c>
      <c r="K21" s="94">
        <f>-Total!J20</f>
        <v>-68391487.589026734</v>
      </c>
      <c r="L21" s="94">
        <f>-Total!L20</f>
        <v>22134595.259242341</v>
      </c>
      <c r="M21" s="94">
        <f>-Total!M20</f>
        <v>-8072201.8249366023</v>
      </c>
      <c r="N21" s="94">
        <f>-Total!N20</f>
        <v>-46646735.947250694</v>
      </c>
      <c r="O21" s="94">
        <f>-Total!AD20</f>
        <v>147538.79376054555</v>
      </c>
      <c r="P21" s="94">
        <f>-Total!AE20</f>
        <v>0</v>
      </c>
      <c r="Q21" s="94">
        <f>-Total!AF20</f>
        <v>0</v>
      </c>
      <c r="R21" s="94">
        <f>-Total!AG20</f>
        <v>56460434.32848791</v>
      </c>
      <c r="S21" s="94">
        <f>-Total!AH20</f>
        <v>-69906293.133963332</v>
      </c>
      <c r="T21" s="94">
        <f>-Total!AI20</f>
        <v>-44467676.735204607</v>
      </c>
      <c r="U21" s="95"/>
      <c r="V21" s="85"/>
      <c r="W21" s="85"/>
      <c r="X21" s="96"/>
      <c r="Y21" s="96"/>
    </row>
    <row r="22" spans="1:25">
      <c r="A22" s="92" t="str">
        <f>Total!A21</f>
        <v>CEPISA</v>
      </c>
      <c r="B22" s="92">
        <f>Total!B21</f>
        <v>38</v>
      </c>
      <c r="C22" s="93">
        <f>Total!$F$1</f>
        <v>42795</v>
      </c>
      <c r="D22" s="94">
        <f>Total!C21</f>
        <v>3466186.5699999994</v>
      </c>
      <c r="E22" s="94">
        <f>Total!W21</f>
        <v>2606655.1551344008</v>
      </c>
      <c r="F22" s="94">
        <f>-Total!D21</f>
        <v>-6663506.0252126474</v>
      </c>
      <c r="G22" s="94">
        <f>-Total!E21</f>
        <v>1956526.2759205771</v>
      </c>
      <c r="H22" s="94">
        <f>-Total!F21</f>
        <v>3473604.14</v>
      </c>
      <c r="I22" s="94">
        <f>-Total!G21</f>
        <v>0</v>
      </c>
      <c r="J22" s="94">
        <f>-Total!H21-Total!I21</f>
        <v>1032900.7499999999</v>
      </c>
      <c r="K22" s="94">
        <f>-Total!J21</f>
        <v>-9280451.1012980081</v>
      </c>
      <c r="L22" s="94">
        <f>-Total!L21</f>
        <v>28927309.244854234</v>
      </c>
      <c r="M22" s="94">
        <f>-Total!M21</f>
        <v>886327.32740398357</v>
      </c>
      <c r="N22" s="94">
        <f>-Total!N21</f>
        <v>5646680.4008504702</v>
      </c>
      <c r="O22" s="94">
        <f>-Total!AD21</f>
        <v>6072841.7251344007</v>
      </c>
      <c r="P22" s="94">
        <f>-Total!AE21</f>
        <v>0</v>
      </c>
      <c r="Q22" s="94">
        <f>-Total!AF21</f>
        <v>0</v>
      </c>
      <c r="R22" s="94">
        <f>-Total!AG21</f>
        <v>28284597.93564041</v>
      </c>
      <c r="S22" s="94">
        <f>-Total!AH21</f>
        <v>-7361223.023894025</v>
      </c>
      <c r="T22" s="94">
        <f>-Total!AI21</f>
        <v>-1016825.6243621772</v>
      </c>
      <c r="U22" s="95"/>
      <c r="V22" s="85"/>
      <c r="W22" s="85"/>
      <c r="X22" s="96"/>
      <c r="Y22" s="96"/>
    </row>
    <row r="23" spans="1:25">
      <c r="A23" s="92" t="str">
        <f>Total!A22</f>
        <v>CERON</v>
      </c>
      <c r="B23" s="92">
        <f>Total!B22</f>
        <v>369</v>
      </c>
      <c r="C23" s="93">
        <f>Total!$F$1</f>
        <v>42795</v>
      </c>
      <c r="D23" s="94">
        <f>Total!C22</f>
        <v>0</v>
      </c>
      <c r="E23" s="94">
        <f>Total!W22</f>
        <v>0</v>
      </c>
      <c r="F23" s="94">
        <f>-Total!D22</f>
        <v>0</v>
      </c>
      <c r="G23" s="94">
        <f>-Total!E22</f>
        <v>0</v>
      </c>
      <c r="H23" s="94">
        <f>-Total!F22</f>
        <v>0</v>
      </c>
      <c r="I23" s="94">
        <f>-Total!G22</f>
        <v>0</v>
      </c>
      <c r="J23" s="94">
        <f>-Total!H22-Total!I22</f>
        <v>0</v>
      </c>
      <c r="K23" s="94">
        <f>-Total!J22</f>
        <v>0</v>
      </c>
      <c r="L23" s="94">
        <f>-Total!L22</f>
        <v>0</v>
      </c>
      <c r="M23" s="94">
        <f>-Total!M22</f>
        <v>0</v>
      </c>
      <c r="N23" s="94">
        <f>-Total!N22</f>
        <v>0</v>
      </c>
      <c r="O23" s="94">
        <f>-Total!AD22</f>
        <v>0</v>
      </c>
      <c r="P23" s="94">
        <f>-Total!AE22</f>
        <v>0</v>
      </c>
      <c r="Q23" s="94">
        <f>-Total!AF22</f>
        <v>0</v>
      </c>
      <c r="R23" s="94">
        <f>-Total!AG22</f>
        <v>0</v>
      </c>
      <c r="S23" s="94">
        <f>-Total!AH22</f>
        <v>0</v>
      </c>
      <c r="T23" s="94">
        <f>-Total!AI22</f>
        <v>0</v>
      </c>
      <c r="U23" s="95"/>
      <c r="V23" s="85"/>
      <c r="W23" s="85"/>
      <c r="X23" s="96"/>
      <c r="Y23" s="96"/>
    </row>
    <row r="24" spans="1:25">
      <c r="A24" s="92" t="str">
        <f>Total!A23</f>
        <v>CNEE</v>
      </c>
      <c r="B24" s="92">
        <f>Total!B23</f>
        <v>75</v>
      </c>
      <c r="C24" s="93">
        <f>Total!$F$1</f>
        <v>42795</v>
      </c>
      <c r="D24" s="94">
        <f>Total!C23</f>
        <v>533220.2599999943</v>
      </c>
      <c r="E24" s="94">
        <f>Total!W23</f>
        <v>-530057.57288772892</v>
      </c>
      <c r="F24" s="94">
        <f>-Total!D23</f>
        <v>-138534.63640632981</v>
      </c>
      <c r="G24" s="94">
        <f>-Total!E23</f>
        <v>-11861.035633242496</v>
      </c>
      <c r="H24" s="94">
        <f>-Total!F23</f>
        <v>508301.55000000005</v>
      </c>
      <c r="I24" s="94">
        <f>-Total!G23</f>
        <v>-113895.33</v>
      </c>
      <c r="J24" s="94">
        <f>-Total!H23-Total!I23</f>
        <v>146633.94</v>
      </c>
      <c r="K24" s="94">
        <f>-Total!J23</f>
        <v>-1402035.0549074362</v>
      </c>
      <c r="L24" s="94">
        <f>-Total!L23</f>
        <v>-363997.99041548441</v>
      </c>
      <c r="M24" s="94">
        <f>-Total!M23</f>
        <v>-22249.269136204617</v>
      </c>
      <c r="N24" s="94">
        <f>-Total!N23</f>
        <v>-212279.9071404617</v>
      </c>
      <c r="O24" s="94">
        <f>-Total!AD23</f>
        <v>3162.6871122653829</v>
      </c>
      <c r="P24" s="94">
        <f>-Total!AE23</f>
        <v>0</v>
      </c>
      <c r="Q24" s="94">
        <f>-Total!AF23</f>
        <v>0</v>
      </c>
      <c r="R24" s="94">
        <f>-Total!AG23</f>
        <v>15384.506839007721</v>
      </c>
      <c r="S24" s="94">
        <f>-Total!AH23</f>
        <v>-1277650.3840436409</v>
      </c>
      <c r="T24" s="94">
        <f>-Total!AI23</f>
        <v>-350814.54354679154</v>
      </c>
      <c r="U24" s="95"/>
      <c r="V24" s="85"/>
      <c r="W24" s="85"/>
      <c r="X24" s="96"/>
      <c r="Y24" s="96"/>
    </row>
    <row r="25" spans="1:25">
      <c r="A25" s="92" t="str">
        <f>Total!A24</f>
        <v>COELBA</v>
      </c>
      <c r="B25" s="92">
        <f>Total!B24</f>
        <v>47</v>
      </c>
      <c r="C25" s="93">
        <f>Total!$F$1</f>
        <v>42795</v>
      </c>
      <c r="D25" s="94">
        <f>Total!C24</f>
        <v>15439041.77999999</v>
      </c>
      <c r="E25" s="94">
        <f>Total!W24</f>
        <v>-15344495.352015786</v>
      </c>
      <c r="F25" s="94">
        <f>-Total!D24</f>
        <v>4448880.1468623402</v>
      </c>
      <c r="G25" s="94">
        <f>-Total!E24</f>
        <v>8624635.3430699408</v>
      </c>
      <c r="H25" s="94">
        <f>-Total!F24</f>
        <v>16010057.970000001</v>
      </c>
      <c r="I25" s="94">
        <f>-Total!G24</f>
        <v>0</v>
      </c>
      <c r="J25" s="94">
        <f>-Total!H24-Total!I24</f>
        <v>4329504.8600000003</v>
      </c>
      <c r="K25" s="94">
        <f>-Total!J24</f>
        <v>-43477924.533018857</v>
      </c>
      <c r="L25" s="94">
        <f>-Total!L24</f>
        <v>7045376.0802692771</v>
      </c>
      <c r="M25" s="94">
        <f>-Total!M24</f>
        <v>-18372850.863018848</v>
      </c>
      <c r="N25" s="94">
        <f>-Total!N24</f>
        <v>-55119.065421879292</v>
      </c>
      <c r="O25" s="94">
        <f>-Total!AD24</f>
        <v>94546.427984204143</v>
      </c>
      <c r="P25" s="94">
        <f>-Total!AE24</f>
        <v>0</v>
      </c>
      <c r="Q25" s="94">
        <f>-Total!AF24</f>
        <v>0</v>
      </c>
      <c r="R25" s="94">
        <f>-Total!AG24</f>
        <v>31585522.965355013</v>
      </c>
      <c r="S25" s="94">
        <f>-Total!AH24</f>
        <v>-57521270.536037706</v>
      </c>
      <c r="T25" s="94">
        <f>-Total!AI24</f>
        <v>4393761.0814404609</v>
      </c>
      <c r="U25" s="95"/>
      <c r="V25" s="85"/>
      <c r="W25" s="85"/>
      <c r="X25" s="96"/>
      <c r="Y25" s="96"/>
    </row>
    <row r="26" spans="1:25">
      <c r="A26" s="92" t="str">
        <f>Total!A25</f>
        <v>COELCE</v>
      </c>
      <c r="B26" s="92">
        <f>Total!B25</f>
        <v>39</v>
      </c>
      <c r="C26" s="93">
        <f>Total!$F$1</f>
        <v>42795</v>
      </c>
      <c r="D26" s="94">
        <f>Total!C25</f>
        <v>7303144.3687716676</v>
      </c>
      <c r="E26" s="94">
        <f>Total!W25</f>
        <v>-7254327.0162014486</v>
      </c>
      <c r="F26" s="94">
        <f>-Total!D25</f>
        <v>-9518260.6771671474</v>
      </c>
      <c r="G26" s="94">
        <f>-Total!E25</f>
        <v>3650632.8637442263</v>
      </c>
      <c r="H26" s="94">
        <f>-Total!F25</f>
        <v>7604369.9000000004</v>
      </c>
      <c r="I26" s="94">
        <f>-Total!G25</f>
        <v>0</v>
      </c>
      <c r="J26" s="94">
        <f>-Total!H25-Total!I25</f>
        <v>2555655.7199999997</v>
      </c>
      <c r="K26" s="94">
        <f>-Total!J25</f>
        <v>-25750415.493238747</v>
      </c>
      <c r="L26" s="94">
        <f>-Total!L25</f>
        <v>1706533.7777905613</v>
      </c>
      <c r="M26" s="94">
        <f>-Total!M25</f>
        <v>-20806111.108038124</v>
      </c>
      <c r="N26" s="94">
        <f>-Total!N25</f>
        <v>5534455.4536742382</v>
      </c>
      <c r="O26" s="94">
        <f>-Total!AD25</f>
        <v>48817.352570218965</v>
      </c>
      <c r="P26" s="94">
        <f>-Total!AE25</f>
        <v>0</v>
      </c>
      <c r="Q26" s="94">
        <f>-Total!AF25</f>
        <v>0</v>
      </c>
      <c r="R26" s="94">
        <f>-Total!AG25</f>
        <v>12912719.18896457</v>
      </c>
      <c r="S26" s="94">
        <f>-Total!AH25</f>
        <v>-44000870.881276876</v>
      </c>
      <c r="T26" s="94">
        <f>-Total!AI25</f>
        <v>-3983805.2234929092</v>
      </c>
      <c r="U26" s="95"/>
      <c r="V26" s="85"/>
      <c r="W26" s="85"/>
      <c r="X26" s="96"/>
      <c r="Y26" s="96"/>
    </row>
    <row r="27" spans="1:25">
      <c r="A27" s="92" t="str">
        <f>Total!A26</f>
        <v>COPEL DISTRIB</v>
      </c>
      <c r="B27" s="92">
        <f>Total!B26</f>
        <v>2866</v>
      </c>
      <c r="C27" s="93">
        <f>Total!$F$1</f>
        <v>42795</v>
      </c>
      <c r="D27" s="94">
        <f>Total!C26</f>
        <v>17601736.16</v>
      </c>
      <c r="E27" s="94">
        <f>Total!W26</f>
        <v>9780079.0889782272</v>
      </c>
      <c r="F27" s="94">
        <f>-Total!D26</f>
        <v>4165199.4393057809</v>
      </c>
      <c r="G27" s="94">
        <f>-Total!E26</f>
        <v>4316061.2132697636</v>
      </c>
      <c r="H27" s="94">
        <f>-Total!F26</f>
        <v>18225845.260000002</v>
      </c>
      <c r="I27" s="94">
        <f>-Total!G26</f>
        <v>-5046075.87</v>
      </c>
      <c r="J27" s="94">
        <f>-Total!H26-Total!I26</f>
        <v>5633910.25</v>
      </c>
      <c r="K27" s="94">
        <f>-Total!J26</f>
        <v>-58967062.852962092</v>
      </c>
      <c r="L27" s="94">
        <f>-Total!L26</f>
        <v>28629660.261617016</v>
      </c>
      <c r="M27" s="94">
        <f>-Total!M26</f>
        <v>-4347393.7678382695</v>
      </c>
      <c r="N27" s="94">
        <f>-Total!N26</f>
        <v>124421512.83133045</v>
      </c>
      <c r="O27" s="94">
        <f>-Total!AD26</f>
        <v>27381815.248978227</v>
      </c>
      <c r="P27" s="94">
        <f>-Total!AE26</f>
        <v>0</v>
      </c>
      <c r="Q27" s="94">
        <f>-Total!AF26</f>
        <v>0</v>
      </c>
      <c r="R27" s="94">
        <f>-Total!AG26</f>
        <v>18743675.615908548</v>
      </c>
      <c r="S27" s="94">
        <f>-Total!AH26</f>
        <v>-57680546.370800361</v>
      </c>
      <c r="T27" s="94">
        <f>-Total!AI26</f>
        <v>128586712.27063623</v>
      </c>
      <c r="U27" s="95"/>
      <c r="V27" s="85"/>
      <c r="W27" s="85"/>
      <c r="X27" s="96"/>
      <c r="Y27" s="96"/>
    </row>
    <row r="28" spans="1:25">
      <c r="A28" s="92" t="str">
        <f>Total!A27</f>
        <v>COSERN</v>
      </c>
      <c r="B28" s="92">
        <f>Total!B27</f>
        <v>40</v>
      </c>
      <c r="C28" s="93">
        <f>Total!$F$1</f>
        <v>42795</v>
      </c>
      <c r="D28" s="94">
        <f>Total!C27</f>
        <v>4125961.6500000008</v>
      </c>
      <c r="E28" s="94">
        <f>Total!W27</f>
        <v>-4101793.0932047418</v>
      </c>
      <c r="F28" s="94">
        <f>-Total!D27</f>
        <v>-365495.49499050609</v>
      </c>
      <c r="G28" s="94">
        <f>-Total!E27</f>
        <v>2864269.8440270452</v>
      </c>
      <c r="H28" s="94">
        <f>-Total!F27</f>
        <v>3624697.71</v>
      </c>
      <c r="I28" s="94">
        <f>-Total!G27</f>
        <v>0</v>
      </c>
      <c r="J28" s="94">
        <f>-Total!H27-Total!I27</f>
        <v>1129778.3800000001</v>
      </c>
      <c r="K28" s="94">
        <f>-Total!J27</f>
        <v>-11816030.283824295</v>
      </c>
      <c r="L28" s="94">
        <f>-Total!L27</f>
        <v>-45086.972118213773</v>
      </c>
      <c r="M28" s="94">
        <f>-Total!M27</f>
        <v>-5239666.0538242953</v>
      </c>
      <c r="N28" s="94">
        <f>-Total!N27</f>
        <v>612966.27778082341</v>
      </c>
      <c r="O28" s="94">
        <f>-Total!AD27</f>
        <v>24168.556795259006</v>
      </c>
      <c r="P28" s="94">
        <f>-Total!AE27</f>
        <v>0</v>
      </c>
      <c r="Q28" s="94">
        <f>-Total!AF27</f>
        <v>0</v>
      </c>
      <c r="R28" s="94">
        <f>-Total!AG27</f>
        <v>6419712.0251135724</v>
      </c>
      <c r="S28" s="94">
        <f>-Total!AH27</f>
        <v>-15925917.95764859</v>
      </c>
      <c r="T28" s="94">
        <f>-Total!AI27</f>
        <v>247470.78279031732</v>
      </c>
      <c r="U28" s="95"/>
      <c r="V28" s="85"/>
      <c r="W28" s="85"/>
      <c r="X28" s="96"/>
      <c r="Y28" s="96"/>
    </row>
    <row r="29" spans="1:25">
      <c r="A29" s="92" t="str">
        <f>Total!A28</f>
        <v>CPFL JAGUARI</v>
      </c>
      <c r="B29" s="92">
        <f>Total!B28</f>
        <v>69</v>
      </c>
      <c r="C29" s="93">
        <f>Total!$F$1</f>
        <v>42795</v>
      </c>
      <c r="D29" s="94">
        <f>Total!C28</f>
        <v>378323.4</v>
      </c>
      <c r="E29" s="94">
        <f>Total!W28</f>
        <v>-376284.25681313715</v>
      </c>
      <c r="F29" s="94">
        <f>-Total!D28</f>
        <v>-232650.47339966998</v>
      </c>
      <c r="G29" s="94">
        <f>-Total!E28</f>
        <v>222977.12254272558</v>
      </c>
      <c r="H29" s="94">
        <f>-Total!F28</f>
        <v>117077.66427832571</v>
      </c>
      <c r="I29" s="94">
        <f>-Total!G28</f>
        <v>-98104.91</v>
      </c>
      <c r="J29" s="94">
        <f>-Total!H28-Total!I28</f>
        <v>98972.04</v>
      </c>
      <c r="K29" s="94">
        <f>-Total!J28</f>
        <v>-1095485.9854239947</v>
      </c>
      <c r="L29" s="94">
        <f>-Total!L28</f>
        <v>74544.767181732692</v>
      </c>
      <c r="M29" s="94">
        <f>-Total!M28</f>
        <v>-1075131.2823949642</v>
      </c>
      <c r="N29" s="94">
        <f>-Total!N28</f>
        <v>97748.137109687028</v>
      </c>
      <c r="O29" s="94">
        <f>-Total!AD28</f>
        <v>2039.1431868628715</v>
      </c>
      <c r="P29" s="94">
        <f>-Total!AE28</f>
        <v>0</v>
      </c>
      <c r="Q29" s="94">
        <f>-Total!AF28</f>
        <v>0</v>
      </c>
      <c r="R29" s="94">
        <f>-Total!AG28</f>
        <v>314455.50081592106</v>
      </c>
      <c r="S29" s="94">
        <f>-Total!AH28</f>
        <v>-2071645.2278189589</v>
      </c>
      <c r="T29" s="94">
        <f>-Total!AI28</f>
        <v>-134902.33628998295</v>
      </c>
      <c r="U29" s="95"/>
      <c r="V29" s="85"/>
      <c r="W29" s="85"/>
      <c r="X29" s="96"/>
      <c r="Y29" s="96"/>
    </row>
    <row r="30" spans="1:25">
      <c r="A30" s="92" t="str">
        <f>Total!A29</f>
        <v>CPFL LESTE PTA</v>
      </c>
      <c r="B30" s="92">
        <f>Total!B29</f>
        <v>71</v>
      </c>
      <c r="C30" s="93">
        <f>Total!$F$1</f>
        <v>42795</v>
      </c>
      <c r="D30" s="94">
        <f>Total!C29</f>
        <v>235231.85</v>
      </c>
      <c r="E30" s="94">
        <f>Total!W29</f>
        <v>-233742.06259529464</v>
      </c>
      <c r="F30" s="94">
        <f>-Total!D29</f>
        <v>-251084.48725284034</v>
      </c>
      <c r="G30" s="94">
        <f>-Total!E29</f>
        <v>106623.83547047245</v>
      </c>
      <c r="H30" s="94">
        <f>-Total!F29</f>
        <v>41318.361333987094</v>
      </c>
      <c r="I30" s="94">
        <f>-Total!G29</f>
        <v>-63713.25</v>
      </c>
      <c r="J30" s="94">
        <f>-Total!H29-Total!I29</f>
        <v>66840.86</v>
      </c>
      <c r="K30" s="94">
        <f>-Total!J29</f>
        <v>-699210.54392546706</v>
      </c>
      <c r="L30" s="94">
        <f>-Total!L29</f>
        <v>109217.81388114531</v>
      </c>
      <c r="M30" s="94">
        <f>-Total!M29</f>
        <v>-606223.05161240487</v>
      </c>
      <c r="N30" s="94">
        <f>-Total!N29</f>
        <v>69280.501766758956</v>
      </c>
      <c r="O30" s="94">
        <f>-Total!AD29</f>
        <v>1489.7874047053629</v>
      </c>
      <c r="P30" s="94">
        <f>-Total!AE29</f>
        <v>0</v>
      </c>
      <c r="Q30" s="94">
        <f>-Total!AF29</f>
        <v>0</v>
      </c>
      <c r="R30" s="94">
        <f>-Total!AG29</f>
        <v>191956.97328089952</v>
      </c>
      <c r="S30" s="94">
        <f>-Total!AH29</f>
        <v>-1238592.735537872</v>
      </c>
      <c r="T30" s="94">
        <f>-Total!AI29</f>
        <v>-181803.98548608139</v>
      </c>
      <c r="U30" s="95"/>
      <c r="V30" s="85"/>
      <c r="W30" s="85"/>
      <c r="X30" s="96"/>
      <c r="Y30" s="96"/>
    </row>
    <row r="31" spans="1:25">
      <c r="A31" s="92" t="str">
        <f>Total!A30</f>
        <v>CPFL MOCOCA</v>
      </c>
      <c r="B31" s="92">
        <f>Total!B30</f>
        <v>70</v>
      </c>
      <c r="C31" s="93">
        <f>Total!$F$1</f>
        <v>42795</v>
      </c>
      <c r="D31" s="94">
        <f>Total!C30</f>
        <v>178387.05000000002</v>
      </c>
      <c r="E31" s="94">
        <f>Total!W30</f>
        <v>-177315.81389314757</v>
      </c>
      <c r="F31" s="94">
        <f>-Total!D30</f>
        <v>-148815.19956483605</v>
      </c>
      <c r="G31" s="94">
        <f>-Total!E30</f>
        <v>44591.952713979117</v>
      </c>
      <c r="H31" s="94">
        <f>-Total!F30</f>
        <v>19861.482903210366</v>
      </c>
      <c r="I31" s="94">
        <f>-Total!G30</f>
        <v>-47967.09</v>
      </c>
      <c r="J31" s="94">
        <f>-Total!H30-Total!I30</f>
        <v>46273.500000000007</v>
      </c>
      <c r="K31" s="94">
        <f>-Total!J30</f>
        <v>-494752.21107152267</v>
      </c>
      <c r="L31" s="94">
        <f>-Total!L30</f>
        <v>48543.697912574942</v>
      </c>
      <c r="M31" s="94">
        <f>-Total!M30</f>
        <v>-433723.01765958237</v>
      </c>
      <c r="N31" s="94">
        <f>-Total!N30</f>
        <v>19854.079869171761</v>
      </c>
      <c r="O31" s="94">
        <f>-Total!AD30</f>
        <v>1071.2361068524478</v>
      </c>
      <c r="P31" s="94">
        <f>-Total!AE30</f>
        <v>0</v>
      </c>
      <c r="Q31" s="94">
        <f>-Total!AF30</f>
        <v>0</v>
      </c>
      <c r="R31" s="94">
        <f>-Total!AG30</f>
        <v>63958.807422911981</v>
      </c>
      <c r="S31" s="94">
        <f>-Total!AH30</f>
        <v>-882201.7287311051</v>
      </c>
      <c r="T31" s="94">
        <f>-Total!AI30</f>
        <v>-128961.11969566428</v>
      </c>
      <c r="U31" s="95"/>
      <c r="V31" s="85"/>
      <c r="W31" s="85"/>
      <c r="X31" s="96"/>
      <c r="Y31" s="96"/>
    </row>
    <row r="32" spans="1:25">
      <c r="A32" s="92" t="str">
        <f>Total!A31</f>
        <v>CPFL PAULISTA</v>
      </c>
      <c r="B32" s="92">
        <f>Total!B31</f>
        <v>63</v>
      </c>
      <c r="C32" s="93">
        <f>Total!$F$1</f>
        <v>42795</v>
      </c>
      <c r="D32" s="94">
        <f>Total!C31</f>
        <v>16870068.890000001</v>
      </c>
      <c r="E32" s="94">
        <f>Total!W31</f>
        <v>-16756159.311380647</v>
      </c>
      <c r="F32" s="94">
        <f>-Total!D31</f>
        <v>-4360226.3204319524</v>
      </c>
      <c r="G32" s="94">
        <f>-Total!E31</f>
        <v>12853945.457853705</v>
      </c>
      <c r="H32" s="94">
        <f>-Total!F31</f>
        <v>14911130.07</v>
      </c>
      <c r="I32" s="94">
        <f>-Total!G31</f>
        <v>-4782794.6900000004</v>
      </c>
      <c r="J32" s="94">
        <f>-Total!H31-Total!I31</f>
        <v>5173206.05</v>
      </c>
      <c r="K32" s="94">
        <f>-Total!J31</f>
        <v>-54436598.629662164</v>
      </c>
      <c r="L32" s="94">
        <f>-Total!L31</f>
        <v>-5429485.722600013</v>
      </c>
      <c r="M32" s="94">
        <f>-Total!M31</f>
        <v>-25016830.929662168</v>
      </c>
      <c r="N32" s="94">
        <f>-Total!N31</f>
        <v>8328482.1397282034</v>
      </c>
      <c r="O32" s="94">
        <f>-Total!AD31</f>
        <v>113909.57861935347</v>
      </c>
      <c r="P32" s="94">
        <f>-Total!AE31</f>
        <v>0</v>
      </c>
      <c r="Q32" s="94">
        <f>-Total!AF31</f>
        <v>0</v>
      </c>
      <c r="R32" s="94">
        <f>-Total!AG31</f>
        <v>17438885.536634337</v>
      </c>
      <c r="S32" s="94">
        <f>-Total!AH31</f>
        <v>-74280223.509324342</v>
      </c>
      <c r="T32" s="94">
        <f>-Total!AI31</f>
        <v>3968255.8192962511</v>
      </c>
      <c r="U32" s="95"/>
      <c r="V32" s="85"/>
      <c r="W32" s="85"/>
      <c r="X32" s="96"/>
      <c r="Y32" s="96"/>
    </row>
    <row r="33" spans="1:25">
      <c r="A33" s="92" t="str">
        <f>Total!A32</f>
        <v>CPFL PIRATINGA</v>
      </c>
      <c r="B33" s="92">
        <f>Total!B32</f>
        <v>2937</v>
      </c>
      <c r="C33" s="93">
        <f>Total!$F$1</f>
        <v>42795</v>
      </c>
      <c r="D33" s="94">
        <f>Total!C32</f>
        <v>6907095.8000000007</v>
      </c>
      <c r="E33" s="94">
        <f>Total!W32</f>
        <v>10013085.507605096</v>
      </c>
      <c r="F33" s="94">
        <f>-Total!D32</f>
        <v>-7466230.7912679585</v>
      </c>
      <c r="G33" s="94">
        <f>-Total!E32</f>
        <v>9343769.6101109385</v>
      </c>
      <c r="H33" s="94">
        <f>-Total!F32</f>
        <v>4996625.2</v>
      </c>
      <c r="I33" s="94">
        <f>-Total!G32</f>
        <v>-2060851.88</v>
      </c>
      <c r="J33" s="94">
        <f>-Total!H32-Total!I32</f>
        <v>2218640.38</v>
      </c>
      <c r="K33" s="94">
        <f>-Total!J32</f>
        <v>-22229714.570259925</v>
      </c>
      <c r="L33" s="94">
        <f>-Total!L32</f>
        <v>40794671.918269634</v>
      </c>
      <c r="M33" s="94">
        <f>-Total!M32</f>
        <v>-6696810.0905198492</v>
      </c>
      <c r="N33" s="94">
        <f>-Total!N32</f>
        <v>53522641.853068039</v>
      </c>
      <c r="O33" s="94">
        <f>-Total!AD32</f>
        <v>16920181.307605095</v>
      </c>
      <c r="P33" s="94">
        <f>-Total!AE32</f>
        <v>0</v>
      </c>
      <c r="Q33" s="94">
        <f>-Total!AF32</f>
        <v>1.862645149230957E-9</v>
      </c>
      <c r="R33" s="94">
        <f>-Total!AG32</f>
        <v>36154033.540775478</v>
      </c>
      <c r="S33" s="94">
        <f>-Total!AH32</f>
        <v>-26707884.280779775</v>
      </c>
      <c r="T33" s="94">
        <f>-Total!AI32</f>
        <v>46056411.061800078</v>
      </c>
      <c r="U33" s="95"/>
      <c r="V33" s="85"/>
      <c r="W33" s="85"/>
      <c r="X33" s="96"/>
      <c r="Y33" s="96"/>
    </row>
    <row r="34" spans="1:25">
      <c r="A34" s="92" t="str">
        <f>Total!A33</f>
        <v>CPFL STA CRUZ</v>
      </c>
      <c r="B34" s="92">
        <f>Total!B33</f>
        <v>72</v>
      </c>
      <c r="C34" s="93">
        <f>Total!$F$1</f>
        <v>42795</v>
      </c>
      <c r="D34" s="94">
        <f>Total!C33</f>
        <v>759854.72999999986</v>
      </c>
      <c r="E34" s="94">
        <f>Total!W33</f>
        <v>-754552.23538310849</v>
      </c>
      <c r="F34" s="94">
        <f>-Total!D33</f>
        <v>72220.719201450469</v>
      </c>
      <c r="G34" s="94">
        <f>-Total!E33</f>
        <v>464751.98083937558</v>
      </c>
      <c r="H34" s="94">
        <f>-Total!F33</f>
        <v>378499.21591415815</v>
      </c>
      <c r="I34" s="94">
        <f>-Total!G33</f>
        <v>-196662.64</v>
      </c>
      <c r="J34" s="94">
        <f>-Total!H33-Total!I33</f>
        <v>241000.95999999999</v>
      </c>
      <c r="K34" s="94">
        <f>-Total!J33</f>
        <v>-2338113.8746864013</v>
      </c>
      <c r="L34" s="94">
        <f>-Total!L33</f>
        <v>-822050.2156067912</v>
      </c>
      <c r="M34" s="94">
        <f>-Total!M33</f>
        <v>-1935228.4210735813</v>
      </c>
      <c r="N34" s="94">
        <f>-Total!N33</f>
        <v>236011.01100584262</v>
      </c>
      <c r="O34" s="94">
        <f>-Total!AD33</f>
        <v>0</v>
      </c>
      <c r="P34" s="94">
        <f>-Total!AE33</f>
        <v>0</v>
      </c>
      <c r="Q34" s="94">
        <f>-Total!AF33</f>
        <v>5302.4946168913739</v>
      </c>
      <c r="R34" s="94">
        <f>-Total!AG33</f>
        <v>-175461.65885325742</v>
      </c>
      <c r="S34" s="94">
        <f>-Total!AH33</f>
        <v>-4032341.3357599825</v>
      </c>
      <c r="T34" s="94">
        <f>-Total!AI33</f>
        <v>302929.23559040169</v>
      </c>
      <c r="U34" s="95"/>
      <c r="V34" s="85"/>
      <c r="W34" s="85"/>
      <c r="X34" s="96"/>
      <c r="Y34" s="96"/>
    </row>
    <row r="35" spans="1:25">
      <c r="A35" s="92" t="str">
        <f>Total!A34</f>
        <v>CPFL SUL PTA</v>
      </c>
      <c r="B35" s="92">
        <f>Total!B34</f>
        <v>73</v>
      </c>
      <c r="C35" s="93">
        <f>Total!$F$1</f>
        <v>42795</v>
      </c>
      <c r="D35" s="94">
        <f>Total!C34</f>
        <v>385081.43</v>
      </c>
      <c r="E35" s="94">
        <f>Total!W34</f>
        <v>-382906.48535711406</v>
      </c>
      <c r="F35" s="94">
        <f>-Total!D34</f>
        <v>-403444.54432397243</v>
      </c>
      <c r="G35" s="94">
        <f>-Total!E34</f>
        <v>209002.27897666383</v>
      </c>
      <c r="H35" s="94">
        <f>-Total!F34</f>
        <v>36281.787006714658</v>
      </c>
      <c r="I35" s="94">
        <f>-Total!G34</f>
        <v>-85659.64</v>
      </c>
      <c r="J35" s="94">
        <f>-Total!H34-Total!I34</f>
        <v>89467.530000000013</v>
      </c>
      <c r="K35" s="94">
        <f>-Total!J34</f>
        <v>-948914.22876810632</v>
      </c>
      <c r="L35" s="94">
        <f>-Total!L34</f>
        <v>253482.11692148753</v>
      </c>
      <c r="M35" s="94">
        <f>-Total!M34</f>
        <v>-822188.8150889487</v>
      </c>
      <c r="N35" s="94">
        <f>-Total!N34</f>
        <v>60557.925226457548</v>
      </c>
      <c r="O35" s="94">
        <f>-Total!AD34</f>
        <v>2174.9446428859374</v>
      </c>
      <c r="P35" s="94">
        <f>-Total!AE34</f>
        <v>0</v>
      </c>
      <c r="Q35" s="94">
        <f>-Total!AF34</f>
        <v>0</v>
      </c>
      <c r="R35" s="94">
        <f>-Total!AG34</f>
        <v>410931.59826198011</v>
      </c>
      <c r="S35" s="94">
        <f>-Total!AH34</f>
        <v>-1681635.513857055</v>
      </c>
      <c r="T35" s="94">
        <f>-Total!AI34</f>
        <v>-342886.61909751489</v>
      </c>
      <c r="U35" s="95"/>
      <c r="V35" s="85"/>
      <c r="W35" s="85"/>
      <c r="X35" s="96"/>
      <c r="Y35" s="96"/>
    </row>
    <row r="36" spans="1:25">
      <c r="A36" s="92" t="str">
        <f>Total!A35</f>
        <v>DMED</v>
      </c>
      <c r="B36" s="92">
        <f>Total!B35</f>
        <v>51</v>
      </c>
      <c r="C36" s="93">
        <f>Total!$F$1</f>
        <v>42795</v>
      </c>
      <c r="D36" s="94">
        <f>Total!C35</f>
        <v>260943</v>
      </c>
      <c r="E36" s="94">
        <f>Total!W35</f>
        <v>-259565.62648366042</v>
      </c>
      <c r="F36" s="94">
        <f>-Total!D35</f>
        <v>-1297559.274564605</v>
      </c>
      <c r="G36" s="94">
        <f>-Total!E35</f>
        <v>2182.7266553171053</v>
      </c>
      <c r="H36" s="94">
        <f>-Total!F35</f>
        <v>233583.58000000002</v>
      </c>
      <c r="I36" s="94">
        <f>-Total!G35</f>
        <v>-88937.33</v>
      </c>
      <c r="J36" s="94">
        <f>-Total!H35-Total!I35</f>
        <v>65128.09</v>
      </c>
      <c r="K36" s="94">
        <f>-Total!J35</f>
        <v>-872373.86401763838</v>
      </c>
      <c r="L36" s="94">
        <f>-Total!L35</f>
        <v>1859490.1303968178</v>
      </c>
      <c r="M36" s="94">
        <f>-Total!M35</f>
        <v>-568739.44803527696</v>
      </c>
      <c r="N36" s="94">
        <f>-Total!N35</f>
        <v>-314163.42168177478</v>
      </c>
      <c r="O36" s="94">
        <f>-Total!AD35</f>
        <v>1377.3735163395759</v>
      </c>
      <c r="P36" s="94">
        <f>-Total!AE35</f>
        <v>0</v>
      </c>
      <c r="Q36" s="94">
        <f>-Total!AF35</f>
        <v>0</v>
      </c>
      <c r="R36" s="94">
        <f>-Total!AG35</f>
        <v>2004941.7335357952</v>
      </c>
      <c r="S36" s="94">
        <f>-Total!AH35</f>
        <v>-1375985.2220529155</v>
      </c>
      <c r="T36" s="94">
        <f>-Total!AI35</f>
        <v>-1611722.6962463798</v>
      </c>
      <c r="U36" s="95"/>
      <c r="V36" s="85"/>
      <c r="W36" s="85"/>
      <c r="X36" s="96"/>
      <c r="Y36" s="96"/>
    </row>
    <row r="37" spans="1:25">
      <c r="A37" s="92" t="str">
        <f>Total!A36</f>
        <v>EEB</v>
      </c>
      <c r="B37" s="92">
        <f>Total!B36</f>
        <v>386</v>
      </c>
      <c r="C37" s="93">
        <f>Total!$F$1</f>
        <v>42795</v>
      </c>
      <c r="D37" s="94">
        <f>Total!C36</f>
        <v>621637.06999999401</v>
      </c>
      <c r="E37" s="94">
        <f>Total!W36</f>
        <v>676833.87251057266</v>
      </c>
      <c r="F37" s="94">
        <f>-Total!D36</f>
        <v>-497049.71615310607</v>
      </c>
      <c r="G37" s="94">
        <f>-Total!E36</f>
        <v>428077.58052609325</v>
      </c>
      <c r="H37" s="94">
        <f>-Total!F36</f>
        <v>393067.17</v>
      </c>
      <c r="I37" s="94">
        <f>-Total!G36</f>
        <v>-155202.89000000001</v>
      </c>
      <c r="J37" s="94">
        <f>-Total!H36-Total!I36</f>
        <v>165810.91</v>
      </c>
      <c r="K37" s="94">
        <f>-Total!J36</f>
        <v>-1724233.5201124009</v>
      </c>
      <c r="L37" s="94">
        <f>-Total!L36</f>
        <v>1153988.6375993912</v>
      </c>
      <c r="M37" s="94">
        <f>-Total!M36</f>
        <v>-330535.95033408399</v>
      </c>
      <c r="N37" s="94">
        <f>-Total!N36</f>
        <v>6124725.5636361297</v>
      </c>
      <c r="O37" s="94">
        <f>-Total!AD36</f>
        <v>1298470.9425105667</v>
      </c>
      <c r="P37" s="94">
        <f>-Total!AE36</f>
        <v>0</v>
      </c>
      <c r="Q37" s="94">
        <f>-Total!AF36</f>
        <v>0</v>
      </c>
      <c r="R37" s="94">
        <f>-Total!AG36</f>
        <v>521459.55561491754</v>
      </c>
      <c r="S37" s="94">
        <f>-Total!AH36</f>
        <v>-1888958.5604464849</v>
      </c>
      <c r="T37" s="94">
        <f>-Total!AI36</f>
        <v>5627675.847483024</v>
      </c>
      <c r="U37" s="95"/>
      <c r="V37" s="85"/>
      <c r="W37" s="85"/>
      <c r="X37" s="96"/>
      <c r="Y37" s="96"/>
    </row>
    <row r="38" spans="1:25">
      <c r="A38" s="92" t="str">
        <f>Total!A37</f>
        <v>ELEKTRO</v>
      </c>
      <c r="B38" s="92">
        <f>Total!B37</f>
        <v>385</v>
      </c>
      <c r="C38" s="93">
        <f>Total!$F$1</f>
        <v>42795</v>
      </c>
      <c r="D38" s="94">
        <f>Total!C37</f>
        <v>7673069.2199999988</v>
      </c>
      <c r="E38" s="94">
        <f>Total!W37</f>
        <v>11191098.800931541</v>
      </c>
      <c r="F38" s="94">
        <f>-Total!D37</f>
        <v>-5205134.3636380928</v>
      </c>
      <c r="G38" s="94">
        <f>-Total!E37</f>
        <v>5868854.3033615667</v>
      </c>
      <c r="H38" s="94">
        <f>-Total!F37</f>
        <v>8970407.0199999996</v>
      </c>
      <c r="I38" s="94">
        <f>-Total!G37</f>
        <v>-2761214.04</v>
      </c>
      <c r="J38" s="94">
        <f>-Total!H37-Total!I37</f>
        <v>3007712.62</v>
      </c>
      <c r="K38" s="94">
        <f>-Total!J37</f>
        <v>-30410794.640814885</v>
      </c>
      <c r="L38" s="94">
        <f>-Total!L37</f>
        <v>21833270.73022506</v>
      </c>
      <c r="M38" s="94">
        <f>-Total!M37</f>
        <v>-3614531.8969797567</v>
      </c>
      <c r="N38" s="94">
        <f>-Total!N37</f>
        <v>83012631.720100254</v>
      </c>
      <c r="O38" s="94">
        <f>-Total!AD37</f>
        <v>18864168.020931542</v>
      </c>
      <c r="P38" s="94">
        <f>-Total!AE37</f>
        <v>0</v>
      </c>
      <c r="Q38" s="94">
        <f>-Total!AF37</f>
        <v>-1.862645149230957E-9</v>
      </c>
      <c r="R38" s="94">
        <f>-Total!AG37</f>
        <v>15047149.992655084</v>
      </c>
      <c r="S38" s="94">
        <f>-Total!AH37</f>
        <v>-31017613.917794641</v>
      </c>
      <c r="T38" s="94">
        <f>-Total!AI37</f>
        <v>77807497.356462166</v>
      </c>
      <c r="U38" s="95"/>
      <c r="V38" s="85"/>
      <c r="W38" s="85"/>
      <c r="X38" s="96"/>
      <c r="Y38" s="96"/>
    </row>
    <row r="39" spans="1:25">
      <c r="A39" s="92" t="str">
        <f>Total!A38</f>
        <v>ELETROACRE</v>
      </c>
      <c r="B39" s="92">
        <f>Total!B38</f>
        <v>26</v>
      </c>
      <c r="C39" s="93">
        <f>Total!$F$1</f>
        <v>42795</v>
      </c>
      <c r="D39" s="94">
        <f>Total!C38</f>
        <v>1119423.3699999999</v>
      </c>
      <c r="E39" s="94">
        <f>Total!W38</f>
        <v>-1114653.6290498741</v>
      </c>
      <c r="F39" s="94">
        <f>-Total!D38</f>
        <v>-3899731.2842879281</v>
      </c>
      <c r="G39" s="94">
        <f>-Total!E38</f>
        <v>29056.128938240279</v>
      </c>
      <c r="H39" s="94">
        <f>-Total!F38</f>
        <v>970414.39999999991</v>
      </c>
      <c r="I39" s="94">
        <f>-Total!G38</f>
        <v>0</v>
      </c>
      <c r="J39" s="94">
        <f>-Total!H38-Total!I38</f>
        <v>318481.07</v>
      </c>
      <c r="K39" s="94">
        <f>-Total!J38</f>
        <v>-2308882.8003612175</v>
      </c>
      <c r="L39" s="94">
        <f>-Total!L38</f>
        <v>9824232.9735325743</v>
      </c>
      <c r="M39" s="94">
        <f>-Total!M38</f>
        <v>77850.929277565214</v>
      </c>
      <c r="N39" s="94">
        <f>-Total!N38</f>
        <v>-9928263.1576552782</v>
      </c>
      <c r="O39" s="94">
        <f>-Total!AD38</f>
        <v>4769.7409501257353</v>
      </c>
      <c r="P39" s="94">
        <f>-Total!AE38</f>
        <v>0</v>
      </c>
      <c r="Q39" s="94">
        <f>-Total!AF38</f>
        <v>0</v>
      </c>
      <c r="R39" s="94">
        <f>-Total!AG38</f>
        <v>10818933.761520687</v>
      </c>
      <c r="S39" s="94">
        <f>-Total!AH38</f>
        <v>-1912550.8010836523</v>
      </c>
      <c r="T39" s="94">
        <f>-Total!AI38</f>
        <v>-13827994.441943206</v>
      </c>
      <c r="U39" s="95"/>
      <c r="V39" s="85"/>
      <c r="W39" s="85"/>
      <c r="X39" s="96"/>
      <c r="Y39" s="96"/>
    </row>
    <row r="40" spans="1:25">
      <c r="A40" s="92" t="str">
        <f>Total!A39</f>
        <v>ELETROPAULO</v>
      </c>
      <c r="B40" s="92">
        <f>Total!B39</f>
        <v>390</v>
      </c>
      <c r="C40" s="93">
        <f>Total!$F$1</f>
        <v>42795</v>
      </c>
      <c r="D40" s="94">
        <f>Total!C39</f>
        <v>24081905.580000002</v>
      </c>
      <c r="E40" s="94">
        <f>Total!W39</f>
        <v>11403084.46209462</v>
      </c>
      <c r="F40" s="94">
        <f>-Total!D39</f>
        <v>263827.02919302171</v>
      </c>
      <c r="G40" s="94">
        <f>-Total!E39</f>
        <v>27472451.913494766</v>
      </c>
      <c r="H40" s="94">
        <f>-Total!F39</f>
        <v>26310179.890000001</v>
      </c>
      <c r="I40" s="94">
        <f>-Total!G39</f>
        <v>-8409463.4900000002</v>
      </c>
      <c r="J40" s="94">
        <f>-Total!H39-Total!I39</f>
        <v>8512156.709999999</v>
      </c>
      <c r="K40" s="94">
        <f>-Total!J39</f>
        <v>-89289568.931282923</v>
      </c>
      <c r="L40" s="94">
        <f>-Total!L39</f>
        <v>102253529.24176045</v>
      </c>
      <c r="M40" s="94">
        <f>-Total!M39</f>
        <v>-1920503.0628173277</v>
      </c>
      <c r="N40" s="94">
        <f>-Total!N39</f>
        <v>86326177.74795188</v>
      </c>
      <c r="O40" s="94">
        <f>-Total!AD39</f>
        <v>35484990.042094618</v>
      </c>
      <c r="P40" s="94">
        <f>-Total!AE39</f>
        <v>0</v>
      </c>
      <c r="Q40" s="94">
        <f>-Total!AF39</f>
        <v>3.7252902984619141E-9</v>
      </c>
      <c r="R40" s="94">
        <f>-Total!AG39</f>
        <v>112141707.51316059</v>
      </c>
      <c r="S40" s="94">
        <f>-Total!AH39</f>
        <v>-82697915.284100264</v>
      </c>
      <c r="T40" s="94">
        <f>-Total!AI39</f>
        <v>86590004.777144909</v>
      </c>
      <c r="U40" s="95"/>
      <c r="V40" s="85"/>
      <c r="W40" s="85"/>
      <c r="X40" s="96"/>
      <c r="Y40" s="96"/>
    </row>
    <row r="41" spans="1:25">
      <c r="A41" s="92" t="str">
        <f>Total!A40</f>
        <v>ENERGISA BO</v>
      </c>
      <c r="B41" s="92">
        <f>Total!B40</f>
        <v>6611</v>
      </c>
      <c r="C41" s="93">
        <f>Total!$F$1</f>
        <v>42795</v>
      </c>
      <c r="D41" s="94">
        <f>Total!C40</f>
        <v>582347.32000000007</v>
      </c>
      <c r="E41" s="94">
        <f>Total!W40</f>
        <v>-452842.23472025781</v>
      </c>
      <c r="F41" s="94">
        <f>-Total!D40</f>
        <v>-800707.03338691615</v>
      </c>
      <c r="G41" s="94">
        <f>-Total!E40</f>
        <v>382582.98775300256</v>
      </c>
      <c r="H41" s="94">
        <f>-Total!F40</f>
        <v>588640.97</v>
      </c>
      <c r="I41" s="94">
        <f>-Total!G40</f>
        <v>0</v>
      </c>
      <c r="J41" s="94">
        <f>-Total!H40-Total!I40</f>
        <v>157097.94999999998</v>
      </c>
      <c r="K41" s="94">
        <f>-Total!J40</f>
        <v>-1573015.2098031286</v>
      </c>
      <c r="L41" s="94">
        <f>-Total!L40</f>
        <v>1830892.6735970147</v>
      </c>
      <c r="M41" s="94">
        <f>-Total!M40</f>
        <v>-790068.52960625733</v>
      </c>
      <c r="N41" s="94">
        <f>-Total!N40</f>
        <v>800384.75515392423</v>
      </c>
      <c r="O41" s="94">
        <f>-Total!AD40</f>
        <v>129505.08527974226</v>
      </c>
      <c r="P41" s="94">
        <f>-Total!AE40</f>
        <v>0</v>
      </c>
      <c r="Q41" s="94">
        <f>-Total!AF40</f>
        <v>0</v>
      </c>
      <c r="R41" s="94">
        <f>-Total!AG40</f>
        <v>2672611.5460702749</v>
      </c>
      <c r="S41" s="94">
        <f>-Total!AH40</f>
        <v>-2205985.789409386</v>
      </c>
      <c r="T41" s="94">
        <f>-Total!AI40</f>
        <v>-322.27823299192823</v>
      </c>
      <c r="U41" s="95"/>
      <c r="V41" s="85"/>
      <c r="W41" s="85"/>
      <c r="X41" s="96"/>
      <c r="Y41" s="96"/>
    </row>
    <row r="42" spans="1:25">
      <c r="A42" s="92" t="str">
        <f>Total!A41</f>
        <v>ENERGISA MG</v>
      </c>
      <c r="B42" s="92">
        <f>Total!B41</f>
        <v>6585</v>
      </c>
      <c r="C42" s="93">
        <f>Total!$F$1</f>
        <v>42795</v>
      </c>
      <c r="D42" s="94">
        <f>Total!C41</f>
        <v>1159198.44</v>
      </c>
      <c r="E42" s="94">
        <f>Total!W41</f>
        <v>1610161.6998973838</v>
      </c>
      <c r="F42" s="94">
        <f>-Total!D41</f>
        <v>-397031.57657383266</v>
      </c>
      <c r="G42" s="94">
        <f>-Total!E41</f>
        <v>367752.69927922409</v>
      </c>
      <c r="H42" s="94">
        <f>-Total!F41</f>
        <v>865978.47</v>
      </c>
      <c r="I42" s="94">
        <f>-Total!G41</f>
        <v>-253630.55</v>
      </c>
      <c r="J42" s="94">
        <f>-Total!H41-Total!I41</f>
        <v>293465.46999999997</v>
      </c>
      <c r="K42" s="94">
        <f>-Total!J41</f>
        <v>-3029787.5462061572</v>
      </c>
      <c r="L42" s="94">
        <f>-Total!L41</f>
        <v>8457924.7057013661</v>
      </c>
      <c r="M42" s="94">
        <f>-Total!M41</f>
        <v>-288794.20241231425</v>
      </c>
      <c r="N42" s="94">
        <f>-Total!N41</f>
        <v>5841502.1250664899</v>
      </c>
      <c r="O42" s="94">
        <f>-Total!AD41</f>
        <v>2769360.1398973837</v>
      </c>
      <c r="P42" s="94">
        <f>-Total!AE41</f>
        <v>0</v>
      </c>
      <c r="Q42" s="94">
        <f>-Total!AF41</f>
        <v>0</v>
      </c>
      <c r="R42" s="94">
        <f>-Total!AG41</f>
        <v>6668665.1850832067</v>
      </c>
      <c r="S42" s="94">
        <f>-Total!AH41</f>
        <v>-3025116.2786184712</v>
      </c>
      <c r="T42" s="94">
        <f>-Total!AI41</f>
        <v>5444470.548492657</v>
      </c>
      <c r="U42" s="95"/>
      <c r="V42" s="85"/>
      <c r="W42" s="85"/>
      <c r="X42" s="96"/>
      <c r="Y42" s="96"/>
    </row>
    <row r="43" spans="1:25">
      <c r="A43" s="92" t="str">
        <f>Total!A42</f>
        <v>ENERGISA PB</v>
      </c>
      <c r="B43" s="92">
        <f>Total!B42</f>
        <v>6600</v>
      </c>
      <c r="C43" s="93">
        <f>Total!$F$1</f>
        <v>42795</v>
      </c>
      <c r="D43" s="94">
        <f>Total!C42</f>
        <v>3784391.8400000003</v>
      </c>
      <c r="E43" s="94">
        <f>Total!W42</f>
        <v>4756416.1168236472</v>
      </c>
      <c r="F43" s="94">
        <f>-Total!D42</f>
        <v>2214719.3793934747</v>
      </c>
      <c r="G43" s="94">
        <f>-Total!E42</f>
        <v>3186531.3071282809</v>
      </c>
      <c r="H43" s="94">
        <f>-Total!F42</f>
        <v>3824602.25</v>
      </c>
      <c r="I43" s="94">
        <f>-Total!G42</f>
        <v>0</v>
      </c>
      <c r="J43" s="94">
        <f>-Total!H42-Total!I42</f>
        <v>976634.3600000001</v>
      </c>
      <c r="K43" s="94">
        <f>-Total!J42</f>
        <v>-9526705.9178921171</v>
      </c>
      <c r="L43" s="94">
        <f>-Total!L42</f>
        <v>33727365.908757091</v>
      </c>
      <c r="M43" s="94">
        <f>-Total!M42</f>
        <v>202869.78421576181</v>
      </c>
      <c r="N43" s="94">
        <f>-Total!N42</f>
        <v>1960777.9730490411</v>
      </c>
      <c r="O43" s="94">
        <f>-Total!AD42</f>
        <v>8540807.956823647</v>
      </c>
      <c r="P43" s="94">
        <f>-Total!AE42</f>
        <v>0</v>
      </c>
      <c r="Q43" s="94">
        <f>-Total!AF42</f>
        <v>0</v>
      </c>
      <c r="R43" s="94">
        <f>-Total!AG42</f>
        <v>32197691.509061724</v>
      </c>
      <c r="S43" s="94">
        <f>-Total!AH42</f>
        <v>-8347201.7736763563</v>
      </c>
      <c r="T43" s="94">
        <f>-Total!AI42</f>
        <v>4175497.352442516</v>
      </c>
      <c r="U43" s="95"/>
      <c r="V43" s="85"/>
      <c r="W43" s="85"/>
      <c r="X43" s="96"/>
      <c r="Y43" s="96"/>
    </row>
    <row r="44" spans="1:25">
      <c r="A44" s="92" t="str">
        <f>Total!A43</f>
        <v>ENERGISA SE</v>
      </c>
      <c r="B44" s="92">
        <f>Total!B43</f>
        <v>6587</v>
      </c>
      <c r="C44" s="93">
        <f>Total!$F$1</f>
        <v>42795</v>
      </c>
      <c r="D44" s="94">
        <f>Total!C43</f>
        <v>2737057.4000000004</v>
      </c>
      <c r="E44" s="94">
        <f>Total!W43</f>
        <v>-2445215.7606831766</v>
      </c>
      <c r="F44" s="94">
        <f>-Total!D43</f>
        <v>2915836.2409966062</v>
      </c>
      <c r="G44" s="94">
        <f>-Total!E43</f>
        <v>2530285.1453005723</v>
      </c>
      <c r="H44" s="94">
        <f>-Total!F43</f>
        <v>2732708.7399999998</v>
      </c>
      <c r="I44" s="94">
        <f>-Total!G43</f>
        <v>0</v>
      </c>
      <c r="J44" s="94">
        <f>-Total!H43-Total!I43</f>
        <v>705022.42</v>
      </c>
      <c r="K44" s="94">
        <f>-Total!J43</f>
        <v>-7002052.9909370467</v>
      </c>
      <c r="L44" s="94">
        <f>-Total!L43</f>
        <v>1859182.7897092104</v>
      </c>
      <c r="M44" s="94">
        <f>-Total!M43</f>
        <v>-3082385.6809370467</v>
      </c>
      <c r="N44" s="94">
        <f>-Total!N43</f>
        <v>527096.62158448994</v>
      </c>
      <c r="O44" s="94">
        <f>-Total!AD43</f>
        <v>291841.6393168238</v>
      </c>
      <c r="P44" s="94">
        <f>-Total!AE43</f>
        <v>0</v>
      </c>
      <c r="Q44" s="94">
        <f>-Total!AF43</f>
        <v>0</v>
      </c>
      <c r="R44" s="94">
        <f>-Total!AG43</f>
        <v>6830335.0356929582</v>
      </c>
      <c r="S44" s="94">
        <f>-Total!AH43</f>
        <v>-9379416.251874093</v>
      </c>
      <c r="T44" s="94">
        <f>-Total!AI43</f>
        <v>3442932.8625810961</v>
      </c>
      <c r="U44" s="95"/>
      <c r="V44" s="85"/>
      <c r="W44" s="85"/>
      <c r="X44" s="96"/>
      <c r="Y44" s="96"/>
    </row>
    <row r="45" spans="1:25">
      <c r="A45" s="92" t="str">
        <f>Total!A44</f>
        <v>ENERGISA MS</v>
      </c>
      <c r="B45" s="92">
        <f>Total!B44</f>
        <v>404</v>
      </c>
      <c r="C45" s="93">
        <f>Total!$F$1</f>
        <v>42795</v>
      </c>
      <c r="D45" s="94">
        <f>Total!C44</f>
        <v>3315845.91</v>
      </c>
      <c r="E45" s="94">
        <f>Total!W44</f>
        <v>-3290250.0921723945</v>
      </c>
      <c r="F45" s="94">
        <f>-Total!D44</f>
        <v>1638374.8009730114</v>
      </c>
      <c r="G45" s="94">
        <f>-Total!E44</f>
        <v>4594518.3522127876</v>
      </c>
      <c r="H45" s="94">
        <f>-Total!F44</f>
        <v>3643675.06</v>
      </c>
      <c r="I45" s="94">
        <f>-Total!G44</f>
        <v>-816992.22</v>
      </c>
      <c r="J45" s="94">
        <f>-Total!H44-Total!I44</f>
        <v>1124779.99</v>
      </c>
      <c r="K45" s="94">
        <f>-Total!J44</f>
        <v>-11228238.139365762</v>
      </c>
      <c r="L45" s="94">
        <f>-Total!L44</f>
        <v>969819.99498331081</v>
      </c>
      <c r="M45" s="94">
        <f>-Total!M44</f>
        <v>-5066412.5993657634</v>
      </c>
      <c r="N45" s="94">
        <f>-Total!N44</f>
        <v>-766447.13123940304</v>
      </c>
      <c r="O45" s="94">
        <f>-Total!AD44</f>
        <v>25595.817827605642</v>
      </c>
      <c r="P45" s="94">
        <f>-Total!AE44</f>
        <v>0</v>
      </c>
      <c r="Q45" s="94">
        <f>-Total!AF44</f>
        <v>0</v>
      </c>
      <c r="R45" s="94">
        <f>-Total!AG44</f>
        <v>8365425.3693684926</v>
      </c>
      <c r="S45" s="94">
        <f>-Total!AH44</f>
        <v>-15169870.748731526</v>
      </c>
      <c r="T45" s="94">
        <f>-Total!AI44</f>
        <v>871927.66973360837</v>
      </c>
      <c r="U45" s="95"/>
      <c r="V45" s="85"/>
      <c r="W45" s="85"/>
      <c r="X45" s="96"/>
      <c r="Y45" s="96"/>
    </row>
    <row r="46" spans="1:25">
      <c r="A46" s="92" t="str">
        <f>Total!A45</f>
        <v>ESCELSA</v>
      </c>
      <c r="B46" s="92">
        <f>Total!B45</f>
        <v>380</v>
      </c>
      <c r="C46" s="93">
        <f>Total!$F$1</f>
        <v>42795</v>
      </c>
      <c r="D46" s="94">
        <f>Total!C45</f>
        <v>6818914.1899999995</v>
      </c>
      <c r="E46" s="94">
        <f>Total!W45</f>
        <v>2369269.6435423116</v>
      </c>
      <c r="F46" s="94">
        <f>-Total!D45</f>
        <v>938735.71544361813</v>
      </c>
      <c r="G46" s="94">
        <f>-Total!E45</f>
        <v>3313475.9136985112</v>
      </c>
      <c r="H46" s="94">
        <f>-Total!F45</f>
        <v>5238348.84</v>
      </c>
      <c r="I46" s="94">
        <f>-Total!G45</f>
        <v>-1214524.57</v>
      </c>
      <c r="J46" s="94">
        <f>-Total!H45-Total!I45</f>
        <v>1601520.81</v>
      </c>
      <c r="K46" s="94">
        <f>-Total!J45</f>
        <v>-17250915.297059104</v>
      </c>
      <c r="L46" s="94">
        <f>-Total!L45</f>
        <v>28521963.437229197</v>
      </c>
      <c r="M46" s="94">
        <f>-Total!M45</f>
        <v>-1773846.2805338241</v>
      </c>
      <c r="N46" s="94">
        <f>-Total!N45</f>
        <v>19898071.97698231</v>
      </c>
      <c r="O46" s="94">
        <f>-Total!AD45</f>
        <v>9188183.8335423116</v>
      </c>
      <c r="P46" s="94">
        <f>-Total!AE45</f>
        <v>0</v>
      </c>
      <c r="Q46" s="94">
        <f>-Total!AF45</f>
        <v>-4.6566128730773926E-10</v>
      </c>
      <c r="R46" s="94">
        <f>-Total!AG45</f>
        <v>26671079.787385397</v>
      </c>
      <c r="S46" s="94">
        <f>-Total!AH45</f>
        <v>-17423240.767592929</v>
      </c>
      <c r="T46" s="94">
        <f>-Total!AI45</f>
        <v>20836807.692425929</v>
      </c>
      <c r="U46" s="95"/>
      <c r="V46" s="85"/>
      <c r="W46" s="85"/>
      <c r="X46" s="96"/>
      <c r="Y46" s="96"/>
    </row>
    <row r="47" spans="1:25">
      <c r="A47" s="92" t="str">
        <f>Total!A46</f>
        <v>IENERGIA</v>
      </c>
      <c r="B47" s="92">
        <f>Total!B46</f>
        <v>87</v>
      </c>
      <c r="C47" s="93">
        <f>Total!$F$1</f>
        <v>42795</v>
      </c>
      <c r="D47" s="94">
        <f>Total!C46</f>
        <v>207450.24000000002</v>
      </c>
      <c r="E47" s="94">
        <f>Total!W46</f>
        <v>-57745.629645857116</v>
      </c>
      <c r="F47" s="94">
        <f>-Total!D46</f>
        <v>2127.0331209937458</v>
      </c>
      <c r="G47" s="94">
        <f>-Total!E46</f>
        <v>0</v>
      </c>
      <c r="H47" s="94">
        <f>-Total!F46</f>
        <v>86749.23000000001</v>
      </c>
      <c r="I47" s="94">
        <f>-Total!G46</f>
        <v>-48844.13</v>
      </c>
      <c r="J47" s="94">
        <f>-Total!H46-Total!I46</f>
        <v>40667.22</v>
      </c>
      <c r="K47" s="94">
        <f>-Total!J46</f>
        <v>-494499.2475572566</v>
      </c>
      <c r="L47" s="94">
        <f>-Total!L46</f>
        <v>946605.5994200462</v>
      </c>
      <c r="M47" s="94">
        <f>-Total!M46</f>
        <v>-125754.25511451322</v>
      </c>
      <c r="N47" s="94">
        <f>-Total!N46</f>
        <v>231212.58958607138</v>
      </c>
      <c r="O47" s="94">
        <f>-Total!AD46</f>
        <v>149704.6103541429</v>
      </c>
      <c r="P47" s="94">
        <f>-Total!AE46</f>
        <v>0</v>
      </c>
      <c r="Q47" s="94">
        <f>-Total!AF46</f>
        <v>0</v>
      </c>
      <c r="R47" s="94">
        <f>-Total!AG46</f>
        <v>834806.08906590333</v>
      </c>
      <c r="S47" s="94">
        <f>-Total!AH46</f>
        <v>-579586.28267176985</v>
      </c>
      <c r="T47" s="94">
        <f>-Total!AI46</f>
        <v>233339.62270706514</v>
      </c>
      <c r="U47" s="95"/>
      <c r="V47" s="85"/>
      <c r="W47" s="85"/>
      <c r="X47" s="96"/>
      <c r="Y47" s="96"/>
    </row>
    <row r="48" spans="1:25">
      <c r="A48" s="92" t="str">
        <f>Total!A47</f>
        <v>LIGHT</v>
      </c>
      <c r="B48" s="92">
        <f>Total!B47</f>
        <v>382</v>
      </c>
      <c r="C48" s="93">
        <f>Total!$F$1</f>
        <v>42795</v>
      </c>
      <c r="D48" s="94">
        <f>Total!C47</f>
        <v>19805408.550000004</v>
      </c>
      <c r="E48" s="94">
        <f>Total!W47</f>
        <v>-19658699.438071869</v>
      </c>
      <c r="F48" s="94">
        <f>-Total!D47</f>
        <v>3647341.9696644363</v>
      </c>
      <c r="G48" s="94">
        <f>-Total!E47</f>
        <v>7934669.6384376315</v>
      </c>
      <c r="H48" s="94">
        <f>-Total!F47</f>
        <v>1485118.7594690956</v>
      </c>
      <c r="I48" s="94">
        <f>-Total!G47</f>
        <v>-4579498.96</v>
      </c>
      <c r="J48" s="94">
        <f>-Total!H47-Total!I47</f>
        <v>6028159.8300000001</v>
      </c>
      <c r="K48" s="94">
        <f>-Total!J47</f>
        <v>-54998233.788469091</v>
      </c>
      <c r="L48" s="94">
        <f>-Total!L47</f>
        <v>-11649632.033725025</v>
      </c>
      <c r="M48" s="94">
        <f>-Total!M47</f>
        <v>-42825881.434353113</v>
      </c>
      <c r="N48" s="94">
        <f>-Total!N47</f>
        <v>-42206415.846442148</v>
      </c>
      <c r="O48" s="94">
        <f>-Total!AD47</f>
        <v>146709.11192813516</v>
      </c>
      <c r="P48" s="94">
        <f>-Total!AE47</f>
        <v>0</v>
      </c>
      <c r="Q48" s="94">
        <f>-Total!AF47</f>
        <v>0</v>
      </c>
      <c r="R48" s="94">
        <f>-Total!AG47</f>
        <v>-6956051.7077464322</v>
      </c>
      <c r="S48" s="94">
        <f>-Total!AH47</f>
        <v>-91795955.392822206</v>
      </c>
      <c r="T48" s="94">
        <f>-Total!AI47</f>
        <v>-38559073.876777709</v>
      </c>
      <c r="U48" s="95"/>
      <c r="V48" s="85"/>
      <c r="W48" s="85"/>
      <c r="X48" s="96"/>
      <c r="Y48" s="96"/>
    </row>
    <row r="49" spans="1:25">
      <c r="A49" s="92" t="str">
        <f>Total!A48</f>
        <v>PARANAPANEMA</v>
      </c>
      <c r="B49" s="92">
        <f>Total!B48</f>
        <v>5217</v>
      </c>
      <c r="C49" s="93">
        <f>Total!$F$1</f>
        <v>42795</v>
      </c>
      <c r="D49" s="94">
        <f>Total!C48</f>
        <v>890114.60999999405</v>
      </c>
      <c r="E49" s="94">
        <f>Total!W48</f>
        <v>-885665.72593315819</v>
      </c>
      <c r="F49" s="94">
        <f>-Total!D48</f>
        <v>-820887.92312202754</v>
      </c>
      <c r="G49" s="94">
        <f>-Total!E48</f>
        <v>212516.97483241893</v>
      </c>
      <c r="H49" s="94">
        <f>-Total!F48</f>
        <v>592121.96</v>
      </c>
      <c r="I49" s="94">
        <f>-Total!G48</f>
        <v>-171081.82</v>
      </c>
      <c r="J49" s="94">
        <f>-Total!H48-Total!I48</f>
        <v>207818.58000000002</v>
      </c>
      <c r="K49" s="94">
        <f>-Total!J48</f>
        <v>-2061776.016508508</v>
      </c>
      <c r="L49" s="94">
        <f>-Total!L48</f>
        <v>-3728188.0349533833</v>
      </c>
      <c r="M49" s="94">
        <f>-Total!M48</f>
        <v>-504084.24621976062</v>
      </c>
      <c r="N49" s="94">
        <f>-Total!N48</f>
        <v>5041081.1042487416</v>
      </c>
      <c r="O49" s="94">
        <f>-Total!AD48</f>
        <v>0</v>
      </c>
      <c r="P49" s="94">
        <f>-Total!AE48</f>
        <v>0</v>
      </c>
      <c r="Q49" s="94">
        <f>-Total!AF48</f>
        <v>4448.8840668358607</v>
      </c>
      <c r="R49" s="94">
        <f>-Total!AG48</f>
        <v>-3094630.9201209643</v>
      </c>
      <c r="S49" s="94">
        <f>-Total!AH48</f>
        <v>-2358041.6827282687</v>
      </c>
      <c r="T49" s="94">
        <f>-Total!AI48</f>
        <v>4215744.2970598778</v>
      </c>
      <c r="U49" s="95"/>
      <c r="V49" s="85"/>
      <c r="W49" s="85"/>
      <c r="X49" s="96"/>
      <c r="Y49" s="96"/>
    </row>
    <row r="50" spans="1:25">
      <c r="A50" s="92" t="str">
        <f>Total!A49</f>
        <v>RGE</v>
      </c>
      <c r="B50" s="92">
        <f>Total!B49</f>
        <v>397</v>
      </c>
      <c r="C50" s="93">
        <f>Total!$F$1</f>
        <v>42795</v>
      </c>
      <c r="D50" s="94">
        <f>Total!C49</f>
        <v>5567438.1700000009</v>
      </c>
      <c r="E50" s="94">
        <f>Total!W49</f>
        <v>6659573.6684633475</v>
      </c>
      <c r="F50" s="94">
        <f>-Total!D49</f>
        <v>5837824.2657307768</v>
      </c>
      <c r="G50" s="94">
        <f>-Total!E49</f>
        <v>2203074.0630353582</v>
      </c>
      <c r="H50" s="94">
        <f>-Total!F49</f>
        <v>7239432.4399999995</v>
      </c>
      <c r="I50" s="94">
        <f>-Total!G49</f>
        <v>-1496675.77</v>
      </c>
      <c r="J50" s="94">
        <f>-Total!H49-Total!I49</f>
        <v>1980975.6</v>
      </c>
      <c r="K50" s="94">
        <f>-Total!J49</f>
        <v>-19169738.04155916</v>
      </c>
      <c r="L50" s="94">
        <f>-Total!L49</f>
        <v>43782836.278501838</v>
      </c>
      <c r="M50" s="94">
        <f>-Total!M49</f>
        <v>2081266.423881175</v>
      </c>
      <c r="N50" s="94">
        <f>-Total!N49</f>
        <v>9827815.0368020274</v>
      </c>
      <c r="O50" s="94">
        <f>-Total!AD49</f>
        <v>12227011.838463347</v>
      </c>
      <c r="P50" s="94">
        <f>-Total!AE49</f>
        <v>0</v>
      </c>
      <c r="Q50" s="94">
        <f>-Total!AF49</f>
        <v>9.3132257461547852E-10</v>
      </c>
      <c r="R50" s="94">
        <f>-Total!AG49</f>
        <v>39501655.173073843</v>
      </c>
      <c r="S50" s="94">
        <f>-Total!AH49</f>
        <v>-15107496.017677983</v>
      </c>
      <c r="T50" s="94">
        <f>-Total!AI49</f>
        <v>15665639.302532803</v>
      </c>
      <c r="U50" s="95"/>
      <c r="V50" s="85"/>
      <c r="W50" s="85"/>
      <c r="X50" s="96"/>
      <c r="Y50" s="96"/>
    </row>
    <row r="51" spans="1:25">
      <c r="A51" s="92" t="str">
        <f>Total!A50</f>
        <v>COCEL</v>
      </c>
      <c r="B51" s="92">
        <f>Total!B50</f>
        <v>82</v>
      </c>
      <c r="C51" s="93">
        <f>Total!$F$1</f>
        <v>42795</v>
      </c>
      <c r="D51" s="94">
        <f>Total!C50</f>
        <v>170226.69</v>
      </c>
      <c r="E51" s="94">
        <f>Total!W50</f>
        <v>-170226.69</v>
      </c>
      <c r="F51" s="94">
        <f>-Total!D50</f>
        <v>0</v>
      </c>
      <c r="G51" s="94">
        <f>-Total!E50</f>
        <v>0</v>
      </c>
      <c r="H51" s="94">
        <f>-Total!F50</f>
        <v>0</v>
      </c>
      <c r="I51" s="94">
        <f>-Total!G50</f>
        <v>0</v>
      </c>
      <c r="J51" s="94">
        <f>-Total!H50-Total!I50</f>
        <v>0</v>
      </c>
      <c r="K51" s="94">
        <f>-Total!J50</f>
        <v>0</v>
      </c>
      <c r="L51" s="94">
        <f>-Total!L50</f>
        <v>-132580.32835899509</v>
      </c>
      <c r="M51" s="94">
        <f>-Total!M50</f>
        <v>0</v>
      </c>
      <c r="N51" s="94">
        <f>-Total!N50</f>
        <v>0</v>
      </c>
      <c r="O51" s="94">
        <f>-Total!AD50</f>
        <v>0</v>
      </c>
      <c r="P51" s="94">
        <f>-Total!AE50</f>
        <v>0</v>
      </c>
      <c r="Q51" s="94">
        <f>-Total!AF50</f>
        <v>0</v>
      </c>
      <c r="R51" s="94">
        <f>-Total!AG50</f>
        <v>-132580.32835899509</v>
      </c>
      <c r="S51" s="94">
        <f>-Total!AH50</f>
        <v>0</v>
      </c>
      <c r="T51" s="94">
        <f>-Total!AI50</f>
        <v>0</v>
      </c>
      <c r="U51" s="95"/>
      <c r="V51" s="85"/>
      <c r="W51" s="85"/>
      <c r="X51" s="96"/>
      <c r="Y51" s="96"/>
    </row>
    <row r="52" spans="1:25">
      <c r="A52" s="97" t="str">
        <f>Total!A51</f>
        <v>CHESP DIST</v>
      </c>
      <c r="B52" s="92">
        <f>Total!B51</f>
        <v>103</v>
      </c>
      <c r="C52" s="93">
        <f>Total!$F$1</f>
        <v>42795</v>
      </c>
      <c r="D52" s="94">
        <f>Total!C51</f>
        <v>63940.04</v>
      </c>
      <c r="E52" s="94">
        <f>Total!W51</f>
        <v>-63748.248627560977</v>
      </c>
      <c r="F52" s="94">
        <f>-Total!D51</f>
        <v>0</v>
      </c>
      <c r="G52" s="94">
        <f>-Total!E51</f>
        <v>0</v>
      </c>
      <c r="H52" s="94">
        <f>-Total!F51</f>
        <v>0</v>
      </c>
      <c r="I52" s="94">
        <f>-Total!G51</f>
        <v>0</v>
      </c>
      <c r="J52" s="94">
        <f>-Total!H51-Total!I51</f>
        <v>410.65999999999997</v>
      </c>
      <c r="K52" s="94">
        <f>-Total!J51</f>
        <v>0</v>
      </c>
      <c r="L52" s="94">
        <f>-Total!L51</f>
        <v>0</v>
      </c>
      <c r="M52" s="94">
        <f>-Total!M51</f>
        <v>412.42999999999995</v>
      </c>
      <c r="N52" s="94">
        <f>-Total!N51</f>
        <v>0</v>
      </c>
      <c r="O52" s="94">
        <f>-Total!AD51</f>
        <v>0</v>
      </c>
      <c r="P52" s="94">
        <f>-Total!AE51</f>
        <v>191.79137243902369</v>
      </c>
      <c r="Q52" s="94">
        <f>-Total!AF51</f>
        <v>0</v>
      </c>
      <c r="R52" s="94">
        <f>-Total!AG51</f>
        <v>0</v>
      </c>
      <c r="S52" s="94">
        <f>-Total!AH51</f>
        <v>631.29862756097623</v>
      </c>
      <c r="T52" s="94">
        <f>-Total!AI51</f>
        <v>0</v>
      </c>
      <c r="U52" s="95"/>
      <c r="V52" s="85"/>
      <c r="W52" s="85"/>
      <c r="X52" s="96"/>
      <c r="Y52" s="96"/>
    </row>
    <row r="53" spans="1:25">
      <c r="A53" s="97" t="str">
        <f>Total!A52</f>
        <v>COOPERALIANÇA</v>
      </c>
      <c r="B53" s="92">
        <f>Total!B52</f>
        <v>2904</v>
      </c>
      <c r="C53" s="93">
        <f>Total!$F$1</f>
        <v>42795</v>
      </c>
      <c r="D53" s="94">
        <f>Total!C52</f>
        <v>150261.26</v>
      </c>
      <c r="E53" s="94">
        <f>Total!W52</f>
        <v>-150059.24562417858</v>
      </c>
      <c r="F53" s="94">
        <f>-Total!D52</f>
        <v>0</v>
      </c>
      <c r="G53" s="94">
        <f>-Total!E52</f>
        <v>0</v>
      </c>
      <c r="H53" s="94">
        <f>-Total!F52</f>
        <v>0</v>
      </c>
      <c r="I53" s="94">
        <f>-Total!G52</f>
        <v>0</v>
      </c>
      <c r="J53" s="94">
        <f>-Total!H52-Total!I52</f>
        <v>0</v>
      </c>
      <c r="K53" s="94">
        <f>-Total!J52</f>
        <v>0</v>
      </c>
      <c r="L53" s="94">
        <f>-Total!L52</f>
        <v>866.96294249485913</v>
      </c>
      <c r="M53" s="94">
        <f>-Total!M52</f>
        <v>0</v>
      </c>
      <c r="N53" s="94">
        <f>-Total!N52</f>
        <v>0</v>
      </c>
      <c r="O53" s="94">
        <f>-Total!AD52</f>
        <v>202.01437582142535</v>
      </c>
      <c r="P53" s="94">
        <f>-Total!AE52</f>
        <v>0</v>
      </c>
      <c r="Q53" s="94">
        <f>-Total!AF52</f>
        <v>0</v>
      </c>
      <c r="R53" s="94">
        <f>-Total!AG52</f>
        <v>664.94856667343379</v>
      </c>
      <c r="S53" s="94">
        <f>-Total!AH52</f>
        <v>0</v>
      </c>
      <c r="T53" s="94">
        <f>-Total!AI52</f>
        <v>0</v>
      </c>
      <c r="U53" s="95"/>
      <c r="V53" s="85"/>
      <c r="W53" s="85"/>
      <c r="X53" s="96"/>
      <c r="Y53" s="96"/>
    </row>
    <row r="54" spans="1:25">
      <c r="A54" s="97" t="str">
        <f>Total!A53</f>
        <v>DEMEI</v>
      </c>
      <c r="B54" s="92">
        <f>Total!B53</f>
        <v>95</v>
      </c>
      <c r="C54" s="93">
        <f>Total!$F$1</f>
        <v>42795</v>
      </c>
      <c r="D54" s="94">
        <f>Total!C53</f>
        <v>93625.919999999998</v>
      </c>
      <c r="E54" s="94">
        <f>Total!W53</f>
        <v>-92865.76846616315</v>
      </c>
      <c r="F54" s="94">
        <f>-Total!D53</f>
        <v>0</v>
      </c>
      <c r="G54" s="94">
        <f>-Total!E53</f>
        <v>0</v>
      </c>
      <c r="H54" s="94">
        <f>-Total!F53</f>
        <v>0</v>
      </c>
      <c r="I54" s="94">
        <f>-Total!G53</f>
        <v>0</v>
      </c>
      <c r="J54" s="94">
        <f>-Total!H53-Total!I53</f>
        <v>0</v>
      </c>
      <c r="K54" s="94">
        <f>-Total!J53</f>
        <v>0</v>
      </c>
      <c r="L54" s="94">
        <f>-Total!L53</f>
        <v>3262.2589745776768</v>
      </c>
      <c r="M54" s="94">
        <f>-Total!M53</f>
        <v>0</v>
      </c>
      <c r="N54" s="94">
        <f>-Total!N53</f>
        <v>0</v>
      </c>
      <c r="O54" s="94">
        <f>-Total!AD53</f>
        <v>760.1515338368481</v>
      </c>
      <c r="P54" s="94">
        <f>-Total!AE53</f>
        <v>0</v>
      </c>
      <c r="Q54" s="94">
        <f>-Total!AF53</f>
        <v>0</v>
      </c>
      <c r="R54" s="94">
        <f>-Total!AG53</f>
        <v>2502.1074407408287</v>
      </c>
      <c r="S54" s="94">
        <f>-Total!AH53</f>
        <v>0</v>
      </c>
      <c r="T54" s="94">
        <f>-Total!AI53</f>
        <v>0</v>
      </c>
      <c r="U54" s="95"/>
      <c r="V54" s="85"/>
      <c r="W54" s="85"/>
      <c r="X54" s="96"/>
      <c r="Y54" s="96"/>
    </row>
    <row r="55" spans="1:25">
      <c r="A55" s="97" t="str">
        <f>Total!A54</f>
        <v>EFLJC</v>
      </c>
      <c r="B55" s="92">
        <f>Total!B54</f>
        <v>88</v>
      </c>
      <c r="C55" s="93">
        <f>Total!$F$1</f>
        <v>42795</v>
      </c>
      <c r="D55" s="94">
        <f>Total!C54</f>
        <v>0</v>
      </c>
      <c r="E55" s="94">
        <f>Total!W54</f>
        <v>10.304596305135796</v>
      </c>
      <c r="F55" s="94">
        <f>-Total!D54</f>
        <v>0</v>
      </c>
      <c r="G55" s="94">
        <f>-Total!E54</f>
        <v>0</v>
      </c>
      <c r="H55" s="94">
        <f>-Total!F54</f>
        <v>0</v>
      </c>
      <c r="I55" s="94">
        <f>-Total!G54</f>
        <v>0</v>
      </c>
      <c r="J55" s="94">
        <f>-Total!H54-Total!I54</f>
        <v>0</v>
      </c>
      <c r="K55" s="94">
        <f>-Total!J54</f>
        <v>0</v>
      </c>
      <c r="L55" s="94">
        <f>-Total!L54</f>
        <v>44.223105893310532</v>
      </c>
      <c r="M55" s="94">
        <f>-Total!M54</f>
        <v>0</v>
      </c>
      <c r="N55" s="94">
        <f>-Total!N54</f>
        <v>0</v>
      </c>
      <c r="O55" s="94">
        <f>-Total!AD54</f>
        <v>10.304596305135796</v>
      </c>
      <c r="P55" s="94">
        <f>-Total!AE54</f>
        <v>0</v>
      </c>
      <c r="Q55" s="94">
        <f>-Total!AF54</f>
        <v>0</v>
      </c>
      <c r="R55" s="94">
        <f>-Total!AG54</f>
        <v>33.918509588174736</v>
      </c>
      <c r="S55" s="94">
        <f>-Total!AH54</f>
        <v>0</v>
      </c>
      <c r="T55" s="94">
        <f>-Total!AI54</f>
        <v>0</v>
      </c>
      <c r="U55" s="95"/>
      <c r="V55" s="85"/>
      <c r="W55" s="85"/>
      <c r="X55" s="96"/>
      <c r="Y55" s="96"/>
    </row>
    <row r="56" spans="1:25">
      <c r="A56" s="97" t="str">
        <f>Total!A55</f>
        <v>EFLUL</v>
      </c>
      <c r="B56" s="92">
        <f>Total!B55</f>
        <v>86</v>
      </c>
      <c r="C56" s="93">
        <f>Total!$F$1</f>
        <v>42795</v>
      </c>
      <c r="D56" s="94">
        <f>Total!C55</f>
        <v>3448.2599999999998</v>
      </c>
      <c r="E56" s="94">
        <f>Total!W55</f>
        <v>-3420.2585403254666</v>
      </c>
      <c r="F56" s="94">
        <f>-Total!D55</f>
        <v>0</v>
      </c>
      <c r="G56" s="94">
        <f>-Total!E55</f>
        <v>0</v>
      </c>
      <c r="H56" s="94">
        <f>-Total!F55</f>
        <v>0</v>
      </c>
      <c r="I56" s="94">
        <f>-Total!G55</f>
        <v>0</v>
      </c>
      <c r="J56" s="94">
        <f>-Total!H55-Total!I55</f>
        <v>0</v>
      </c>
      <c r="K56" s="94">
        <f>-Total!J55</f>
        <v>0</v>
      </c>
      <c r="L56" s="94">
        <f>-Total!L55</f>
        <v>120.17079366194733</v>
      </c>
      <c r="M56" s="94">
        <f>-Total!M55</f>
        <v>0</v>
      </c>
      <c r="N56" s="94">
        <f>-Total!N55</f>
        <v>0</v>
      </c>
      <c r="O56" s="94">
        <f>-Total!AD55</f>
        <v>28.00145967453318</v>
      </c>
      <c r="P56" s="94">
        <f>-Total!AE55</f>
        <v>0</v>
      </c>
      <c r="Q56" s="94">
        <f>-Total!AF55</f>
        <v>0</v>
      </c>
      <c r="R56" s="94">
        <f>-Total!AG55</f>
        <v>92.169333987414149</v>
      </c>
      <c r="S56" s="94">
        <f>-Total!AH55</f>
        <v>0</v>
      </c>
      <c r="T56" s="94">
        <f>-Total!AI55</f>
        <v>0</v>
      </c>
      <c r="U56" s="95"/>
      <c r="V56" s="85"/>
      <c r="W56" s="85"/>
      <c r="X56" s="96"/>
      <c r="Y56" s="96"/>
    </row>
    <row r="57" spans="1:25">
      <c r="A57" s="97" t="str">
        <f>Total!A56</f>
        <v>ELETROCAR</v>
      </c>
      <c r="B57" s="92">
        <f>Total!B56</f>
        <v>398</v>
      </c>
      <c r="C57" s="93">
        <f>Total!$F$1</f>
        <v>42795</v>
      </c>
      <c r="D57" s="94">
        <f>Total!C56</f>
        <v>194165.32</v>
      </c>
      <c r="E57" s="94">
        <f>Total!W56</f>
        <v>-194001.34510672634</v>
      </c>
      <c r="F57" s="94">
        <f>-Total!D56</f>
        <v>0</v>
      </c>
      <c r="G57" s="94">
        <f>-Total!E56</f>
        <v>0</v>
      </c>
      <c r="H57" s="94">
        <f>-Total!F56</f>
        <v>0</v>
      </c>
      <c r="I57" s="94">
        <f>-Total!G56</f>
        <v>0</v>
      </c>
      <c r="J57" s="94">
        <f>-Total!H56-Total!I56</f>
        <v>0</v>
      </c>
      <c r="K57" s="94">
        <f>-Total!J56</f>
        <v>0</v>
      </c>
      <c r="L57" s="94">
        <f>-Total!L56</f>
        <v>703.71306690310166</v>
      </c>
      <c r="M57" s="94">
        <f>-Total!M56</f>
        <v>0</v>
      </c>
      <c r="N57" s="94">
        <f>-Total!N56</f>
        <v>0</v>
      </c>
      <c r="O57" s="94">
        <f>-Total!AD56</f>
        <v>163.9748932736693</v>
      </c>
      <c r="P57" s="94">
        <f>-Total!AE56</f>
        <v>0</v>
      </c>
      <c r="Q57" s="94">
        <f>-Total!AF56</f>
        <v>0</v>
      </c>
      <c r="R57" s="94">
        <f>-Total!AG56</f>
        <v>539.73817362943237</v>
      </c>
      <c r="S57" s="94">
        <f>-Total!AH56</f>
        <v>0</v>
      </c>
      <c r="T57" s="94">
        <f>-Total!AI56</f>
        <v>0</v>
      </c>
      <c r="U57" s="95"/>
      <c r="V57" s="85"/>
      <c r="W57" s="85"/>
      <c r="X57" s="96"/>
      <c r="Y57" s="96"/>
    </row>
    <row r="58" spans="1:25">
      <c r="A58" s="97" t="str">
        <f>Total!A57</f>
        <v>ELFSM</v>
      </c>
      <c r="B58" s="92">
        <f>Total!B57</f>
        <v>381</v>
      </c>
      <c r="C58" s="93">
        <f>Total!$F$1</f>
        <v>42795</v>
      </c>
      <c r="D58" s="94">
        <f>Total!C57</f>
        <v>532868.90999999992</v>
      </c>
      <c r="E58" s="94">
        <f>Total!W57</f>
        <v>124131.85188879263</v>
      </c>
      <c r="F58" s="94">
        <f>-Total!D57</f>
        <v>-599118.68332778313</v>
      </c>
      <c r="G58" s="94">
        <f>-Total!E57</f>
        <v>0</v>
      </c>
      <c r="H58" s="94">
        <f>-Total!F57</f>
        <v>31263.360000000001</v>
      </c>
      <c r="I58" s="94">
        <f>-Total!G57</f>
        <v>-19342.28</v>
      </c>
      <c r="J58" s="94">
        <f>-Total!H57-Total!I57</f>
        <v>111191.37</v>
      </c>
      <c r="K58" s="94">
        <f>-Total!J57</f>
        <v>-636241.11</v>
      </c>
      <c r="L58" s="94">
        <f>-Total!L57</f>
        <v>-30905.006432323764</v>
      </c>
      <c r="M58" s="94">
        <f>-Total!M57</f>
        <v>869697.73032309511</v>
      </c>
      <c r="N58" s="94">
        <f>-Total!N57</f>
        <v>3081531.8363975999</v>
      </c>
      <c r="O58" s="94">
        <f>-Total!AD57</f>
        <v>0</v>
      </c>
      <c r="P58" s="94">
        <f>-Total!AE57</f>
        <v>344647.99032309512</v>
      </c>
      <c r="Q58" s="94">
        <f>-Total!AF57</f>
        <v>312352.77156569745</v>
      </c>
      <c r="R58" s="94">
        <f>-Total!AG57</f>
        <v>-18983.926432323762</v>
      </c>
      <c r="S58" s="94">
        <f>-Total!AH57</f>
        <v>0</v>
      </c>
      <c r="T58" s="94">
        <f>-Total!AI57</f>
        <v>2170060.3815041189</v>
      </c>
      <c r="U58" s="95"/>
      <c r="V58" s="85"/>
      <c r="W58" s="85"/>
      <c r="X58" s="96"/>
      <c r="Y58" s="96"/>
    </row>
    <row r="59" spans="1:25">
      <c r="A59" s="97" t="str">
        <f>Total!A58</f>
        <v>ENF</v>
      </c>
      <c r="B59" s="92">
        <f>Total!B58</f>
        <v>6612</v>
      </c>
      <c r="C59" s="93">
        <f>Total!$F$1</f>
        <v>42795</v>
      </c>
      <c r="D59" s="94">
        <f>Total!C58</f>
        <v>321790.58999999997</v>
      </c>
      <c r="E59" s="94">
        <f>Total!W58</f>
        <v>-321790.58999999997</v>
      </c>
      <c r="F59" s="94">
        <f>-Total!D58</f>
        <v>0</v>
      </c>
      <c r="G59" s="94">
        <f>-Total!E58</f>
        <v>0</v>
      </c>
      <c r="H59" s="94">
        <f>-Total!F58</f>
        <v>0</v>
      </c>
      <c r="I59" s="94">
        <f>-Total!G58</f>
        <v>0</v>
      </c>
      <c r="J59" s="94">
        <f>-Total!H58-Total!I58</f>
        <v>0</v>
      </c>
      <c r="K59" s="94">
        <f>-Total!J58</f>
        <v>0</v>
      </c>
      <c r="L59" s="94">
        <f>-Total!L58</f>
        <v>-148751.20392573997</v>
      </c>
      <c r="M59" s="94">
        <f>-Total!M58</f>
        <v>0</v>
      </c>
      <c r="N59" s="94">
        <f>-Total!N58</f>
        <v>0</v>
      </c>
      <c r="O59" s="94">
        <f>-Total!AD58</f>
        <v>0</v>
      </c>
      <c r="P59" s="94">
        <f>-Total!AE58</f>
        <v>0</v>
      </c>
      <c r="Q59" s="94">
        <f>-Total!AF58</f>
        <v>0</v>
      </c>
      <c r="R59" s="94">
        <f>-Total!AG58</f>
        <v>-148751.20392573997</v>
      </c>
      <c r="S59" s="94">
        <f>-Total!AH58</f>
        <v>0</v>
      </c>
      <c r="T59" s="94">
        <f>-Total!AI58</f>
        <v>0</v>
      </c>
      <c r="U59" s="95"/>
      <c r="V59" s="85"/>
      <c r="W59" s="85"/>
      <c r="X59" s="96"/>
      <c r="Y59" s="96"/>
    </row>
    <row r="60" spans="1:25">
      <c r="A60" s="97" t="str">
        <f>Total!A59</f>
        <v>FORCEL</v>
      </c>
      <c r="B60" s="92">
        <f>Total!B59</f>
        <v>83</v>
      </c>
      <c r="C60" s="93">
        <f>Total!$F$1</f>
        <v>42795</v>
      </c>
      <c r="D60" s="94">
        <f>Total!C59</f>
        <v>63942.340000000004</v>
      </c>
      <c r="E60" s="94">
        <f>Total!W59</f>
        <v>-63911.73639631582</v>
      </c>
      <c r="F60" s="94">
        <f>-Total!D59</f>
        <v>0</v>
      </c>
      <c r="G60" s="94">
        <f>-Total!E59</f>
        <v>0</v>
      </c>
      <c r="H60" s="94">
        <f>-Total!F59</f>
        <v>0</v>
      </c>
      <c r="I60" s="94">
        <f>-Total!G59</f>
        <v>0</v>
      </c>
      <c r="J60" s="94">
        <f>-Total!H59-Total!I59</f>
        <v>0</v>
      </c>
      <c r="K60" s="94">
        <f>-Total!J59</f>
        <v>0</v>
      </c>
      <c r="L60" s="94">
        <f>-Total!L59</f>
        <v>131.33812974003808</v>
      </c>
      <c r="M60" s="94">
        <f>-Total!M59</f>
        <v>0</v>
      </c>
      <c r="N60" s="94">
        <f>-Total!N59</f>
        <v>0</v>
      </c>
      <c r="O60" s="94">
        <f>-Total!AD59</f>
        <v>30.603603684183327</v>
      </c>
      <c r="P60" s="94">
        <f>-Total!AE59</f>
        <v>0</v>
      </c>
      <c r="Q60" s="94">
        <f>-Total!AF59</f>
        <v>0</v>
      </c>
      <c r="R60" s="94">
        <f>-Total!AG59</f>
        <v>100.73452605585476</v>
      </c>
      <c r="S60" s="94">
        <f>-Total!AH59</f>
        <v>0</v>
      </c>
      <c r="T60" s="94">
        <f>-Total!AI59</f>
        <v>0</v>
      </c>
      <c r="U60" s="95"/>
      <c r="V60" s="85"/>
      <c r="W60" s="85"/>
      <c r="X60" s="96"/>
      <c r="Y60" s="96"/>
    </row>
    <row r="61" spans="1:25">
      <c r="A61" s="97" t="str">
        <f>Total!A60</f>
        <v>HIDROPAN</v>
      </c>
      <c r="B61" s="92">
        <f>Total!B60</f>
        <v>399</v>
      </c>
      <c r="C61" s="93">
        <f>Total!$F$1</f>
        <v>42795</v>
      </c>
      <c r="D61" s="94">
        <f>Total!C60</f>
        <v>129329.03</v>
      </c>
      <c r="E61" s="94">
        <f>Total!W60</f>
        <v>-129259.340074106</v>
      </c>
      <c r="F61" s="94">
        <f>-Total!D60</f>
        <v>0</v>
      </c>
      <c r="G61" s="94">
        <f>-Total!E60</f>
        <v>0</v>
      </c>
      <c r="H61" s="94">
        <f>-Total!F60</f>
        <v>0</v>
      </c>
      <c r="I61" s="94">
        <f>-Total!G60</f>
        <v>0</v>
      </c>
      <c r="J61" s="94">
        <f>-Total!H60-Total!I60</f>
        <v>0</v>
      </c>
      <c r="K61" s="94">
        <f>-Total!J60</f>
        <v>0</v>
      </c>
      <c r="L61" s="94">
        <f>-Total!L60</f>
        <v>299.08061230611884</v>
      </c>
      <c r="M61" s="94">
        <f>-Total!M60</f>
        <v>0</v>
      </c>
      <c r="N61" s="94">
        <f>-Total!N60</f>
        <v>0</v>
      </c>
      <c r="O61" s="94">
        <f>-Total!AD60</f>
        <v>69.689925893995678</v>
      </c>
      <c r="P61" s="94">
        <f>-Total!AE60</f>
        <v>0</v>
      </c>
      <c r="Q61" s="94">
        <f>-Total!AF60</f>
        <v>0</v>
      </c>
      <c r="R61" s="94">
        <f>-Total!AG60</f>
        <v>229.39068641212316</v>
      </c>
      <c r="S61" s="94">
        <f>-Total!AH60</f>
        <v>0</v>
      </c>
      <c r="T61" s="94">
        <f>-Total!AI60</f>
        <v>0</v>
      </c>
      <c r="U61" s="95"/>
      <c r="V61" s="85"/>
      <c r="W61" s="85"/>
      <c r="X61" s="96"/>
      <c r="Y61" s="96"/>
    </row>
    <row r="62" spans="1:25">
      <c r="A62" s="97" t="str">
        <f>Total!A61</f>
        <v>MUXENERGIA</v>
      </c>
      <c r="B62" s="92">
        <f>Total!B61</f>
        <v>401</v>
      </c>
      <c r="C62" s="93">
        <f>Total!$F$1</f>
        <v>42795</v>
      </c>
      <c r="D62" s="94">
        <f>Total!C61</f>
        <v>75714.509999999995</v>
      </c>
      <c r="E62" s="94">
        <f>Total!W61</f>
        <v>-75670.742517349776</v>
      </c>
      <c r="F62" s="94">
        <f>-Total!D61</f>
        <v>0</v>
      </c>
      <c r="G62" s="94">
        <f>-Total!E61</f>
        <v>0</v>
      </c>
      <c r="H62" s="94">
        <f>-Total!F61</f>
        <v>0</v>
      </c>
      <c r="I62" s="94">
        <f>-Total!G61</f>
        <v>0</v>
      </c>
      <c r="J62" s="94">
        <f>-Total!H61-Total!I61</f>
        <v>0</v>
      </c>
      <c r="K62" s="94">
        <f>-Total!J61</f>
        <v>0</v>
      </c>
      <c r="L62" s="94">
        <f>-Total!L61</f>
        <v>187.83210546148942</v>
      </c>
      <c r="M62" s="94">
        <f>-Total!M61</f>
        <v>0</v>
      </c>
      <c r="N62" s="94">
        <f>-Total!N61</f>
        <v>0</v>
      </c>
      <c r="O62" s="94">
        <f>-Total!AD61</f>
        <v>43.767482650218881</v>
      </c>
      <c r="P62" s="94">
        <f>-Total!AE61</f>
        <v>0</v>
      </c>
      <c r="Q62" s="94">
        <f>-Total!AF61</f>
        <v>0</v>
      </c>
      <c r="R62" s="94">
        <f>-Total!AG61</f>
        <v>144.06462281127054</v>
      </c>
      <c r="S62" s="94">
        <f>-Total!AH61</f>
        <v>0</v>
      </c>
      <c r="T62" s="94">
        <f>-Total!AI61</f>
        <v>0</v>
      </c>
      <c r="U62" s="95"/>
      <c r="V62" s="85"/>
      <c r="W62" s="85"/>
      <c r="X62" s="96"/>
      <c r="Y62" s="96"/>
    </row>
    <row r="63" spans="1:25">
      <c r="A63" s="97" t="str">
        <f>Total!A62</f>
        <v>SULGIPE</v>
      </c>
      <c r="B63" s="92">
        <f>Total!B62</f>
        <v>46</v>
      </c>
      <c r="C63" s="93">
        <f>Total!$F$1</f>
        <v>42795</v>
      </c>
      <c r="D63" s="94">
        <f>Total!C62</f>
        <v>195101.34</v>
      </c>
      <c r="E63" s="94">
        <f>Total!W62</f>
        <v>-195101.34</v>
      </c>
      <c r="F63" s="94">
        <f>-Total!D62</f>
        <v>0</v>
      </c>
      <c r="G63" s="94">
        <f>-Total!E62</f>
        <v>0</v>
      </c>
      <c r="H63" s="94">
        <f>-Total!F62</f>
        <v>0</v>
      </c>
      <c r="I63" s="94">
        <f>-Total!G62</f>
        <v>0</v>
      </c>
      <c r="J63" s="94">
        <f>-Total!H62-Total!I62</f>
        <v>0</v>
      </c>
      <c r="K63" s="94">
        <f>-Total!J62</f>
        <v>0</v>
      </c>
      <c r="L63" s="94">
        <f>-Total!L62</f>
        <v>-8633341.3509229012</v>
      </c>
      <c r="M63" s="94">
        <f>-Total!M62</f>
        <v>0</v>
      </c>
      <c r="N63" s="94">
        <f>-Total!N62</f>
        <v>0</v>
      </c>
      <c r="O63" s="94">
        <f>-Total!AD62</f>
        <v>0</v>
      </c>
      <c r="P63" s="94">
        <f>-Total!AE62</f>
        <v>0</v>
      </c>
      <c r="Q63" s="94">
        <f>-Total!AF62</f>
        <v>0</v>
      </c>
      <c r="R63" s="94">
        <f>-Total!AG62</f>
        <v>-8633341.3509229012</v>
      </c>
      <c r="S63" s="94">
        <f>-Total!AH62</f>
        <v>0</v>
      </c>
      <c r="T63" s="94">
        <f>-Total!AI62</f>
        <v>0</v>
      </c>
      <c r="U63" s="95"/>
      <c r="V63" s="85"/>
      <c r="W63" s="85"/>
      <c r="X63" s="96"/>
      <c r="Y63" s="96"/>
    </row>
    <row r="64" spans="1:25">
      <c r="A64" s="97" t="str">
        <f>Total!A63</f>
        <v>UHENPAL</v>
      </c>
      <c r="B64" s="92">
        <f>Total!B63</f>
        <v>400</v>
      </c>
      <c r="C64" s="93">
        <f>Total!$F$1</f>
        <v>42795</v>
      </c>
      <c r="D64" s="94">
        <f>Total!C63</f>
        <v>48976.86</v>
      </c>
      <c r="E64" s="94">
        <f>Total!W63</f>
        <v>-48976.86</v>
      </c>
      <c r="F64" s="94">
        <f>-Total!D63</f>
        <v>0</v>
      </c>
      <c r="G64" s="94">
        <f>-Total!E63</f>
        <v>0</v>
      </c>
      <c r="H64" s="94">
        <f>-Total!F63</f>
        <v>0</v>
      </c>
      <c r="I64" s="94">
        <f>-Total!G63</f>
        <v>0</v>
      </c>
      <c r="J64" s="94">
        <f>-Total!H63-Total!I63</f>
        <v>0</v>
      </c>
      <c r="K64" s="94">
        <f>-Total!J63</f>
        <v>0</v>
      </c>
      <c r="L64" s="94">
        <f>-Total!L63</f>
        <v>-152120.85531097199</v>
      </c>
      <c r="M64" s="94">
        <f>-Total!M63</f>
        <v>0</v>
      </c>
      <c r="N64" s="94">
        <f>-Total!N63</f>
        <v>0</v>
      </c>
      <c r="O64" s="94">
        <f>-Total!AD63</f>
        <v>0</v>
      </c>
      <c r="P64" s="94">
        <f>-Total!AE63</f>
        <v>0</v>
      </c>
      <c r="Q64" s="94">
        <f>-Total!AF63</f>
        <v>0</v>
      </c>
      <c r="R64" s="94">
        <f>-Total!AG63</f>
        <v>-152120.85531097199</v>
      </c>
      <c r="S64" s="94">
        <f>-Total!AH63</f>
        <v>0</v>
      </c>
      <c r="T64" s="94">
        <f>-Total!AI63</f>
        <v>0</v>
      </c>
      <c r="U64" s="95"/>
      <c r="V64" s="85"/>
      <c r="W64" s="85"/>
      <c r="X64" s="96"/>
      <c r="Y64" s="96"/>
    </row>
    <row r="65" spans="1:25">
      <c r="A65" s="97" t="str">
        <f>Total!A64</f>
        <v>CFLO</v>
      </c>
      <c r="B65" s="92">
        <f>Total!B64</f>
        <v>84</v>
      </c>
      <c r="C65" s="93">
        <f>Total!$F$1</f>
        <v>42795</v>
      </c>
      <c r="D65" s="94">
        <f>Total!C64</f>
        <v>261060.05000000115</v>
      </c>
      <c r="E65" s="94">
        <f>Total!W64</f>
        <v>-261060.05000000115</v>
      </c>
      <c r="F65" s="94">
        <f>-Total!D64</f>
        <v>0</v>
      </c>
      <c r="G65" s="94">
        <f>-Total!E64</f>
        <v>0</v>
      </c>
      <c r="H65" s="94">
        <f>-Total!F64</f>
        <v>0</v>
      </c>
      <c r="I65" s="94">
        <f>-Total!G64</f>
        <v>0</v>
      </c>
      <c r="J65" s="94">
        <f>-Total!H64-Total!I64</f>
        <v>0</v>
      </c>
      <c r="K65" s="94">
        <f>-Total!J64</f>
        <v>0</v>
      </c>
      <c r="L65" s="94">
        <f>-Total!L64</f>
        <v>-116107.71723740168</v>
      </c>
      <c r="M65" s="94">
        <f>-Total!M64</f>
        <v>0</v>
      </c>
      <c r="N65" s="94">
        <f>-Total!N64</f>
        <v>0</v>
      </c>
      <c r="O65" s="94">
        <f>-Total!AD64</f>
        <v>0</v>
      </c>
      <c r="P65" s="94">
        <f>-Total!AE64</f>
        <v>0</v>
      </c>
      <c r="Q65" s="94">
        <f>-Total!AF64</f>
        <v>0</v>
      </c>
      <c r="R65" s="94">
        <f>-Total!AG64</f>
        <v>-116107.71723740168</v>
      </c>
      <c r="S65" s="94">
        <f>-Total!AH64</f>
        <v>0</v>
      </c>
      <c r="T65" s="94">
        <f>-Total!AI64</f>
        <v>0</v>
      </c>
      <c r="U65" s="95"/>
      <c r="V65" s="85"/>
      <c r="W65" s="85"/>
      <c r="X65" s="96"/>
      <c r="Y65" s="96"/>
    </row>
    <row r="66" spans="1:25">
      <c r="A66" s="97" t="str">
        <f>Total!A65</f>
        <v>CEDRAP</v>
      </c>
      <c r="B66" s="92">
        <f>Total!B65</f>
        <v>5381</v>
      </c>
      <c r="C66" s="93">
        <f>Total!$F$1</f>
        <v>42795</v>
      </c>
      <c r="D66" s="94">
        <f>Total!C65</f>
        <v>23015.27</v>
      </c>
      <c r="E66" s="94">
        <f>Total!W65</f>
        <v>-22952.823280452914</v>
      </c>
      <c r="F66" s="94">
        <f>-Total!D65</f>
        <v>0</v>
      </c>
      <c r="G66" s="94">
        <f>-Total!E65</f>
        <v>0</v>
      </c>
      <c r="H66" s="94">
        <f>-Total!F65</f>
        <v>0</v>
      </c>
      <c r="I66" s="94">
        <f>-Total!G65</f>
        <v>0</v>
      </c>
      <c r="J66" s="94">
        <f>-Total!H65-Total!I65</f>
        <v>0</v>
      </c>
      <c r="K66" s="94">
        <f>-Total!J65</f>
        <v>0</v>
      </c>
      <c r="L66" s="94">
        <f>-Total!L65</f>
        <v>267.9957379644527</v>
      </c>
      <c r="M66" s="94">
        <f>-Total!M65</f>
        <v>0</v>
      </c>
      <c r="N66" s="94">
        <f>-Total!N65</f>
        <v>0</v>
      </c>
      <c r="O66" s="94">
        <f>-Total!AD65</f>
        <v>62.446719547086104</v>
      </c>
      <c r="P66" s="94">
        <f>-Total!AE65</f>
        <v>0</v>
      </c>
      <c r="Q66" s="94">
        <f>-Total!AF65</f>
        <v>0</v>
      </c>
      <c r="R66" s="94">
        <f>-Total!AG65</f>
        <v>205.5490184173666</v>
      </c>
      <c r="S66" s="94">
        <f>-Total!AH65</f>
        <v>0</v>
      </c>
      <c r="T66" s="94">
        <f>-Total!AI65</f>
        <v>0</v>
      </c>
      <c r="V66" s="85"/>
      <c r="W66" s="85"/>
      <c r="X66" s="96"/>
      <c r="Y66" s="96"/>
    </row>
    <row r="67" spans="1:25">
      <c r="A67" s="97" t="str">
        <f>Total!A66</f>
        <v>CEDRI</v>
      </c>
      <c r="B67" s="92">
        <f>Total!B66</f>
        <v>5366</v>
      </c>
      <c r="C67" s="93">
        <f>Total!$F$1</f>
        <v>42795</v>
      </c>
      <c r="D67" s="94">
        <f>Total!C66</f>
        <v>11879.01</v>
      </c>
      <c r="E67" s="94">
        <f>Total!W66</f>
        <v>-11866.66041430841</v>
      </c>
      <c r="F67" s="94">
        <f>-Total!D66</f>
        <v>0</v>
      </c>
      <c r="G67" s="94">
        <f>-Total!E66</f>
        <v>0</v>
      </c>
      <c r="H67" s="94">
        <f>-Total!F66</f>
        <v>0</v>
      </c>
      <c r="I67" s="94">
        <f>-Total!G66</f>
        <v>0</v>
      </c>
      <c r="J67" s="94">
        <f>-Total!H66-Total!I66</f>
        <v>0</v>
      </c>
      <c r="K67" s="94">
        <f>-Total!J66</f>
        <v>0</v>
      </c>
      <c r="L67" s="94">
        <f>-Total!L66</f>
        <v>52.999362576247862</v>
      </c>
      <c r="M67" s="94">
        <f>-Total!M66</f>
        <v>0</v>
      </c>
      <c r="N67" s="94">
        <f>-Total!N66</f>
        <v>0</v>
      </c>
      <c r="O67" s="94">
        <f>-Total!AD66</f>
        <v>12.349585691590619</v>
      </c>
      <c r="P67" s="94">
        <f>-Total!AE66</f>
        <v>0</v>
      </c>
      <c r="Q67" s="94">
        <f>-Total!AF66</f>
        <v>0</v>
      </c>
      <c r="R67" s="94">
        <f>-Total!AG66</f>
        <v>40.649776884657243</v>
      </c>
      <c r="S67" s="94">
        <f>-Total!AH66</f>
        <v>0</v>
      </c>
      <c r="T67" s="94">
        <f>-Total!AI66</f>
        <v>0</v>
      </c>
    </row>
    <row r="68" spans="1:25">
      <c r="A68" s="97" t="str">
        <f>Total!A67</f>
        <v>CERIM</v>
      </c>
      <c r="B68" s="92">
        <f>Total!B67</f>
        <v>5386</v>
      </c>
      <c r="C68" s="93">
        <f>Total!$F$1</f>
        <v>42795</v>
      </c>
      <c r="D68" s="94">
        <f>Total!C67</f>
        <v>8559.91</v>
      </c>
      <c r="E68" s="94">
        <f>Total!W67</f>
        <v>-8476.0780108703912</v>
      </c>
      <c r="F68" s="94">
        <f>-Total!D67</f>
        <v>0</v>
      </c>
      <c r="G68" s="94">
        <f>-Total!E67</f>
        <v>0</v>
      </c>
      <c r="H68" s="94">
        <f>-Total!F67</f>
        <v>0</v>
      </c>
      <c r="I68" s="94">
        <f>-Total!G67</f>
        <v>0</v>
      </c>
      <c r="J68" s="94">
        <f>-Total!H67-Total!I67</f>
        <v>0</v>
      </c>
      <c r="K68" s="94">
        <f>-Total!J67</f>
        <v>0</v>
      </c>
      <c r="L68" s="94">
        <f>-Total!L67</f>
        <v>359.77255418320914</v>
      </c>
      <c r="M68" s="94">
        <f>-Total!M67</f>
        <v>0</v>
      </c>
      <c r="N68" s="94">
        <f>-Total!N67</f>
        <v>0</v>
      </c>
      <c r="O68" s="94">
        <f>-Total!AD67</f>
        <v>83.831989129608701</v>
      </c>
      <c r="P68" s="94">
        <f>-Total!AE67</f>
        <v>0</v>
      </c>
      <c r="Q68" s="94">
        <f>-Total!AF67</f>
        <v>0</v>
      </c>
      <c r="R68" s="94">
        <f>-Total!AG67</f>
        <v>275.94056505360044</v>
      </c>
      <c r="S68" s="94">
        <f>-Total!AH67</f>
        <v>0</v>
      </c>
      <c r="T68" s="94">
        <f>-Total!AI67</f>
        <v>0</v>
      </c>
    </row>
    <row r="69" spans="1:25">
      <c r="A69" s="97" t="str">
        <f>Total!A68</f>
        <v>CERIPA</v>
      </c>
      <c r="B69" s="92">
        <f>Total!B68</f>
        <v>5378</v>
      </c>
      <c r="C69" s="93">
        <f>Total!$F$1</f>
        <v>42795</v>
      </c>
      <c r="D69" s="94">
        <f>Total!C68</f>
        <v>153194.24000000002</v>
      </c>
      <c r="E69" s="94">
        <f>Total!W68</f>
        <v>-153192.37588917435</v>
      </c>
      <c r="F69" s="94">
        <f>-Total!D68</f>
        <v>0</v>
      </c>
      <c r="G69" s="94">
        <f>-Total!E68</f>
        <v>0</v>
      </c>
      <c r="H69" s="94">
        <f>-Total!F68</f>
        <v>0</v>
      </c>
      <c r="I69" s="94">
        <f>-Total!G68</f>
        <v>0</v>
      </c>
      <c r="J69" s="94">
        <f>-Total!H68-Total!I68</f>
        <v>0</v>
      </c>
      <c r="K69" s="94">
        <f>-Total!J68</f>
        <v>0</v>
      </c>
      <c r="L69" s="94">
        <f>-Total!L68</f>
        <v>8</v>
      </c>
      <c r="M69" s="94">
        <f>-Total!M68</f>
        <v>0</v>
      </c>
      <c r="N69" s="94">
        <f>-Total!N68</f>
        <v>0</v>
      </c>
      <c r="O69" s="94">
        <f>-Total!AD68</f>
        <v>1.8641108256706502</v>
      </c>
      <c r="P69" s="94">
        <f>-Total!AE68</f>
        <v>0</v>
      </c>
      <c r="Q69" s="94">
        <f>-Total!AF68</f>
        <v>0</v>
      </c>
      <c r="R69" s="94">
        <f>-Total!AG68</f>
        <v>6.1358891743293498</v>
      </c>
      <c r="S69" s="94">
        <f>-Total!AH68</f>
        <v>0</v>
      </c>
      <c r="T69" s="94">
        <f>-Total!AI68</f>
        <v>0</v>
      </c>
    </row>
    <row r="70" spans="1:25">
      <c r="A70" s="97" t="str">
        <f>Total!A69</f>
        <v>CERIS</v>
      </c>
      <c r="B70" s="92">
        <f>Total!B69</f>
        <v>5382</v>
      </c>
      <c r="C70" s="93">
        <f>Total!$F$1</f>
        <v>42795</v>
      </c>
      <c r="D70" s="94">
        <f>Total!C69</f>
        <v>16757.779999999995</v>
      </c>
      <c r="E70" s="94">
        <f>Total!W69</f>
        <v>-16757.779999999995</v>
      </c>
      <c r="F70" s="94">
        <f>-Total!D69</f>
        <v>0</v>
      </c>
      <c r="G70" s="94">
        <f>-Total!E69</f>
        <v>0</v>
      </c>
      <c r="H70" s="94">
        <f>-Total!F69</f>
        <v>0</v>
      </c>
      <c r="I70" s="94">
        <f>-Total!G69</f>
        <v>0</v>
      </c>
      <c r="J70" s="94">
        <f>-Total!H69-Total!I69</f>
        <v>0</v>
      </c>
      <c r="K70" s="94">
        <f>-Total!J69</f>
        <v>0</v>
      </c>
      <c r="L70" s="94">
        <f>-Total!L69</f>
        <v>-417949.51265146409</v>
      </c>
      <c r="M70" s="94">
        <f>-Total!M69</f>
        <v>0</v>
      </c>
      <c r="N70" s="94">
        <f>-Total!N69</f>
        <v>0</v>
      </c>
      <c r="O70" s="94">
        <f>-Total!AD69</f>
        <v>0</v>
      </c>
      <c r="P70" s="94">
        <f>-Total!AE69</f>
        <v>0</v>
      </c>
      <c r="Q70" s="94">
        <f>-Total!AF69</f>
        <v>0</v>
      </c>
      <c r="R70" s="94">
        <f>-Total!AG69</f>
        <v>-417949.51265146409</v>
      </c>
      <c r="S70" s="94">
        <f>-Total!AH69</f>
        <v>0</v>
      </c>
      <c r="T70" s="94">
        <f>-Total!AI69</f>
        <v>0</v>
      </c>
    </row>
    <row r="71" spans="1:25">
      <c r="A71" s="97" t="str">
        <f>Total!A70</f>
        <v>CERMC</v>
      </c>
      <c r="B71" s="92">
        <f>Total!B70</f>
        <v>6610</v>
      </c>
      <c r="C71" s="93">
        <f>Total!$F$1</f>
        <v>42795</v>
      </c>
      <c r="D71" s="94">
        <f>Total!C70</f>
        <v>3616.2000000000003</v>
      </c>
      <c r="E71" s="94">
        <f>Total!W70</f>
        <v>-3601.8100391959001</v>
      </c>
      <c r="F71" s="94">
        <f>-Total!D70</f>
        <v>0</v>
      </c>
      <c r="G71" s="94">
        <f>-Total!E70</f>
        <v>0</v>
      </c>
      <c r="H71" s="94">
        <f>-Total!F70</f>
        <v>0</v>
      </c>
      <c r="I71" s="94">
        <f>-Total!G70</f>
        <v>0</v>
      </c>
      <c r="J71" s="94">
        <f>-Total!H70-Total!I70</f>
        <v>0</v>
      </c>
      <c r="K71" s="94">
        <f>-Total!J70</f>
        <v>0</v>
      </c>
      <c r="L71" s="94">
        <f>-Total!L70</f>
        <v>61.755816685719793</v>
      </c>
      <c r="M71" s="94">
        <f>-Total!M70</f>
        <v>0</v>
      </c>
      <c r="N71" s="94">
        <f>-Total!N70</f>
        <v>0</v>
      </c>
      <c r="O71" s="94">
        <f>-Total!AD70</f>
        <v>14.389960804100156</v>
      </c>
      <c r="P71" s="94">
        <f>-Total!AE70</f>
        <v>0</v>
      </c>
      <c r="Q71" s="94">
        <f>-Total!AF70</f>
        <v>0</v>
      </c>
      <c r="R71" s="94">
        <f>-Total!AG70</f>
        <v>47.365855881619638</v>
      </c>
      <c r="S71" s="94">
        <f>-Total!AH70</f>
        <v>0</v>
      </c>
      <c r="T71" s="94">
        <f>-Total!AI70</f>
        <v>0</v>
      </c>
    </row>
    <row r="72" spans="1:25">
      <c r="A72" s="97" t="str">
        <f>Total!A71</f>
        <v>CERNHE</v>
      </c>
      <c r="B72" s="92">
        <f>Total!B71</f>
        <v>6609</v>
      </c>
      <c r="C72" s="93">
        <f>Total!$F$1</f>
        <v>42795</v>
      </c>
      <c r="D72" s="94">
        <f>Total!C71</f>
        <v>3294.44</v>
      </c>
      <c r="E72" s="94">
        <f>Total!W71</f>
        <v>-3294.44</v>
      </c>
      <c r="F72" s="94">
        <f>-Total!D71</f>
        <v>0</v>
      </c>
      <c r="G72" s="94">
        <f>-Total!E71</f>
        <v>0</v>
      </c>
      <c r="H72" s="94">
        <f>-Total!F71</f>
        <v>0</v>
      </c>
      <c r="I72" s="94">
        <f>-Total!G71</f>
        <v>0</v>
      </c>
      <c r="J72" s="94">
        <f>-Total!H71-Total!I71</f>
        <v>0</v>
      </c>
      <c r="K72" s="94">
        <f>-Total!J71</f>
        <v>0</v>
      </c>
      <c r="L72" s="94">
        <f>-Total!L71</f>
        <v>-355622.59541846265</v>
      </c>
      <c r="M72" s="94">
        <f>-Total!M71</f>
        <v>0</v>
      </c>
      <c r="N72" s="94">
        <f>-Total!N71</f>
        <v>0</v>
      </c>
      <c r="O72" s="94">
        <f>-Total!AD71</f>
        <v>0</v>
      </c>
      <c r="P72" s="94">
        <f>-Total!AE71</f>
        <v>0</v>
      </c>
      <c r="Q72" s="94">
        <f>-Total!AF71</f>
        <v>0</v>
      </c>
      <c r="R72" s="94">
        <f>-Total!AG71</f>
        <v>-355622.59541846265</v>
      </c>
      <c r="S72" s="94">
        <f>-Total!AH71</f>
        <v>0</v>
      </c>
      <c r="T72" s="94">
        <f>-Total!AI71</f>
        <v>0</v>
      </c>
    </row>
    <row r="73" spans="1:25">
      <c r="A73" s="97" t="str">
        <f>Total!A72</f>
        <v>CERPRO</v>
      </c>
      <c r="B73" s="92">
        <f>Total!B72</f>
        <v>5384</v>
      </c>
      <c r="C73" s="93">
        <f>Total!$F$1</f>
        <v>42795</v>
      </c>
      <c r="D73" s="94">
        <f>Total!C72</f>
        <v>0</v>
      </c>
      <c r="E73" s="94">
        <f>Total!W72</f>
        <v>0</v>
      </c>
      <c r="F73" s="94">
        <f>-Total!D72</f>
        <v>0</v>
      </c>
      <c r="G73" s="94">
        <f>-Total!E72</f>
        <v>0</v>
      </c>
      <c r="H73" s="94">
        <f>-Total!F72</f>
        <v>0</v>
      </c>
      <c r="I73" s="94">
        <f>-Total!G72</f>
        <v>0</v>
      </c>
      <c r="J73" s="94">
        <f>-Total!H72-Total!I72</f>
        <v>0</v>
      </c>
      <c r="K73" s="94">
        <f>-Total!J72</f>
        <v>0</v>
      </c>
      <c r="L73" s="94">
        <f>-Total!L72</f>
        <v>-580799.17612456786</v>
      </c>
      <c r="M73" s="94">
        <f>-Total!M72</f>
        <v>0</v>
      </c>
      <c r="N73" s="94">
        <f>-Total!N72</f>
        <v>0</v>
      </c>
      <c r="O73" s="94">
        <f>-Total!AD72</f>
        <v>0</v>
      </c>
      <c r="P73" s="94">
        <f>-Total!AE72</f>
        <v>0</v>
      </c>
      <c r="Q73" s="94">
        <f>-Total!AF72</f>
        <v>0</v>
      </c>
      <c r="R73" s="94">
        <f>-Total!AG72</f>
        <v>-580799.17612456786</v>
      </c>
      <c r="S73" s="94">
        <f>-Total!AH72</f>
        <v>0</v>
      </c>
      <c r="T73" s="94">
        <f>-Total!AI72</f>
        <v>0</v>
      </c>
    </row>
    <row r="74" spans="1:25">
      <c r="A74" s="97" t="str">
        <f>Total!A73</f>
        <v>CERRP</v>
      </c>
      <c r="B74" s="92">
        <f>Total!B73</f>
        <v>5385</v>
      </c>
      <c r="C74" s="93">
        <f>Total!$F$1</f>
        <v>42795</v>
      </c>
      <c r="D74" s="94">
        <f>Total!C73</f>
        <v>61748.55</v>
      </c>
      <c r="E74" s="94">
        <f>Total!W73</f>
        <v>-61748.461454735807</v>
      </c>
      <c r="F74" s="94">
        <f>-Total!D73</f>
        <v>0</v>
      </c>
      <c r="G74" s="94">
        <f>-Total!E73</f>
        <v>0</v>
      </c>
      <c r="H74" s="94">
        <f>-Total!F73</f>
        <v>0</v>
      </c>
      <c r="I74" s="94">
        <f>-Total!G73</f>
        <v>0</v>
      </c>
      <c r="J74" s="94">
        <f>-Total!H73-Total!I73</f>
        <v>0</v>
      </c>
      <c r="K74" s="94">
        <f>-Total!J73</f>
        <v>0</v>
      </c>
      <c r="L74" s="94">
        <f>-Total!L73</f>
        <v>0.37999999988824129</v>
      </c>
      <c r="M74" s="94">
        <f>-Total!M73</f>
        <v>0</v>
      </c>
      <c r="N74" s="94">
        <f>-Total!N73</f>
        <v>0</v>
      </c>
      <c r="O74" s="94">
        <f>-Total!AD73</f>
        <v>8.8545264196000062E-2</v>
      </c>
      <c r="P74" s="94">
        <f>-Total!AE73</f>
        <v>0</v>
      </c>
      <c r="Q74" s="94">
        <f>-Total!AF73</f>
        <v>0</v>
      </c>
      <c r="R74" s="94">
        <f>-Total!AG73</f>
        <v>0.29145473569224123</v>
      </c>
      <c r="S74" s="94">
        <f>-Total!AH73</f>
        <v>0</v>
      </c>
      <c r="T74" s="94">
        <f>-Total!AI73</f>
        <v>0</v>
      </c>
    </row>
    <row r="75" spans="1:25">
      <c r="A75" s="97" t="str">
        <f>Total!A74</f>
        <v>CETRIL</v>
      </c>
      <c r="B75" s="92">
        <f>Total!B74</f>
        <v>5379</v>
      </c>
      <c r="C75" s="93">
        <f>Total!$F$1</f>
        <v>42795</v>
      </c>
      <c r="D75" s="94">
        <f>Total!C74</f>
        <v>54317.729999999996</v>
      </c>
      <c r="E75" s="94">
        <f>Total!W74</f>
        <v>-54268.238520289196</v>
      </c>
      <c r="F75" s="94">
        <f>-Total!D74</f>
        <v>0</v>
      </c>
      <c r="G75" s="94">
        <f>-Total!E74</f>
        <v>0</v>
      </c>
      <c r="H75" s="94">
        <f>-Total!F74</f>
        <v>0</v>
      </c>
      <c r="I75" s="94">
        <f>-Total!G74</f>
        <v>0</v>
      </c>
      <c r="J75" s="94">
        <f>-Total!H74-Total!I74</f>
        <v>0</v>
      </c>
      <c r="K75" s="94">
        <f>-Total!J74</f>
        <v>0</v>
      </c>
      <c r="L75" s="94">
        <f>-Total!L74</f>
        <v>212.39715591541682</v>
      </c>
      <c r="M75" s="94">
        <f>-Total!M74</f>
        <v>0</v>
      </c>
      <c r="N75" s="94">
        <f>-Total!N74</f>
        <v>0</v>
      </c>
      <c r="O75" s="94">
        <f>-Total!AD74</f>
        <v>49.491479710799467</v>
      </c>
      <c r="P75" s="94">
        <f>-Total!AE74</f>
        <v>0</v>
      </c>
      <c r="Q75" s="94">
        <f>-Total!AF74</f>
        <v>0</v>
      </c>
      <c r="R75" s="94">
        <f>-Total!AG74</f>
        <v>162.90567620461735</v>
      </c>
      <c r="S75" s="94">
        <f>-Total!AH74</f>
        <v>0</v>
      </c>
      <c r="T75" s="94">
        <f>-Total!AI74</f>
        <v>0</v>
      </c>
    </row>
    <row r="76" spans="1:25">
      <c r="A76" s="97" t="str">
        <f>Total!A75</f>
        <v>CEJAMA</v>
      </c>
      <c r="B76" s="92">
        <f>Total!B75</f>
        <v>6896</v>
      </c>
      <c r="C76" s="93">
        <f>Total!$F$1</f>
        <v>42795</v>
      </c>
      <c r="D76" s="94">
        <f>Total!C75</f>
        <v>39954.29</v>
      </c>
      <c r="E76" s="94">
        <f>Total!W75</f>
        <v>-39930.884203760717</v>
      </c>
      <c r="F76" s="94">
        <f>-Total!D75</f>
        <v>0</v>
      </c>
      <c r="G76" s="94">
        <f>-Total!E75</f>
        <v>0</v>
      </c>
      <c r="H76" s="94">
        <f>-Total!F75</f>
        <v>0</v>
      </c>
      <c r="I76" s="94">
        <f>-Total!G75</f>
        <v>0</v>
      </c>
      <c r="J76" s="94">
        <f>-Total!H75-Total!I75</f>
        <v>0</v>
      </c>
      <c r="K76" s="94">
        <f>-Total!J75</f>
        <v>0</v>
      </c>
      <c r="L76" s="94">
        <f>-Total!L75</f>
        <v>100.44808888738936</v>
      </c>
      <c r="M76" s="94">
        <f>-Total!M75</f>
        <v>0</v>
      </c>
      <c r="N76" s="94">
        <f>-Total!N75</f>
        <v>0</v>
      </c>
      <c r="O76" s="94">
        <f>-Total!AD75</f>
        <v>23.405796239283518</v>
      </c>
      <c r="P76" s="94">
        <f>-Total!AE75</f>
        <v>0</v>
      </c>
      <c r="Q76" s="94">
        <f>-Total!AF75</f>
        <v>0</v>
      </c>
      <c r="R76" s="94">
        <f>-Total!AG75</f>
        <v>77.042292648105843</v>
      </c>
      <c r="S76" s="94">
        <f>-Total!AH75</f>
        <v>0</v>
      </c>
      <c r="T76" s="94">
        <f>-Total!AI75</f>
        <v>0</v>
      </c>
    </row>
    <row r="77" spans="1:25">
      <c r="A77" s="97" t="str">
        <f>Total!A76</f>
        <v>CEPRAG</v>
      </c>
      <c r="B77" s="92">
        <f>Total!B76</f>
        <v>5367</v>
      </c>
      <c r="C77" s="93">
        <f>Total!$F$1</f>
        <v>42795</v>
      </c>
      <c r="D77" s="94">
        <f>Total!C76</f>
        <v>56736.299999999996</v>
      </c>
      <c r="E77" s="94">
        <f>Total!W76</f>
        <v>-56465.472209939944</v>
      </c>
      <c r="F77" s="94">
        <f>-Total!D76</f>
        <v>0</v>
      </c>
      <c r="G77" s="94">
        <f>-Total!E76</f>
        <v>0</v>
      </c>
      <c r="H77" s="94">
        <f>-Total!F76</f>
        <v>0</v>
      </c>
      <c r="I77" s="94">
        <f>-Total!G76</f>
        <v>0</v>
      </c>
      <c r="J77" s="94">
        <f>-Total!H76-Total!I76</f>
        <v>0</v>
      </c>
      <c r="K77" s="94">
        <f>-Total!J76</f>
        <v>0</v>
      </c>
      <c r="L77" s="94">
        <f>-Total!L76</f>
        <v>1162.2819258535944</v>
      </c>
      <c r="M77" s="94">
        <f>-Total!M76</f>
        <v>0</v>
      </c>
      <c r="N77" s="94">
        <f>-Total!N76</f>
        <v>0</v>
      </c>
      <c r="O77" s="94">
        <f>-Total!AD76</f>
        <v>270.82779006005148</v>
      </c>
      <c r="P77" s="94">
        <f>-Total!AE76</f>
        <v>0</v>
      </c>
      <c r="Q77" s="94">
        <f>-Total!AF76</f>
        <v>0</v>
      </c>
      <c r="R77" s="94">
        <f>-Total!AG76</f>
        <v>891.45413579354295</v>
      </c>
      <c r="S77" s="94">
        <f>-Total!AH76</f>
        <v>0</v>
      </c>
      <c r="T77" s="94">
        <f>-Total!AI76</f>
        <v>0</v>
      </c>
    </row>
    <row r="78" spans="1:25">
      <c r="A78" s="97" t="str">
        <f>Total!A77</f>
        <v>CERAÇÁ</v>
      </c>
      <c r="B78" s="92">
        <f>Total!B77</f>
        <v>6897</v>
      </c>
      <c r="C78" s="93">
        <f>Total!$F$1</f>
        <v>42795</v>
      </c>
      <c r="D78" s="94">
        <f>Total!C77</f>
        <v>67917.66</v>
      </c>
      <c r="E78" s="94">
        <f>Total!W77</f>
        <v>-67851.982547662861</v>
      </c>
      <c r="F78" s="94">
        <f>-Total!D77</f>
        <v>0</v>
      </c>
      <c r="G78" s="94">
        <f>-Total!E77</f>
        <v>0</v>
      </c>
      <c r="H78" s="94">
        <f>-Total!F77</f>
        <v>0</v>
      </c>
      <c r="I78" s="94">
        <f>-Total!G77</f>
        <v>0</v>
      </c>
      <c r="J78" s="94">
        <f>-Total!H77-Total!I77</f>
        <v>0</v>
      </c>
      <c r="K78" s="94">
        <f>-Total!J77</f>
        <v>0</v>
      </c>
      <c r="L78" s="94">
        <f>-Total!L77</f>
        <v>281.86071957626353</v>
      </c>
      <c r="M78" s="94">
        <f>-Total!M77</f>
        <v>0</v>
      </c>
      <c r="N78" s="94">
        <f>-Total!N77</f>
        <v>0</v>
      </c>
      <c r="O78" s="94">
        <f>-Total!AD77</f>
        <v>65.677452337142313</v>
      </c>
      <c r="P78" s="94">
        <f>-Total!AE77</f>
        <v>0</v>
      </c>
      <c r="Q78" s="94">
        <f>-Total!AF77</f>
        <v>0</v>
      </c>
      <c r="R78" s="94">
        <f>-Total!AG77</f>
        <v>216.18326723912122</v>
      </c>
      <c r="S78" s="94">
        <f>-Total!AH77</f>
        <v>0</v>
      </c>
      <c r="T78" s="94">
        <f>-Total!AI77</f>
        <v>0</v>
      </c>
    </row>
    <row r="79" spans="1:25">
      <c r="A79" s="97" t="str">
        <f>Total!A78</f>
        <v>CERAL ANITÁP</v>
      </c>
      <c r="B79" s="92">
        <f>Total!B78</f>
        <v>5351</v>
      </c>
      <c r="C79" s="93">
        <f>Total!$F$1</f>
        <v>42795</v>
      </c>
      <c r="D79" s="94">
        <f>Total!C78</f>
        <v>12097.72</v>
      </c>
      <c r="E79" s="94">
        <f>Total!W78</f>
        <v>-12091.578254881289</v>
      </c>
      <c r="F79" s="94">
        <f>-Total!D78</f>
        <v>0</v>
      </c>
      <c r="G79" s="94">
        <f>-Total!E78</f>
        <v>0</v>
      </c>
      <c r="H79" s="94">
        <f>-Total!F78</f>
        <v>0</v>
      </c>
      <c r="I79" s="94">
        <f>-Total!G78</f>
        <v>0</v>
      </c>
      <c r="J79" s="94">
        <f>-Total!H78-Total!I78</f>
        <v>0</v>
      </c>
      <c r="K79" s="94">
        <f>-Total!J78</f>
        <v>0</v>
      </c>
      <c r="L79" s="94">
        <f>-Total!L78</f>
        <v>26.35785398202038</v>
      </c>
      <c r="M79" s="94">
        <f>-Total!M78</f>
        <v>0</v>
      </c>
      <c r="N79" s="94">
        <f>-Total!N78</f>
        <v>0</v>
      </c>
      <c r="O79" s="94">
        <f>-Total!AD78</f>
        <v>6.1417451187098777</v>
      </c>
      <c r="P79" s="94">
        <f>-Total!AE78</f>
        <v>0</v>
      </c>
      <c r="Q79" s="94">
        <f>-Total!AF78</f>
        <v>0</v>
      </c>
      <c r="R79" s="94">
        <f>-Total!AG78</f>
        <v>20.216108863310502</v>
      </c>
      <c r="S79" s="94">
        <f>-Total!AH78</f>
        <v>0</v>
      </c>
      <c r="T79" s="94">
        <f>-Total!AI78</f>
        <v>0</v>
      </c>
    </row>
    <row r="80" spans="1:25">
      <c r="A80" s="97" t="str">
        <f>Total!A79</f>
        <v>CERBRANORTE</v>
      </c>
      <c r="B80" s="92">
        <f>Total!B79</f>
        <v>6898</v>
      </c>
      <c r="C80" s="93">
        <f>Total!$F$1</f>
        <v>42795</v>
      </c>
      <c r="D80" s="94">
        <f>Total!C79</f>
        <v>151755.73000000001</v>
      </c>
      <c r="E80" s="94">
        <f>Total!W79</f>
        <v>-151663.59764349359</v>
      </c>
      <c r="F80" s="94">
        <f>-Total!D79</f>
        <v>0</v>
      </c>
      <c r="G80" s="94">
        <f>-Total!E79</f>
        <v>0</v>
      </c>
      <c r="H80" s="94">
        <f>-Total!F79</f>
        <v>0</v>
      </c>
      <c r="I80" s="94">
        <f>-Total!G79</f>
        <v>0</v>
      </c>
      <c r="J80" s="94">
        <f>-Total!H79-Total!I79</f>
        <v>0</v>
      </c>
      <c r="K80" s="94">
        <f>-Total!J79</f>
        <v>0</v>
      </c>
      <c r="L80" s="94">
        <f>-Total!L79</f>
        <v>395.39433058164593</v>
      </c>
      <c r="M80" s="94">
        <f>-Total!M79</f>
        <v>0</v>
      </c>
      <c r="N80" s="94">
        <f>-Total!N79</f>
        <v>0</v>
      </c>
      <c r="O80" s="94">
        <f>-Total!AD79</f>
        <v>92.132356506423093</v>
      </c>
      <c r="P80" s="94">
        <f>-Total!AE79</f>
        <v>0</v>
      </c>
      <c r="Q80" s="94">
        <f>-Total!AF79</f>
        <v>0</v>
      </c>
      <c r="R80" s="94">
        <f>-Total!AG79</f>
        <v>303.26197407522284</v>
      </c>
      <c r="S80" s="94">
        <f>-Total!AH79</f>
        <v>0</v>
      </c>
      <c r="T80" s="94">
        <f>-Total!AI79</f>
        <v>0</v>
      </c>
    </row>
    <row r="81" spans="1:20">
      <c r="A81" s="97" t="str">
        <f>Total!A80</f>
        <v>CEREJ</v>
      </c>
      <c r="B81" s="92">
        <f>Total!B80</f>
        <v>5352</v>
      </c>
      <c r="C81" s="93">
        <f>Total!$F$1</f>
        <v>42795</v>
      </c>
      <c r="D81" s="94">
        <f>Total!C80</f>
        <v>43137.360000000008</v>
      </c>
      <c r="E81" s="94">
        <f>Total!W80</f>
        <v>-43111.357256025745</v>
      </c>
      <c r="F81" s="94">
        <f>-Total!D80</f>
        <v>0</v>
      </c>
      <c r="G81" s="94">
        <f>-Total!E80</f>
        <v>0</v>
      </c>
      <c r="H81" s="94">
        <f>-Total!F80</f>
        <v>0</v>
      </c>
      <c r="I81" s="94">
        <f>-Total!G80</f>
        <v>0</v>
      </c>
      <c r="J81" s="94">
        <f>-Total!H80-Total!I80</f>
        <v>0</v>
      </c>
      <c r="K81" s="94">
        <f>-Total!J80</f>
        <v>0</v>
      </c>
      <c r="L81" s="94">
        <f>-Total!L80</f>
        <v>111.59312468332882</v>
      </c>
      <c r="M81" s="94">
        <f>-Total!M80</f>
        <v>0</v>
      </c>
      <c r="N81" s="94">
        <f>-Total!N80</f>
        <v>0</v>
      </c>
      <c r="O81" s="94">
        <f>-Total!AD80</f>
        <v>26.002743974262557</v>
      </c>
      <c r="P81" s="94">
        <f>-Total!AE80</f>
        <v>0</v>
      </c>
      <c r="Q81" s="94">
        <f>-Total!AF80</f>
        <v>0</v>
      </c>
      <c r="R81" s="94">
        <f>-Total!AG80</f>
        <v>85.590380709066267</v>
      </c>
      <c r="S81" s="94">
        <f>-Total!AH80</f>
        <v>0</v>
      </c>
      <c r="T81" s="94">
        <f>-Total!AI80</f>
        <v>0</v>
      </c>
    </row>
    <row r="82" spans="1:20">
      <c r="A82" s="97" t="str">
        <f>Total!A81</f>
        <v>CERGAL</v>
      </c>
      <c r="B82" s="92">
        <f>Total!B81</f>
        <v>5353</v>
      </c>
      <c r="C82" s="93">
        <f>Total!$F$1</f>
        <v>42795</v>
      </c>
      <c r="D82" s="94">
        <f>Total!C81</f>
        <v>27547.859999999997</v>
      </c>
      <c r="E82" s="94">
        <f>Total!W81</f>
        <v>-27504.521904750178</v>
      </c>
      <c r="F82" s="94">
        <f>-Total!D81</f>
        <v>0</v>
      </c>
      <c r="G82" s="94">
        <f>-Total!E81</f>
        <v>0</v>
      </c>
      <c r="H82" s="94">
        <f>-Total!F81</f>
        <v>0</v>
      </c>
      <c r="I82" s="94">
        <f>-Total!G81</f>
        <v>0</v>
      </c>
      <c r="J82" s="94">
        <f>-Total!H81-Total!I81</f>
        <v>0</v>
      </c>
      <c r="K82" s="94">
        <f>-Total!J81</f>
        <v>0</v>
      </c>
      <c r="L82" s="94">
        <f>-Total!L81</f>
        <v>185.98935064461321</v>
      </c>
      <c r="M82" s="94">
        <f>-Total!M81</f>
        <v>0</v>
      </c>
      <c r="N82" s="94">
        <f>-Total!N81</f>
        <v>0</v>
      </c>
      <c r="O82" s="94">
        <f>-Total!AD81</f>
        <v>43.338095249819162</v>
      </c>
      <c r="P82" s="94">
        <f>-Total!AE81</f>
        <v>0</v>
      </c>
      <c r="Q82" s="94">
        <f>-Total!AF81</f>
        <v>0</v>
      </c>
      <c r="R82" s="94">
        <f>-Total!AG81</f>
        <v>142.65125539479405</v>
      </c>
      <c r="S82" s="94">
        <f>-Total!AH81</f>
        <v>0</v>
      </c>
      <c r="T82" s="94">
        <f>-Total!AI81</f>
        <v>0</v>
      </c>
    </row>
    <row r="83" spans="1:20">
      <c r="A83" s="97" t="str">
        <f>Total!A82</f>
        <v>CERGAPA</v>
      </c>
      <c r="B83" s="92">
        <f>Total!B82</f>
        <v>5355</v>
      </c>
      <c r="C83" s="93">
        <f>Total!$F$1</f>
        <v>42795</v>
      </c>
      <c r="D83" s="94">
        <f>Total!C82</f>
        <v>42037.520000000004</v>
      </c>
      <c r="E83" s="94">
        <f>Total!W82</f>
        <v>-42013.17110719061</v>
      </c>
      <c r="F83" s="94">
        <f>-Total!D82</f>
        <v>0</v>
      </c>
      <c r="G83" s="94">
        <f>-Total!E82</f>
        <v>0</v>
      </c>
      <c r="H83" s="94">
        <f>-Total!F82</f>
        <v>0</v>
      </c>
      <c r="I83" s="94">
        <f>-Total!G82</f>
        <v>0</v>
      </c>
      <c r="J83" s="94">
        <f>-Total!H82-Total!I82</f>
        <v>0</v>
      </c>
      <c r="K83" s="94">
        <f>-Total!J82</f>
        <v>0</v>
      </c>
      <c r="L83" s="94">
        <f>-Total!L82</f>
        <v>104.49547301119247</v>
      </c>
      <c r="M83" s="94">
        <f>-Total!M82</f>
        <v>0</v>
      </c>
      <c r="N83" s="94">
        <f>-Total!N82</f>
        <v>0</v>
      </c>
      <c r="O83" s="94">
        <f>-Total!AD82</f>
        <v>24.348892809393874</v>
      </c>
      <c r="P83" s="94">
        <f>-Total!AE82</f>
        <v>0</v>
      </c>
      <c r="Q83" s="94">
        <f>-Total!AF82</f>
        <v>0</v>
      </c>
      <c r="R83" s="94">
        <f>-Total!AG82</f>
        <v>80.146580201798599</v>
      </c>
      <c r="S83" s="94">
        <f>-Total!AH82</f>
        <v>0</v>
      </c>
      <c r="T83" s="94">
        <f>-Total!AI82</f>
        <v>0</v>
      </c>
    </row>
    <row r="84" spans="1:20">
      <c r="A84" s="97" t="str">
        <f>Total!A83</f>
        <v>CERGRAL</v>
      </c>
      <c r="B84" s="92">
        <f>Total!B83</f>
        <v>5363</v>
      </c>
      <c r="C84" s="93">
        <f>Total!$F$1</f>
        <v>42795</v>
      </c>
      <c r="D84" s="94">
        <f>Total!C83</f>
        <v>39629.629999999997</v>
      </c>
      <c r="E84" s="94">
        <f>Total!W83</f>
        <v>-39580.196219590893</v>
      </c>
      <c r="F84" s="94">
        <f>-Total!D83</f>
        <v>0</v>
      </c>
      <c r="G84" s="94">
        <f>-Total!E83</f>
        <v>0</v>
      </c>
      <c r="H84" s="94">
        <f>-Total!F83</f>
        <v>0</v>
      </c>
      <c r="I84" s="94">
        <f>-Total!G83</f>
        <v>0</v>
      </c>
      <c r="J84" s="94">
        <f>-Total!H83-Total!I83</f>
        <v>0</v>
      </c>
      <c r="K84" s="94">
        <f>-Total!J83</f>
        <v>0</v>
      </c>
      <c r="L84" s="94">
        <f>-Total!L83</f>
        <v>212.1495341500115</v>
      </c>
      <c r="M84" s="94">
        <f>-Total!M83</f>
        <v>0</v>
      </c>
      <c r="N84" s="94">
        <f>-Total!N83</f>
        <v>0</v>
      </c>
      <c r="O84" s="94">
        <f>-Total!AD83</f>
        <v>49.433780409104656</v>
      </c>
      <c r="P84" s="94">
        <f>-Total!AE83</f>
        <v>0</v>
      </c>
      <c r="Q84" s="94">
        <f>-Total!AF83</f>
        <v>0</v>
      </c>
      <c r="R84" s="94">
        <f>-Total!AG83</f>
        <v>162.71575374090685</v>
      </c>
      <c r="S84" s="94">
        <f>-Total!AH83</f>
        <v>0</v>
      </c>
      <c r="T84" s="94">
        <f>-Total!AI83</f>
        <v>0</v>
      </c>
    </row>
    <row r="85" spans="1:20">
      <c r="A85" s="97" t="str">
        <f>Total!A84</f>
        <v>CERMOFUL</v>
      </c>
      <c r="B85" s="92">
        <f>Total!B84</f>
        <v>5364</v>
      </c>
      <c r="C85" s="93">
        <f>Total!$F$1</f>
        <v>42795</v>
      </c>
      <c r="D85" s="94">
        <f>Total!C84</f>
        <v>171888.52</v>
      </c>
      <c r="E85" s="94">
        <f>Total!W84</f>
        <v>-171796.83519657305</v>
      </c>
      <c r="F85" s="94">
        <f>-Total!D84</f>
        <v>0</v>
      </c>
      <c r="G85" s="94">
        <f>-Total!E84</f>
        <v>0</v>
      </c>
      <c r="H85" s="94">
        <f>-Total!F84</f>
        <v>0</v>
      </c>
      <c r="I85" s="94">
        <f>-Total!G84</f>
        <v>0</v>
      </c>
      <c r="J85" s="94">
        <f>-Total!H84-Total!I84</f>
        <v>0</v>
      </c>
      <c r="K85" s="94">
        <f>-Total!J84</f>
        <v>0</v>
      </c>
      <c r="L85" s="94">
        <f>-Total!L84</f>
        <v>393.4736161120112</v>
      </c>
      <c r="M85" s="94">
        <f>-Total!M84</f>
        <v>0</v>
      </c>
      <c r="N85" s="94">
        <f>-Total!N84</f>
        <v>0</v>
      </c>
      <c r="O85" s="94">
        <f>-Total!AD84</f>
        <v>91.684803426935105</v>
      </c>
      <c r="P85" s="94">
        <f>-Total!AE84</f>
        <v>0</v>
      </c>
      <c r="Q85" s="94">
        <f>-Total!AF84</f>
        <v>0</v>
      </c>
      <c r="R85" s="94">
        <f>-Total!AG84</f>
        <v>301.7888126850761</v>
      </c>
      <c r="S85" s="94">
        <f>-Total!AH84</f>
        <v>0</v>
      </c>
      <c r="T85" s="94">
        <f>-Total!AI84</f>
        <v>0</v>
      </c>
    </row>
    <row r="86" spans="1:20">
      <c r="A86" s="97" t="str">
        <f>Total!A85</f>
        <v>CERPALO</v>
      </c>
      <c r="B86" s="92">
        <f>Total!B85</f>
        <v>5365</v>
      </c>
      <c r="C86" s="93">
        <f>Total!$F$1</f>
        <v>42795</v>
      </c>
      <c r="D86" s="94">
        <f>Total!C85</f>
        <v>51584.07</v>
      </c>
      <c r="E86" s="94">
        <f>Total!W85</f>
        <v>-51553.38482546444</v>
      </c>
      <c r="F86" s="94">
        <f>-Total!D85</f>
        <v>0</v>
      </c>
      <c r="G86" s="94">
        <f>-Total!E85</f>
        <v>0</v>
      </c>
      <c r="H86" s="94">
        <f>-Total!F85</f>
        <v>0</v>
      </c>
      <c r="I86" s="94">
        <f>-Total!G85</f>
        <v>0</v>
      </c>
      <c r="J86" s="94">
        <f>-Total!H85-Total!I85</f>
        <v>0</v>
      </c>
      <c r="K86" s="94">
        <f>-Total!J85</f>
        <v>0</v>
      </c>
      <c r="L86" s="94">
        <f>-Total!L85</f>
        <v>131.68819841729933</v>
      </c>
      <c r="M86" s="94">
        <f>-Total!M85</f>
        <v>0</v>
      </c>
      <c r="N86" s="94">
        <f>-Total!N85</f>
        <v>0</v>
      </c>
      <c r="O86" s="94">
        <f>-Total!AD85</f>
        <v>30.685174535559781</v>
      </c>
      <c r="P86" s="94">
        <f>-Total!AE85</f>
        <v>0</v>
      </c>
      <c r="Q86" s="94">
        <f>-Total!AF85</f>
        <v>0</v>
      </c>
      <c r="R86" s="94">
        <f>-Total!AG85</f>
        <v>101.00302388173955</v>
      </c>
      <c r="S86" s="94">
        <f>-Total!AH85</f>
        <v>0</v>
      </c>
      <c r="T86" s="94">
        <f>-Total!AI85</f>
        <v>0</v>
      </c>
    </row>
    <row r="87" spans="1:20">
      <c r="A87" s="97" t="str">
        <f>Total!A86</f>
        <v>CERSUL</v>
      </c>
      <c r="B87" s="92">
        <f>Total!B86</f>
        <v>5368</v>
      </c>
      <c r="C87" s="93">
        <f>Total!$F$1</f>
        <v>42795</v>
      </c>
      <c r="D87" s="94">
        <f>Total!C86</f>
        <v>182174.13999999998</v>
      </c>
      <c r="E87" s="94">
        <f>Total!W86</f>
        <v>-182077.08871673487</v>
      </c>
      <c r="F87" s="94">
        <f>-Total!D86</f>
        <v>0</v>
      </c>
      <c r="G87" s="94">
        <f>-Total!E86</f>
        <v>0</v>
      </c>
      <c r="H87" s="94">
        <f>-Total!F86</f>
        <v>0</v>
      </c>
      <c r="I87" s="94">
        <f>-Total!G86</f>
        <v>0</v>
      </c>
      <c r="J87" s="94">
        <f>-Total!H86-Total!I86</f>
        <v>0</v>
      </c>
      <c r="K87" s="94">
        <f>-Total!J86</f>
        <v>0</v>
      </c>
      <c r="L87" s="94">
        <f>-Total!L86</f>
        <v>416.50434911034114</v>
      </c>
      <c r="M87" s="94">
        <f>-Total!M86</f>
        <v>0</v>
      </c>
      <c r="N87" s="94">
        <f>-Total!N86</f>
        <v>0</v>
      </c>
      <c r="O87" s="94">
        <f>-Total!AD86</f>
        <v>97.051283265114762</v>
      </c>
      <c r="P87" s="94">
        <f>-Total!AE86</f>
        <v>0</v>
      </c>
      <c r="Q87" s="94">
        <f>-Total!AF86</f>
        <v>0</v>
      </c>
      <c r="R87" s="94">
        <f>-Total!AG86</f>
        <v>319.45306584522638</v>
      </c>
      <c r="S87" s="94">
        <f>-Total!AH86</f>
        <v>0</v>
      </c>
      <c r="T87" s="94">
        <f>-Total!AI86</f>
        <v>0</v>
      </c>
    </row>
    <row r="88" spans="1:20">
      <c r="A88" s="97" t="str">
        <f>Total!A87</f>
        <v>CERTREL</v>
      </c>
      <c r="B88" s="92">
        <f>Total!B87</f>
        <v>5369</v>
      </c>
      <c r="C88" s="93">
        <f>Total!$F$1</f>
        <v>42795</v>
      </c>
      <c r="D88" s="94">
        <f>Total!C87</f>
        <v>63820.200000000004</v>
      </c>
      <c r="E88" s="94">
        <f>Total!W87</f>
        <v>-63820.200000000004</v>
      </c>
      <c r="F88" s="94">
        <f>-Total!D87</f>
        <v>0</v>
      </c>
      <c r="G88" s="94">
        <f>-Total!E87</f>
        <v>0</v>
      </c>
      <c r="H88" s="94">
        <f>-Total!F87</f>
        <v>0</v>
      </c>
      <c r="I88" s="94">
        <f>-Total!G87</f>
        <v>0</v>
      </c>
      <c r="J88" s="94">
        <f>-Total!H87-Total!I87</f>
        <v>0</v>
      </c>
      <c r="K88" s="94">
        <f>-Total!J87</f>
        <v>0</v>
      </c>
      <c r="L88" s="94">
        <f>-Total!L87</f>
        <v>-337917.2723491207</v>
      </c>
      <c r="M88" s="94">
        <f>-Total!M87</f>
        <v>0</v>
      </c>
      <c r="N88" s="94">
        <f>-Total!N87</f>
        <v>0</v>
      </c>
      <c r="O88" s="94">
        <f>-Total!AD87</f>
        <v>0</v>
      </c>
      <c r="P88" s="94">
        <f>-Total!AE87</f>
        <v>0</v>
      </c>
      <c r="Q88" s="94">
        <f>-Total!AF87</f>
        <v>0</v>
      </c>
      <c r="R88" s="94">
        <f>-Total!AG87</f>
        <v>-337917.2723491207</v>
      </c>
      <c r="S88" s="94">
        <f>-Total!AH87</f>
        <v>0</v>
      </c>
      <c r="T88" s="94">
        <f>-Total!AI87</f>
        <v>0</v>
      </c>
    </row>
    <row r="89" spans="1:20">
      <c r="A89" s="97" t="str">
        <f>Total!A88</f>
        <v>COOPERA</v>
      </c>
      <c r="B89" s="92">
        <f>Total!B88</f>
        <v>5370</v>
      </c>
      <c r="C89" s="93">
        <f>Total!$F$1</f>
        <v>42795</v>
      </c>
      <c r="D89" s="94">
        <f>Total!C88</f>
        <v>292552.56</v>
      </c>
      <c r="E89" s="94">
        <f>Total!W88</f>
        <v>-292363.27290816681</v>
      </c>
      <c r="F89" s="94">
        <f>-Total!D88</f>
        <v>0</v>
      </c>
      <c r="G89" s="94">
        <f>-Total!E88</f>
        <v>0</v>
      </c>
      <c r="H89" s="94">
        <f>-Total!F88</f>
        <v>0</v>
      </c>
      <c r="I89" s="94">
        <f>-Total!G88</f>
        <v>0</v>
      </c>
      <c r="J89" s="94">
        <f>-Total!H88-Total!I88</f>
        <v>0</v>
      </c>
      <c r="K89" s="94">
        <f>-Total!J88</f>
        <v>0</v>
      </c>
      <c r="L89" s="94">
        <f>-Total!L88</f>
        <v>812.34265355974333</v>
      </c>
      <c r="M89" s="94">
        <f>-Total!M88</f>
        <v>0</v>
      </c>
      <c r="N89" s="94">
        <f>-Total!N88</f>
        <v>0</v>
      </c>
      <c r="O89" s="94">
        <f>-Total!AD88</f>
        <v>189.28709183319006</v>
      </c>
      <c r="P89" s="94">
        <f>-Total!AE88</f>
        <v>0</v>
      </c>
      <c r="Q89" s="94">
        <f>-Total!AF88</f>
        <v>0</v>
      </c>
      <c r="R89" s="94">
        <f>-Total!AG88</f>
        <v>623.05556172655326</v>
      </c>
      <c r="S89" s="94">
        <f>-Total!AH88</f>
        <v>0</v>
      </c>
      <c r="T89" s="94">
        <f>-Total!AI88</f>
        <v>0</v>
      </c>
    </row>
    <row r="90" spans="1:20">
      <c r="A90" s="97" t="str">
        <f>Total!A89</f>
        <v>COOPERCOCAL</v>
      </c>
      <c r="B90" s="92">
        <f>Total!B89</f>
        <v>5371</v>
      </c>
      <c r="C90" s="93">
        <f>Total!$F$1</f>
        <v>42795</v>
      </c>
      <c r="D90" s="94">
        <f>Total!C89</f>
        <v>96330.12000000001</v>
      </c>
      <c r="E90" s="94">
        <f>Total!W89</f>
        <v>-96275.929304709178</v>
      </c>
      <c r="F90" s="94">
        <f>-Total!D89</f>
        <v>0</v>
      </c>
      <c r="G90" s="94">
        <f>-Total!E89</f>
        <v>0</v>
      </c>
      <c r="H90" s="94">
        <f>-Total!F89</f>
        <v>0</v>
      </c>
      <c r="I90" s="94">
        <f>-Total!G89</f>
        <v>0</v>
      </c>
      <c r="J90" s="94">
        <f>-Total!H89-Total!I89</f>
        <v>0</v>
      </c>
      <c r="K90" s="94">
        <f>-Total!J89</f>
        <v>0</v>
      </c>
      <c r="L90" s="94">
        <f>-Total!L89</f>
        <v>232.56426407350955</v>
      </c>
      <c r="M90" s="94">
        <f>-Total!M89</f>
        <v>0</v>
      </c>
      <c r="N90" s="94">
        <f>-Total!N89</f>
        <v>0</v>
      </c>
      <c r="O90" s="94">
        <f>-Total!AD89</f>
        <v>54.190695290832082</v>
      </c>
      <c r="P90" s="94">
        <f>-Total!AE89</f>
        <v>0</v>
      </c>
      <c r="Q90" s="94">
        <f>-Total!AF89</f>
        <v>0</v>
      </c>
      <c r="R90" s="94">
        <f>-Total!AG89</f>
        <v>178.37356878267747</v>
      </c>
      <c r="S90" s="94">
        <f>-Total!AH89</f>
        <v>0</v>
      </c>
      <c r="T90" s="94">
        <f>-Total!AI89</f>
        <v>0</v>
      </c>
    </row>
    <row r="91" spans="1:20">
      <c r="A91" s="97" t="str">
        <f>Total!A90</f>
        <v>COOPERMILA</v>
      </c>
      <c r="B91" s="92">
        <f>Total!B90</f>
        <v>5373</v>
      </c>
      <c r="C91" s="93">
        <f>Total!$F$1</f>
        <v>42795</v>
      </c>
      <c r="D91" s="94">
        <f>Total!C90</f>
        <v>20135.43</v>
      </c>
      <c r="E91" s="94">
        <f>Total!W90</f>
        <v>-20126.40761913325</v>
      </c>
      <c r="F91" s="94">
        <f>-Total!D90</f>
        <v>0</v>
      </c>
      <c r="G91" s="94">
        <f>-Total!E90</f>
        <v>0</v>
      </c>
      <c r="H91" s="94">
        <f>-Total!F90</f>
        <v>0</v>
      </c>
      <c r="I91" s="94">
        <f>-Total!G90</f>
        <v>0</v>
      </c>
      <c r="J91" s="94">
        <f>-Total!H90-Total!I90</f>
        <v>0</v>
      </c>
      <c r="K91" s="94">
        <f>-Total!J90</f>
        <v>0</v>
      </c>
      <c r="L91" s="94">
        <f>-Total!L90</f>
        <v>38.720362512521582</v>
      </c>
      <c r="M91" s="94">
        <f>-Total!M90</f>
        <v>0</v>
      </c>
      <c r="N91" s="94">
        <f>-Total!N90</f>
        <v>0</v>
      </c>
      <c r="O91" s="94">
        <f>-Total!AD90</f>
        <v>9.0223808667506091</v>
      </c>
      <c r="P91" s="94">
        <f>-Total!AE90</f>
        <v>0</v>
      </c>
      <c r="Q91" s="94">
        <f>-Total!AF90</f>
        <v>0</v>
      </c>
      <c r="R91" s="94">
        <f>-Total!AG90</f>
        <v>29.697981645770973</v>
      </c>
      <c r="S91" s="94">
        <f>-Total!AH90</f>
        <v>0</v>
      </c>
      <c r="T91" s="94">
        <f>-Total!AI90</f>
        <v>0</v>
      </c>
    </row>
    <row r="92" spans="1:20">
      <c r="A92" s="97" t="str">
        <f>Total!A91</f>
        <v>COORSEL</v>
      </c>
      <c r="B92" s="92">
        <f>Total!B91</f>
        <v>7016</v>
      </c>
      <c r="C92" s="93">
        <f>Total!$F$1</f>
        <v>42795</v>
      </c>
      <c r="D92" s="94">
        <f>Total!C91</f>
        <v>34567.99</v>
      </c>
      <c r="E92" s="94">
        <f>Total!W91</f>
        <v>-34518.182143931568</v>
      </c>
      <c r="F92" s="94">
        <f>-Total!D91</f>
        <v>0</v>
      </c>
      <c r="G92" s="94">
        <f>-Total!E91</f>
        <v>0</v>
      </c>
      <c r="H92" s="94">
        <f>-Total!F91</f>
        <v>0</v>
      </c>
      <c r="I92" s="94">
        <f>-Total!G91</f>
        <v>0</v>
      </c>
      <c r="J92" s="94">
        <f>-Total!H91-Total!I91</f>
        <v>0</v>
      </c>
      <c r="K92" s="94">
        <f>-Total!J91</f>
        <v>0</v>
      </c>
      <c r="L92" s="94">
        <f>-Total!L91</f>
        <v>213.75491363354774</v>
      </c>
      <c r="M92" s="94">
        <f>-Total!M91</f>
        <v>0</v>
      </c>
      <c r="N92" s="94">
        <f>-Total!N91</f>
        <v>0</v>
      </c>
      <c r="O92" s="94">
        <f>-Total!AD91</f>
        <v>49.807856068429828</v>
      </c>
      <c r="P92" s="94">
        <f>-Total!AE91</f>
        <v>0</v>
      </c>
      <c r="Q92" s="94">
        <f>-Total!AF91</f>
        <v>0</v>
      </c>
      <c r="R92" s="94">
        <f>-Total!AG91</f>
        <v>163.94705756511792</v>
      </c>
      <c r="S92" s="94">
        <f>-Total!AH91</f>
        <v>0</v>
      </c>
      <c r="T92" s="94">
        <f>-Total!AI91</f>
        <v>0</v>
      </c>
    </row>
    <row r="93" spans="1:20">
      <c r="A93" s="97" t="str">
        <f>Total!A92</f>
        <v>CERILUZ</v>
      </c>
      <c r="B93" s="92">
        <f>Total!B92</f>
        <v>2763</v>
      </c>
      <c r="C93" s="93">
        <f>Total!$F$1</f>
        <v>42795</v>
      </c>
      <c r="D93" s="94">
        <f>Total!C92</f>
        <v>113127.53</v>
      </c>
      <c r="E93" s="94">
        <f>Total!W92</f>
        <v>-113037.15853139441</v>
      </c>
      <c r="F93" s="94">
        <f>-Total!D92</f>
        <v>0</v>
      </c>
      <c r="G93" s="94">
        <f>-Total!E92</f>
        <v>0</v>
      </c>
      <c r="H93" s="94">
        <f>-Total!F92</f>
        <v>0</v>
      </c>
      <c r="I93" s="94">
        <f>-Total!G92</f>
        <v>0</v>
      </c>
      <c r="J93" s="94">
        <f>-Total!H92-Total!I92</f>
        <v>0</v>
      </c>
      <c r="K93" s="94">
        <f>-Total!J92</f>
        <v>0</v>
      </c>
      <c r="L93" s="94">
        <f>-Total!L92</f>
        <v>387.83732108819686</v>
      </c>
      <c r="M93" s="94">
        <f>-Total!M92</f>
        <v>0</v>
      </c>
      <c r="N93" s="94">
        <f>-Total!N92</f>
        <v>0</v>
      </c>
      <c r="O93" s="94">
        <f>-Total!AD92</f>
        <v>90.371468605590053</v>
      </c>
      <c r="P93" s="94">
        <f>-Total!AE92</f>
        <v>0</v>
      </c>
      <c r="Q93" s="94">
        <f>-Total!AF92</f>
        <v>0</v>
      </c>
      <c r="R93" s="94">
        <f>-Total!AG92</f>
        <v>297.46585248260681</v>
      </c>
      <c r="S93" s="94">
        <f>-Total!AH92</f>
        <v>0</v>
      </c>
      <c r="T93" s="94">
        <f>-Total!AI92</f>
        <v>0</v>
      </c>
    </row>
    <row r="94" spans="1:20">
      <c r="A94" s="97" t="str">
        <f>Total!A93</f>
        <v>CERMISSÕES</v>
      </c>
      <c r="B94" s="92">
        <f>Total!B93</f>
        <v>2381</v>
      </c>
      <c r="C94" s="93">
        <f>Total!$F$1</f>
        <v>42795</v>
      </c>
      <c r="D94" s="94">
        <f>Total!C93</f>
        <v>94898.59</v>
      </c>
      <c r="E94" s="94">
        <f>Total!W93</f>
        <v>-94817.770369688224</v>
      </c>
      <c r="F94" s="94">
        <f>-Total!D93</f>
        <v>0</v>
      </c>
      <c r="G94" s="94">
        <f>-Total!E93</f>
        <v>0</v>
      </c>
      <c r="H94" s="94">
        <f>-Total!F93</f>
        <v>0</v>
      </c>
      <c r="I94" s="94">
        <f>-Total!G93</f>
        <v>0</v>
      </c>
      <c r="J94" s="94">
        <f>-Total!H93-Total!I93</f>
        <v>0</v>
      </c>
      <c r="K94" s="94">
        <f>-Total!J93</f>
        <v>0</v>
      </c>
      <c r="L94" s="94">
        <f>-Total!L93</f>
        <v>346.84474419968086</v>
      </c>
      <c r="M94" s="94">
        <f>-Total!M93</f>
        <v>0</v>
      </c>
      <c r="N94" s="94">
        <f>-Total!N93</f>
        <v>0</v>
      </c>
      <c r="O94" s="94">
        <f>-Total!AD93</f>
        <v>80.819630311772926</v>
      </c>
      <c r="P94" s="94">
        <f>-Total!AE93</f>
        <v>0</v>
      </c>
      <c r="Q94" s="94">
        <f>-Total!AF93</f>
        <v>0</v>
      </c>
      <c r="R94" s="94">
        <f>-Total!AG93</f>
        <v>266.02511388790793</v>
      </c>
      <c r="S94" s="94">
        <f>-Total!AH93</f>
        <v>0</v>
      </c>
      <c r="T94" s="94">
        <f>-Total!AI93</f>
        <v>0</v>
      </c>
    </row>
    <row r="95" spans="1:20">
      <c r="A95" s="97" t="str">
        <f>Total!A94</f>
        <v>CERTAJA ENERG</v>
      </c>
      <c r="B95" s="92">
        <f>Total!B94</f>
        <v>3223</v>
      </c>
      <c r="C95" s="93">
        <f>Total!$F$1</f>
        <v>42795</v>
      </c>
      <c r="D95" s="94">
        <f>Total!C94</f>
        <v>99387.44</v>
      </c>
      <c r="E95" s="94">
        <f>Total!W94</f>
        <v>-99387.44</v>
      </c>
      <c r="F95" s="94">
        <f>-Total!D94</f>
        <v>0</v>
      </c>
      <c r="G95" s="94">
        <f>-Total!E94</f>
        <v>0</v>
      </c>
      <c r="H95" s="94">
        <f>-Total!F94</f>
        <v>0</v>
      </c>
      <c r="I95" s="94">
        <f>-Total!G94</f>
        <v>0</v>
      </c>
      <c r="J95" s="94">
        <f>-Total!H94-Total!I94</f>
        <v>0</v>
      </c>
      <c r="K95" s="94">
        <f>-Total!J94</f>
        <v>0</v>
      </c>
      <c r="L95" s="94">
        <f>-Total!L94</f>
        <v>-2611915.7526631434</v>
      </c>
      <c r="M95" s="94">
        <f>-Total!M94</f>
        <v>0</v>
      </c>
      <c r="N95" s="94">
        <f>-Total!N94</f>
        <v>0</v>
      </c>
      <c r="O95" s="94">
        <f>-Total!AD94</f>
        <v>0</v>
      </c>
      <c r="P95" s="94">
        <f>-Total!AE94</f>
        <v>0</v>
      </c>
      <c r="Q95" s="94">
        <f>-Total!AF94</f>
        <v>0</v>
      </c>
      <c r="R95" s="94">
        <f>-Total!AG94</f>
        <v>-2611915.7526631434</v>
      </c>
      <c r="S95" s="94">
        <f>-Total!AH94</f>
        <v>0</v>
      </c>
      <c r="T95" s="94">
        <f>-Total!AI94</f>
        <v>0</v>
      </c>
    </row>
    <row r="96" spans="1:20">
      <c r="A96" s="97" t="str">
        <f>Total!A95</f>
        <v>CERTEL</v>
      </c>
      <c r="B96" s="92">
        <f>Total!B95</f>
        <v>7371</v>
      </c>
      <c r="C96" s="93">
        <f>Total!$F$1</f>
        <v>42795</v>
      </c>
      <c r="D96" s="94">
        <f>Total!C95</f>
        <v>439863.8899999999</v>
      </c>
      <c r="E96" s="94">
        <f>Total!W95</f>
        <v>-439405.60719143209</v>
      </c>
      <c r="F96" s="94">
        <f>-Total!D95</f>
        <v>0</v>
      </c>
      <c r="G96" s="94">
        <f>-Total!E95</f>
        <v>0</v>
      </c>
      <c r="H96" s="94">
        <f>-Total!F95</f>
        <v>0</v>
      </c>
      <c r="I96" s="94">
        <f>-Total!G95</f>
        <v>0</v>
      </c>
      <c r="J96" s="94">
        <f>-Total!H95-Total!I95</f>
        <v>0</v>
      </c>
      <c r="K96" s="94">
        <f>-Total!J95</f>
        <v>0</v>
      </c>
      <c r="L96" s="94">
        <f>-Total!L95</f>
        <v>1966.7620712397597</v>
      </c>
      <c r="M96" s="94">
        <f>-Total!M95</f>
        <v>0</v>
      </c>
      <c r="N96" s="94">
        <f>-Total!N95</f>
        <v>0</v>
      </c>
      <c r="O96" s="94">
        <f>-Total!AD95</f>
        <v>458.28280856780475</v>
      </c>
      <c r="P96" s="94">
        <f>-Total!AE95</f>
        <v>0</v>
      </c>
      <c r="Q96" s="94">
        <f>-Total!AF95</f>
        <v>0</v>
      </c>
      <c r="R96" s="94">
        <f>-Total!AG95</f>
        <v>1508.479262671955</v>
      </c>
      <c r="S96" s="94">
        <f>-Total!AH95</f>
        <v>0</v>
      </c>
      <c r="T96" s="94">
        <f>-Total!AI95</f>
        <v>0</v>
      </c>
    </row>
    <row r="97" spans="1:20">
      <c r="A97" s="97" t="str">
        <f>Total!A96</f>
        <v>COOPERLUZ</v>
      </c>
      <c r="B97" s="92">
        <f>Total!B96</f>
        <v>3627</v>
      </c>
      <c r="C97" s="93">
        <f>Total!$F$1</f>
        <v>42795</v>
      </c>
      <c r="D97" s="94">
        <f>Total!C96</f>
        <v>47714.689999999995</v>
      </c>
      <c r="E97" s="94">
        <f>Total!W96</f>
        <v>-47714.689999999995</v>
      </c>
      <c r="F97" s="94">
        <f>-Total!D96</f>
        <v>0</v>
      </c>
      <c r="G97" s="94">
        <f>-Total!E96</f>
        <v>0</v>
      </c>
      <c r="H97" s="94">
        <f>-Total!F96</f>
        <v>0</v>
      </c>
      <c r="I97" s="94">
        <f>-Total!G96</f>
        <v>0</v>
      </c>
      <c r="J97" s="94">
        <f>-Total!H96-Total!I96</f>
        <v>0</v>
      </c>
      <c r="K97" s="94">
        <f>-Total!J96</f>
        <v>0</v>
      </c>
      <c r="L97" s="94">
        <f>-Total!L96</f>
        <v>-39480.935967824633</v>
      </c>
      <c r="M97" s="94">
        <f>-Total!M96</f>
        <v>0</v>
      </c>
      <c r="N97" s="94">
        <f>-Total!N96</f>
        <v>0</v>
      </c>
      <c r="O97" s="94">
        <f>-Total!AD96</f>
        <v>0</v>
      </c>
      <c r="P97" s="94">
        <f>-Total!AE96</f>
        <v>0</v>
      </c>
      <c r="Q97" s="94">
        <f>-Total!AF96</f>
        <v>0</v>
      </c>
      <c r="R97" s="94">
        <f>-Total!AG96</f>
        <v>-39480.935967824633</v>
      </c>
      <c r="S97" s="94">
        <f>-Total!AH96</f>
        <v>0</v>
      </c>
      <c r="T97" s="94">
        <f>-Total!AI96</f>
        <v>0</v>
      </c>
    </row>
    <row r="98" spans="1:20">
      <c r="A98" s="97" t="str">
        <f>Total!A97</f>
        <v>COPREL</v>
      </c>
      <c r="B98" s="92">
        <f>Total!B97</f>
        <v>2351</v>
      </c>
      <c r="C98" s="93">
        <f>Total!$F$1</f>
        <v>42795</v>
      </c>
      <c r="D98" s="94">
        <f>Total!C97</f>
        <v>112882.44</v>
      </c>
      <c r="E98" s="94">
        <f>Total!W97</f>
        <v>-112624.82870572571</v>
      </c>
      <c r="F98" s="94">
        <f>-Total!D97</f>
        <v>0</v>
      </c>
      <c r="G98" s="94">
        <f>-Total!E97</f>
        <v>0</v>
      </c>
      <c r="H98" s="94">
        <f>-Total!F97</f>
        <v>0</v>
      </c>
      <c r="I98" s="94">
        <f>-Total!G97</f>
        <v>0</v>
      </c>
      <c r="J98" s="94">
        <f>-Total!H97-Total!I97</f>
        <v>0</v>
      </c>
      <c r="K98" s="94">
        <f>-Total!J97</f>
        <v>0</v>
      </c>
      <c r="L98" s="94">
        <f>-Total!L97</f>
        <v>1105.562140297227</v>
      </c>
      <c r="M98" s="94">
        <f>-Total!M97</f>
        <v>0</v>
      </c>
      <c r="N98" s="94">
        <f>-Total!N97</f>
        <v>0</v>
      </c>
      <c r="O98" s="94">
        <f>-Total!AD97</f>
        <v>257.61129427429114</v>
      </c>
      <c r="P98" s="94">
        <f>-Total!AE97</f>
        <v>0</v>
      </c>
      <c r="Q98" s="94">
        <f>-Total!AF97</f>
        <v>0</v>
      </c>
      <c r="R98" s="94">
        <f>-Total!AG97</f>
        <v>847.95084602293582</v>
      </c>
      <c r="S98" s="94">
        <f>-Total!AH97</f>
        <v>0</v>
      </c>
      <c r="T98" s="94">
        <f>-Total!AI97</f>
        <v>0</v>
      </c>
    </row>
    <row r="99" spans="1:20">
      <c r="A99" s="97" t="str">
        <f>Total!A98</f>
        <v>CRELUZ-D</v>
      </c>
      <c r="B99" s="92">
        <f>Total!B98</f>
        <v>598</v>
      </c>
      <c r="C99" s="93">
        <f>Total!$F$1</f>
        <v>42795</v>
      </c>
      <c r="D99" s="94">
        <f>Total!C98</f>
        <v>69873.12000000001</v>
      </c>
      <c r="E99" s="94">
        <f>Total!W98</f>
        <v>-69873.12000000001</v>
      </c>
      <c r="F99" s="94">
        <f>-Total!D98</f>
        <v>0</v>
      </c>
      <c r="G99" s="94">
        <f>-Total!E98</f>
        <v>0</v>
      </c>
      <c r="H99" s="94">
        <f>-Total!F98</f>
        <v>0</v>
      </c>
      <c r="I99" s="94">
        <f>-Total!G98</f>
        <v>0</v>
      </c>
      <c r="J99" s="94">
        <f>-Total!H98-Total!I98</f>
        <v>0</v>
      </c>
      <c r="K99" s="94">
        <f>-Total!J98</f>
        <v>0</v>
      </c>
      <c r="L99" s="94">
        <f>-Total!L98</f>
        <v>-70008.138423369557</v>
      </c>
      <c r="M99" s="94">
        <f>-Total!M98</f>
        <v>0</v>
      </c>
      <c r="N99" s="94">
        <f>-Total!N98</f>
        <v>0</v>
      </c>
      <c r="O99" s="94">
        <f>-Total!AD98</f>
        <v>0</v>
      </c>
      <c r="P99" s="94">
        <f>-Total!AE98</f>
        <v>0</v>
      </c>
      <c r="Q99" s="94">
        <f>-Total!AF98</f>
        <v>0</v>
      </c>
      <c r="R99" s="94">
        <f>-Total!AG98</f>
        <v>-70008.138423369557</v>
      </c>
      <c r="S99" s="94">
        <f>-Total!AH98</f>
        <v>0</v>
      </c>
      <c r="T99" s="94">
        <f>-Total!AI98</f>
        <v>0</v>
      </c>
    </row>
    <row r="100" spans="1:20">
      <c r="A100" s="97" t="str">
        <f>Total!A99</f>
        <v>CRERAL</v>
      </c>
      <c r="B100" s="92">
        <f>Total!B99</f>
        <v>2783</v>
      </c>
      <c r="C100" s="93">
        <f>Total!$F$1</f>
        <v>42795</v>
      </c>
      <c r="D100" s="94">
        <f>Total!C99</f>
        <v>67347.040000000008</v>
      </c>
      <c r="E100" s="94">
        <f>Total!W99</f>
        <v>-67347.040000000008</v>
      </c>
      <c r="F100" s="94">
        <f>-Total!D99</f>
        <v>0</v>
      </c>
      <c r="G100" s="94">
        <f>-Total!E99</f>
        <v>0</v>
      </c>
      <c r="H100" s="94">
        <f>-Total!F99</f>
        <v>0</v>
      </c>
      <c r="I100" s="94">
        <f>-Total!G99</f>
        <v>0</v>
      </c>
      <c r="J100" s="94">
        <f>-Total!H99-Total!I99</f>
        <v>0</v>
      </c>
      <c r="K100" s="94">
        <f>-Total!J99</f>
        <v>0</v>
      </c>
      <c r="L100" s="94">
        <f>-Total!L99</f>
        <v>-25089.200741108089</v>
      </c>
      <c r="M100" s="94">
        <f>-Total!M99</f>
        <v>0</v>
      </c>
      <c r="N100" s="94">
        <f>-Total!N99</f>
        <v>0</v>
      </c>
      <c r="O100" s="94">
        <f>-Total!AD99</f>
        <v>0</v>
      </c>
      <c r="P100" s="94">
        <f>-Total!AE99</f>
        <v>0</v>
      </c>
      <c r="Q100" s="94">
        <f>-Total!AF99</f>
        <v>0</v>
      </c>
      <c r="R100" s="94">
        <f>-Total!AG99</f>
        <v>-25089.200741108089</v>
      </c>
      <c r="S100" s="94">
        <f>-Total!AH99</f>
        <v>0</v>
      </c>
      <c r="T100" s="94">
        <f>-Total!AI99</f>
        <v>0</v>
      </c>
    </row>
    <row r="101" spans="1:20">
      <c r="A101" s="97" t="str">
        <f>Total!A100</f>
        <v>CERAL DIS</v>
      </c>
      <c r="B101" s="92">
        <f>Total!B100</f>
        <v>4248</v>
      </c>
      <c r="C101" s="93">
        <f>Total!$F$1</f>
        <v>42795</v>
      </c>
      <c r="D101" s="94">
        <f>Total!C100</f>
        <v>46215.109999999993</v>
      </c>
      <c r="E101" s="94">
        <f>Total!W100</f>
        <v>-46198.710355153824</v>
      </c>
      <c r="F101" s="94">
        <f>-Total!D100</f>
        <v>0</v>
      </c>
      <c r="G101" s="94">
        <f>-Total!E100</f>
        <v>0</v>
      </c>
      <c r="H101" s="94">
        <f>-Total!F100</f>
        <v>0</v>
      </c>
      <c r="I101" s="94">
        <f>-Total!G100</f>
        <v>0</v>
      </c>
      <c r="J101" s="94">
        <f>-Total!H100-Total!I100</f>
        <v>0</v>
      </c>
      <c r="K101" s="94">
        <f>-Total!J100</f>
        <v>0</v>
      </c>
      <c r="L101" s="94">
        <f>-Total!L100</f>
        <v>70.380557293971108</v>
      </c>
      <c r="M101" s="94">
        <f>-Total!M100</f>
        <v>0</v>
      </c>
      <c r="N101" s="94">
        <f>-Total!N100</f>
        <v>0</v>
      </c>
      <c r="O101" s="94">
        <f>-Total!AD100</f>
        <v>16.399644846169394</v>
      </c>
      <c r="P101" s="94">
        <f>-Total!AE100</f>
        <v>0</v>
      </c>
      <c r="Q101" s="94">
        <f>-Total!AF100</f>
        <v>0</v>
      </c>
      <c r="R101" s="94">
        <f>-Total!AG100</f>
        <v>53.980912447801714</v>
      </c>
      <c r="S101" s="94">
        <f>-Total!AH100</f>
        <v>0</v>
      </c>
      <c r="T101" s="94">
        <f>-Total!AI100</f>
        <v>0</v>
      </c>
    </row>
    <row r="102" spans="1:20">
      <c r="A102" s="97" t="str">
        <f>Total!A101</f>
        <v>CERES</v>
      </c>
      <c r="B102" s="92">
        <f>Total!B101</f>
        <v>5274</v>
      </c>
      <c r="C102" s="93">
        <f>Total!$F$1</f>
        <v>42795</v>
      </c>
      <c r="D102" s="94">
        <f>Total!C101</f>
        <v>29637.680000000004</v>
      </c>
      <c r="E102" s="94">
        <f>Total!W101</f>
        <v>-29637.680000000004</v>
      </c>
      <c r="F102" s="94">
        <f>-Total!D101</f>
        <v>0</v>
      </c>
      <c r="G102" s="94">
        <f>-Total!E101</f>
        <v>0</v>
      </c>
      <c r="H102" s="94">
        <f>-Total!F101</f>
        <v>0</v>
      </c>
      <c r="I102" s="94">
        <f>-Total!G101</f>
        <v>0</v>
      </c>
      <c r="J102" s="94">
        <f>-Total!H101-Total!I101</f>
        <v>0</v>
      </c>
      <c r="K102" s="94">
        <f>-Total!J101</f>
        <v>0</v>
      </c>
      <c r="L102" s="94">
        <f>-Total!L101</f>
        <v>-0.16999999998370185</v>
      </c>
      <c r="M102" s="94">
        <f>-Total!M101</f>
        <v>0</v>
      </c>
      <c r="N102" s="94">
        <f>-Total!N101</f>
        <v>0</v>
      </c>
      <c r="O102" s="94">
        <f>-Total!AD101</f>
        <v>0</v>
      </c>
      <c r="P102" s="94">
        <f>-Total!AE101</f>
        <v>0</v>
      </c>
      <c r="Q102" s="94">
        <f>-Total!AF101</f>
        <v>0</v>
      </c>
      <c r="R102" s="94">
        <f>-Total!AG101</f>
        <v>-0.16999999998370185</v>
      </c>
      <c r="S102" s="94">
        <f>-Total!AH101</f>
        <v>0</v>
      </c>
      <c r="T102" s="94">
        <f>-Total!AI101</f>
        <v>0</v>
      </c>
    </row>
    <row r="103" spans="1:20">
      <c r="A103" s="97" t="str">
        <f>Total!A102</f>
        <v>CERCOS</v>
      </c>
      <c r="B103" s="92">
        <f>Total!B102</f>
        <v>5377</v>
      </c>
      <c r="C103" s="93">
        <f>Total!$F$1</f>
        <v>42795</v>
      </c>
      <c r="D103" s="94">
        <f>Total!C102</f>
        <v>10310.189999999999</v>
      </c>
      <c r="E103" s="94">
        <f>Total!W102</f>
        <v>-10310.189999999999</v>
      </c>
      <c r="F103" s="94">
        <f>-Total!D102</f>
        <v>0</v>
      </c>
      <c r="G103" s="94">
        <f>-Total!E102</f>
        <v>0</v>
      </c>
      <c r="H103" s="94">
        <f>-Total!F102</f>
        <v>0</v>
      </c>
      <c r="I103" s="94">
        <f>-Total!G102</f>
        <v>0</v>
      </c>
      <c r="J103" s="94">
        <f>-Total!H102-Total!I102</f>
        <v>0</v>
      </c>
      <c r="K103" s="94">
        <f>-Total!J102</f>
        <v>0</v>
      </c>
      <c r="L103" s="94">
        <f>-Total!L102</f>
        <v>0</v>
      </c>
      <c r="M103" s="94">
        <f>-Total!M102</f>
        <v>0</v>
      </c>
      <c r="N103" s="94">
        <f>-Total!N102</f>
        <v>0</v>
      </c>
      <c r="O103" s="94">
        <f>-Total!AD102</f>
        <v>0</v>
      </c>
      <c r="P103" s="94">
        <f>-Total!AE102</f>
        <v>0</v>
      </c>
      <c r="Q103" s="94">
        <f>-Total!AF102</f>
        <v>0</v>
      </c>
      <c r="R103" s="94">
        <f>-Total!AG102</f>
        <v>0</v>
      </c>
      <c r="S103" s="94">
        <f>-Total!AH102</f>
        <v>0</v>
      </c>
      <c r="T103" s="94">
        <f>-Total!AI102</f>
        <v>0</v>
      </c>
    </row>
  </sheetData>
  <mergeCells count="5">
    <mergeCell ref="D3:E3"/>
    <mergeCell ref="F3:K3"/>
    <mergeCell ref="L3:N3"/>
    <mergeCell ref="O3:Q3"/>
    <mergeCell ref="R3:T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5</vt:i4>
      </vt:variant>
    </vt:vector>
  </HeadingPairs>
  <TitlesOfParts>
    <vt:vector size="22" baseType="lpstr">
      <vt:lpstr>MAC (R$)</vt:lpstr>
      <vt:lpstr>MAC (MWh)</vt:lpstr>
      <vt:lpstr>Exposição</vt:lpstr>
      <vt:lpstr>CCEAR_D</vt:lpstr>
      <vt:lpstr>RH Cotas</vt:lpstr>
      <vt:lpstr>RH Itaipu</vt:lpstr>
      <vt:lpstr>Efeito RH do ACR</vt:lpstr>
      <vt:lpstr>ESS_SE</vt:lpstr>
      <vt:lpstr>ESS ME</vt:lpstr>
      <vt:lpstr>CONER</vt:lpstr>
      <vt:lpstr>CustoLiqNaoCobertoMesN-1</vt:lpstr>
      <vt:lpstr>Prêmio</vt:lpstr>
      <vt:lpstr>Total</vt:lpstr>
      <vt:lpstr>Despacho - Anexo I</vt:lpstr>
      <vt:lpstr>Despacho - Anexo II</vt:lpstr>
      <vt:lpstr>CT Exposição e CT CCEAR-D</vt:lpstr>
      <vt:lpstr>Saída Banco de Dados</vt:lpstr>
      <vt:lpstr>Exposição!Area_de_impressao</vt:lpstr>
      <vt:lpstr>'MAC (MWh)'!Area_de_impressao</vt:lpstr>
      <vt:lpstr>'MAC (R$)'!Area_de_impressao</vt:lpstr>
      <vt:lpstr>'RH Cotas'!Area_de_impressao</vt:lpstr>
      <vt:lpstr>'RH Itaipu'!Area_de_impressao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lzanata</dc:creator>
  <cp:lastModifiedBy>Fabiano Costa Camilo (SCG)</cp:lastModifiedBy>
  <cp:lastPrinted>2017-03-30T12:45:00Z</cp:lastPrinted>
  <dcterms:created xsi:type="dcterms:W3CDTF">2013-03-27T18:08:02Z</dcterms:created>
  <dcterms:modified xsi:type="dcterms:W3CDTF">2017-05-08T14:53:23Z</dcterms:modified>
</cp:coreProperties>
</file>