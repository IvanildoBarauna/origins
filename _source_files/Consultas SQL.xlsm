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277BFCA8-0A1C-E630-347C-98D23832170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Junior &amp; Cris\Desktop\BPAManager\"/>
    </mc:Choice>
  </mc:AlternateContent>
  <xr:revisionPtr revIDLastSave="0" documentId="13_ncr:1_{54E5E05D-CDC3-4BD7-B278-97804EB3AC01}" xr6:coauthVersionLast="34" xr6:coauthVersionMax="34" xr10:uidLastSave="{00000000-0000-0000-0000-000000000000}"/>
  <workbookProtection workbookAlgorithmName="SHA-512" workbookHashValue="cnFpBjIbdo/kmTnJzTwNgeJlK7kJc9TFm+tReLKikHWNllTpRXzRsUubmgozxZfLQReIwvoSboWfOcsJvdrniQ==" workbookSaltValue="BQSojUSyNYQO0DhudmV77A==" workbookSpinCount="100000" lockStructure="1"/>
  <bookViews>
    <workbookView showSheetTabs="0" xWindow="0" yWindow="0" windowWidth="20490" windowHeight="7545" xr2:uid="{00000000-000D-0000-FFFF-FFFF00000000}"/>
  </bookViews>
  <sheets>
    <sheet name="Dados" sheetId="1" r:id="rId1"/>
    <sheet name="Config" sheetId="2" state="hidden" r:id="rId2"/>
    <sheet name="Ajuda" sheetId="3" state="hidden" r:id="rId3"/>
  </sheets>
  <functionGroups builtInGroupCount="19"/>
  <definedNames>
    <definedName name="_xlnm._FilterDatabase" localSheetId="0" hidden="1">Dados!$A$1:$G$4546</definedName>
    <definedName name="Ajuda">Config!$B$14</definedName>
    <definedName name="AlternarIniciais">Config!$K$22</definedName>
    <definedName name="AlternarMaiúsculas">Config!$K$20</definedName>
    <definedName name="AlternarMinúsculas">Config!$K$18</definedName>
    <definedName name="ArmazenarCódigosErrados">Config!$B$20</definedName>
    <definedName name="ArquivoDados">Config!$B$4</definedName>
    <definedName name="ArquivoImagem">Config!$B$6</definedName>
    <definedName name="ArquivoTexto">Config!$K$28</definedName>
    <definedName name="CopiarTexto">Config!$B$28</definedName>
    <definedName name="Créditos">Config!$B$32:$B$39</definedName>
    <definedName name="DataVersão">Config!$K$10</definedName>
    <definedName name="IncluirTempoRegistros">Config!$B$18</definedName>
    <definedName name="InserirCláusulasPadrão">Config!$B$22</definedName>
    <definedName name="NãoMudar">Config!$K$16</definedName>
    <definedName name="Negrito">Config!$B$12</definedName>
    <definedName name="NomeFonte">Config!$B$8</definedName>
    <definedName name="PontoVírgula">Config!$B$26</definedName>
    <definedName name="RemoverLinhas">Config!$B$24</definedName>
    <definedName name="SalvarArquivoTexto">Config!$B$16</definedName>
    <definedName name="SQL">Config!$B$30</definedName>
    <definedName name="TamanhoFonte">Config!$B$10</definedName>
    <definedName name="TextoAjuda">Ajuda!$A$3:$A$48</definedName>
    <definedName name="Versão">Config!$K$8</definedName>
  </definedName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74" i="2" l="1"/>
  <c r="D74" i="2"/>
  <c r="C73" i="2"/>
  <c r="D73" i="2"/>
  <c r="C75" i="2" l="1"/>
  <c r="D75" i="2"/>
  <c r="C53" i="2"/>
  <c r="D53" i="2"/>
  <c r="C72" i="2" l="1"/>
  <c r="D72" i="2"/>
  <c r="C71" i="2"/>
  <c r="D71" i="2"/>
  <c r="C70" i="2"/>
  <c r="D70" i="2"/>
  <c r="C69" i="2"/>
  <c r="D69" i="2"/>
  <c r="C68" i="2"/>
  <c r="D68" i="2"/>
  <c r="C67" i="2"/>
  <c r="D67" i="2"/>
  <c r="C66" i="2"/>
  <c r="D66" i="2"/>
  <c r="C65" i="2"/>
  <c r="D65" i="2"/>
  <c r="C64" i="2"/>
  <c r="D64" i="2"/>
  <c r="C63" i="2"/>
  <c r="D63" i="2"/>
  <c r="C62" i="2"/>
  <c r="D62" i="2"/>
  <c r="C61" i="2"/>
  <c r="D61" i="2"/>
  <c r="C60" i="2"/>
  <c r="D60" i="2"/>
  <c r="C59" i="2"/>
  <c r="D59" i="2"/>
  <c r="C58" i="2"/>
  <c r="D58" i="2"/>
  <c r="C57" i="2"/>
  <c r="D57" i="2"/>
  <c r="C56" i="2"/>
  <c r="D56" i="2"/>
  <c r="C55" i="2"/>
  <c r="D55" i="2"/>
  <c r="C54" i="2"/>
  <c r="D54" i="2"/>
  <c r="C52" i="2"/>
  <c r="D52" i="2"/>
  <c r="C51" i="2"/>
  <c r="D51" i="2"/>
  <c r="C50" i="2"/>
  <c r="D50" i="2"/>
  <c r="C49" i="2"/>
  <c r="D49" i="2"/>
  <c r="C48" i="2"/>
  <c r="D48" i="2"/>
  <c r="C47" i="2"/>
  <c r="D47" i="2"/>
  <c r="C46" i="2"/>
  <c r="D46" i="2"/>
  <c r="C45" i="2"/>
  <c r="D45" i="2"/>
  <c r="C44" i="2"/>
  <c r="D44" i="2"/>
  <c r="C43" i="2"/>
  <c r="D43" i="2"/>
  <c r="D42" i="2"/>
  <c r="C42" i="2"/>
  <c r="B33" i="2" l="1"/>
</calcChain>
</file>

<file path=xl/sharedStrings.xml><?xml version="1.0" encoding="utf-8"?>
<sst xmlns="http://schemas.openxmlformats.org/spreadsheetml/2006/main" count="122" uniqueCount="121">
  <si>
    <t>Esta planilha contém configurações para o carregamento do formulário</t>
  </si>
  <si>
    <t>Nome do arquivo de dados:</t>
  </si>
  <si>
    <t>Tamanho da fonte:</t>
  </si>
  <si>
    <t>Arquivo de texto:</t>
  </si>
  <si>
    <t>SQL.txt</t>
  </si>
  <si>
    <t>Salvar em arquivo texto:</t>
  </si>
  <si>
    <t>Último código SQL digitado:</t>
  </si>
  <si>
    <t>Negrito:</t>
  </si>
  <si>
    <t>Ativar ajuda dos controles:</t>
  </si>
  <si>
    <t>Créditos:</t>
  </si>
  <si>
    <t>Incluir tempo e registros:</t>
  </si>
  <si>
    <t>Nome do arquivo de imagem:</t>
  </si>
  <si>
    <t>Nome da fonte:</t>
  </si>
  <si>
    <t>Consolas</t>
  </si>
  <si>
    <t>Esta planilha contém um texto de ajuda para exibição pelo formulário</t>
  </si>
  <si>
    <t>O Excel se conectará a uma base de dados Access de extensão mdb (antes do Access 2007) e accdb (Access 2007 em diante).</t>
  </si>
  <si>
    <t>• Guia "Arquivos"</t>
  </si>
  <si>
    <t>• Guia "SQL"</t>
  </si>
  <si>
    <t>Icons courtesy of Axialis Software - http://www.axialis.com</t>
  </si>
  <si>
    <t>OBS: Os CEPS, cidades e estados são reais. Todos os demais nomes, telefones, e-mails, datas e outros valores foram gerados aleatoriamente.</t>
  </si>
  <si>
    <t>Caso encontre alguma informação coincidente com algum lugar ou pessoa real, terá sido mera coincidência.</t>
  </si>
  <si>
    <t>Armazenar códigos com erros:</t>
  </si>
  <si>
    <t>Inserir cláusulas padrão:</t>
  </si>
  <si>
    <t>Não mudar nada:</t>
  </si>
  <si>
    <t>alternar para letras minúsculas:</t>
  </si>
  <si>
    <t>ALTERNAR PARA LETRAS MAIÚSCULAS:</t>
  </si>
  <si>
    <t>Alternar Para Iniciais Maiúsculas:</t>
  </si>
  <si>
    <t>Ao digitar cláusulas SQL</t>
  </si>
  <si>
    <t>Remover linhas em branco:</t>
  </si>
  <si>
    <t>Acrescentar ponto-e-vírgula:</t>
  </si>
  <si>
    <t>Versão do projeto:</t>
  </si>
  <si>
    <t>Este projeto (pasta de trabalho) contém um formulário principal que tem o objetivo de auxiliar você na prática de comandos SQL.</t>
  </si>
  <si>
    <t>Cada consulta SQL sobre uma base de dados, resultará na extração dos registros selecionados para a planilha.</t>
  </si>
  <si>
    <t>– Selecione um arquivo de dados do Access (extensões mdb ou accdb). Use o botão [Procurar banco].</t>
  </si>
  <si>
    <t>– Selecione um arquivo de imagem (extenções GIF, BMP ou JPG) que representará as relações entre as tabelas da base de dados. Use o botão [Procurar imagem].</t>
  </si>
  <si>
    <t>– Marque a caixa "Gravar em arquivo de texto" e preencha o nome do arquivo TXT desejado. Cada consulta SQL será registrada nesse arquivo.</t>
  </si>
  <si>
    <t>– Marque a caixa "Incluir tempo e registros" para registrar o tempo gasto para a consulta e a quantidade de registros extraídos.</t>
  </si>
  <si>
    <t>– Marque a caixa "Armazenar códigos com erros" se desejar salvar no arquivo também os códigos executados com sintaxe errada, bem como a mensagem de erro gerada.</t>
  </si>
  <si>
    <t>– Clique no botão [Excluir TXT] para excluir o arquivo usado para gravar as execuções de códigos SQL.</t>
  </si>
  <si>
    <t>– Clique no botão [Abrir TXT] para abrir o arquivo usado para gravar as execuções de códigos SQL.</t>
  </si>
  <si>
    <t>– Na caixa de texto, digite o código SQL a ser processado. Você poderá usar letras maiúsculas ou minúsculas.</t>
  </si>
  <si>
    <t>– Clique no botão [Executar código SQL] para processar a consulta e extrair os dados para a planilha.</t>
  </si>
  <si>
    <t>– Clique no botão [Limpar código SQL] para limpar a caixa de texto do código.</t>
  </si>
  <si>
    <t>– Clique no botão [Visualizar imagem] para exibir a imagem salva que representa o relacionamento entre as tabelas da base de dados conectada.</t>
  </si>
  <si>
    <t>– Quando terminar de visualizar a imagem exibida, dê um clique sobre ela ou use a tecla [Esc].</t>
  </si>
  <si>
    <t>– Após cada consulta haverá uma mensagem logo acima da caixa de texto, mostrando o tempo gasto no processamento e a quantidade de registros extraídos.</t>
  </si>
  <si>
    <t>– Opcionalmente escolha a fonte e o tamanho para a caixa de consultas SQL.</t>
  </si>
  <si>
    <t>• Guia "Opções"</t>
  </si>
  <si>
    <t>– Marque a caixa "Ativar ajuda dos controles" para exibir um texto de ajuda na parte de baixo do formulário, quando o ponteiro do mouse passar sobre ele.</t>
  </si>
  <si>
    <t>– Marque a caixa "Ao limpar a caixa de texto do código SQL, inserir as cláusulas padrão" para preencher a caixa com SELECT, FROM, WHERE, GROUP BY, HAVING, ORDER BY.</t>
  </si>
  <si>
    <t>– Clique no botão "Restaurar formulário" para limpar todas as definições atuais e retornar às configurações padrão. Você precisará especificar os arquivos novamente.</t>
  </si>
  <si>
    <t>Para fechar o formulário clique no botão vermelho (X) ou use a tecla [Esc].</t>
  </si>
  <si>
    <t>FORMULÁRIO PARA CONSULTAS EM SQL</t>
  </si>
  <si>
    <t>Data:</t>
  </si>
  <si>
    <t>Criado por Fernando de Carvalho Navarro</t>
  </si>
  <si>
    <t>fernando.c.navarro@gmail.com</t>
  </si>
  <si>
    <t>www.linkedin.com/in/FernandoCarvalhoNavarro</t>
  </si>
  <si>
    <t>www.facebook.com/ConsultorOffice</t>
  </si>
  <si>
    <t>www.youtube.com/ConsultorOffice</t>
  </si>
  <si>
    <t>Não modifique o conteúdo das células desta planilha para não prejudicar a execução das rotinas</t>
  </si>
  <si>
    <t>Minúsculas</t>
  </si>
  <si>
    <t>Maiúsculas</t>
  </si>
  <si>
    <t>Iniciais</t>
  </si>
  <si>
    <t>select</t>
  </si>
  <si>
    <t xml:space="preserve"> as </t>
  </si>
  <si>
    <t xml:space="preserve">distinct </t>
  </si>
  <si>
    <t xml:space="preserve">top </t>
  </si>
  <si>
    <t xml:space="preserve">percent </t>
  </si>
  <si>
    <t>from</t>
  </si>
  <si>
    <t xml:space="preserve">inner </t>
  </si>
  <si>
    <t xml:space="preserve">outer </t>
  </si>
  <si>
    <t xml:space="preserve">join </t>
  </si>
  <si>
    <t xml:space="preserve"> on </t>
  </si>
  <si>
    <t>where</t>
  </si>
  <si>
    <t xml:space="preserve">group </t>
  </si>
  <si>
    <t xml:space="preserve"> by </t>
  </si>
  <si>
    <t>having</t>
  </si>
  <si>
    <t xml:space="preserve">order </t>
  </si>
  <si>
    <t>Palavras-chave:</t>
  </si>
  <si>
    <t xml:space="preserve"> asc</t>
  </si>
  <si>
    <t xml:space="preserve"> desc</t>
  </si>
  <si>
    <t xml:space="preserve">and </t>
  </si>
  <si>
    <t xml:space="preserve">or </t>
  </si>
  <si>
    <t xml:space="preserve">not </t>
  </si>
  <si>
    <t xml:space="preserve">in </t>
  </si>
  <si>
    <t>in(</t>
  </si>
  <si>
    <t>between</t>
  </si>
  <si>
    <t xml:space="preserve">like </t>
  </si>
  <si>
    <t>sum(</t>
  </si>
  <si>
    <t>avg(</t>
  </si>
  <si>
    <t>max(</t>
  </si>
  <si>
    <t>min(</t>
  </si>
  <si>
    <t>count(</t>
  </si>
  <si>
    <t>ucase(</t>
  </si>
  <si>
    <t>– Clique no botão [Recuperar código SQL] para trazer novamente para a caixa de texto o último código SQL processado e salvo no arquivo TXT.</t>
  </si>
  <si>
    <t xml:space="preserve"> is </t>
  </si>
  <si>
    <t>null</t>
  </si>
  <si>
    <t>Grupo "Ao digitar cláusulas SQL":</t>
  </si>
  <si>
    <t>Grupo "Ao executar código SQL":</t>
  </si>
  <si>
    <t xml:space="preserve">  - Escolha uma das opções para trocar as letras durante a digitação. Isso só afetará as palavras-chave do SQL. Demais itens ficam inalterados.</t>
  </si>
  <si>
    <t xml:space="preserve">  - Marque a caixa "Remover linhas em branco" para permitir a remoção de linhas em branco desnecessárias.</t>
  </si>
  <si>
    <t xml:space="preserve">  - Marque a caixa "Acrescentar ponto-e-vírgula se necessário" para manter sempre o ";" no final do comando SQL.</t>
  </si>
  <si>
    <t xml:space="preserve">  - Marque a caixa "Copiar o texto para a Área de Transferência" para poder colar o texto em outro local, se necessário.</t>
  </si>
  <si>
    <t>Copiar para Área de Trasnfer.:</t>
  </si>
  <si>
    <t>left(</t>
  </si>
  <si>
    <t>right(</t>
  </si>
  <si>
    <t>Versão 3.3</t>
  </si>
  <si>
    <t>Setembro/2017</t>
  </si>
  <si>
    <t>D:\Junior &amp; Cris\Desktop\DataBases\ConsultasSQL\Base Loja.gif</t>
  </si>
  <si>
    <t>D:\Junior &amp; Cris\Desktop\BPAManager\dbBPA.mdb</t>
  </si>
  <si>
    <t>ID</t>
  </si>
  <si>
    <t>PROFESSIONAL</t>
  </si>
  <si>
    <t>PROCEDIMENTO</t>
  </si>
  <si>
    <t>QUANTIDADE</t>
  </si>
  <si>
    <t>INITIAL_DATE</t>
  </si>
  <si>
    <t>FINAL_DATE</t>
  </si>
  <si>
    <t>YEAR_NUM</t>
  </si>
  <si>
    <t>MONTH_NAME</t>
  </si>
  <si>
    <t>CODPROC_CODCBO</t>
  </si>
  <si>
    <t>NOMEPROCED_PROFISSIONAL</t>
  </si>
  <si>
    <t>SELECT * FROM tbProcedimentos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</si>
</sst>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top"/>
    </xf>
  </cellStyleXfs>
  <cellXfs count="13">
    <xf numFmtId="0" fontId="0" fillId="0" borderId="0" xfId="0">
      <alignment vertical="top"/>
    </xf>
    <xf numFmtId="0" fontId="0" fillId="2" borderId="0" xfId="0" applyFill="1">
      <alignment vertical="top"/>
    </xf>
    <xf numFmtId="0" fontId="0" fillId="2" borderId="0" xfId="0" applyFill="1" applyProtection="1">
      <alignment vertical="top"/>
      <protection locked="0"/>
    </xf>
    <xf numFmtId="0" fontId="0" fillId="2" borderId="0" xfId="0" applyFill="1" applyAlignment="1" applyProtection="1">
      <alignment horizontal="left"/>
      <protection locked="0"/>
    </xf>
    <xf numFmtId="0" fontId="2" fillId="0" borderId="0" xfId="0" applyFont="1">
      <alignment vertical="top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0" fontId="4" fillId="0" borderId="0" xfId="0" applyFont="1">
      <alignment vertical="top"/>
    </xf>
    <xf numFmtId="49" fontId="0" fillId="2" borderId="0" xfId="0" applyNumberFormat="1" applyFill="1" applyAlignment="1" applyProtection="1">
      <alignment horizontal="left"/>
      <protection locked="0"/>
    </xf>
    <xf numFmtId="0" fontId="5" fillId="0" borderId="0" xfId="0" applyFont="1">
      <alignment vertical="top"/>
    </xf>
    <xf numFmtId="0" fontId="1" fillId="2" borderId="0" xfId="0" applyFont="1" applyFill="1" applyAlignment="1" applyProtection="1">
      <alignment vertical="top" wrapText="1"/>
      <protection locked="0"/>
    </xf>
    <xf numFmtId="0" fontId="0" fillId="2" borderId="0" xfId="0" applyFill="1" applyAlignment="1">
      <alignment horizontal="center" vertical="top"/>
    </xf>
    <xf numFmtId="0" fontId="6" fillId="3" borderId="0" xfId="0" applyFont="1" applyFill="1">
      <alignment vertical="top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</xdr:colOff>
      <xdr:row>0</xdr:row>
      <xdr:rowOff>85725</xdr:rowOff>
    </xdr:from>
    <xdr:to>
      <xdr:col>11</xdr:col>
      <xdr:colOff>1</xdr:colOff>
      <xdr:row>2</xdr:row>
      <xdr:rowOff>95250</xdr:rowOff>
    </xdr:to>
    <xdr:sp macro="[0]!Exibir_Formulá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88853AC-6732-4F6A-904E-4443540D8B9D}"/>
            </a:ext>
          </a:extLst>
        </xdr:cNvPr>
        <xdr:cNvSpPr/>
      </xdr:nvSpPr>
      <xdr:spPr>
        <a:xfrm>
          <a:off x="8629651" y="85725"/>
          <a:ext cx="1695450" cy="533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Exibir formulário de comandos</a:t>
          </a:r>
          <a:r>
            <a:rPr lang="pt-BR" sz="1100" b="1" baseline="0"/>
            <a:t> SQL</a:t>
          </a:r>
          <a:endParaRPr lang="pt-BR" sz="1100" b="1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8439150</xdr:colOff>
      <xdr:row>0</xdr:row>
      <xdr:rowOff>133350</xdr:rowOff>
    </xdr:from>
    <xdr:to>
      <xdr:col>0</xdr:col>
      <xdr:colOff>10134600</xdr:colOff>
      <xdr:row>2</xdr:row>
      <xdr:rowOff>142875</xdr:rowOff>
    </xdr:to>
    <xdr:sp macro="[0]!Exibir_Formulá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A44ED23-11B4-4FBA-A24D-9BAECB894B95}"/>
            </a:ext>
          </a:extLst>
        </xdr:cNvPr>
        <xdr:cNvSpPr/>
      </xdr:nvSpPr>
      <xdr:spPr>
        <a:xfrm>
          <a:off x="8439150" y="133350"/>
          <a:ext cx="1695450" cy="533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1"/>
            <a:t>Exibir formulário de comandos</a:t>
          </a:r>
          <a:r>
            <a:rPr lang="pt-BR" sz="1100" b="1" baseline="0"/>
            <a:t> SQL</a:t>
          </a:r>
          <a:endParaRPr lang="pt-BR" sz="1100" b="1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Cláusulas" displayName="TabCláusulas" ref="B41:D75" totalsRowShown="0">
  <autoFilter ref="B41:D75" xr:uid="{00000000-0009-0000-0100-000001000000}"/>
  <tableColumns count="3">
    <tableColumn id="1" xr3:uid="{00000000-0010-0000-0000-000001000000}" name="Minúsculas"/>
    <tableColumn id="2" xr3:uid="{00000000-0010-0000-0000-000002000000}" name="Maiúsculas">
      <calculatedColumnFormula>UPPER(TabCláusulas[Minúsculas])</calculatedColumnFormula>
    </tableColumn>
    <tableColumn id="3" xr3:uid="{00000000-0010-0000-0000-000003000000}" name="Iniciais">
      <calculatedColumnFormula>PROPER(TabCláusulas[Minúsculas])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Curs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FFC000"/>
      </a:accent2>
      <a:accent3>
        <a:srgbClr val="70AD47"/>
      </a:accent3>
      <a:accent4>
        <a:srgbClr val="F14124"/>
      </a:accent4>
      <a:accent5>
        <a:srgbClr val="33CCCC"/>
      </a:accent5>
      <a:accent6>
        <a:srgbClr val="ED7D31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J1"/>
  <sheetViews>
    <sheetView tabSelected="1" workbookViewId="0"/>
  </sheetViews>
  <sheetFormatPr defaultColWidth="8.7109375" defaultRowHeight="15" x14ac:dyDescent="0.25"/>
  <cols>
    <col min="1" max="1" width="2.85546875" bestFit="1" customWidth="1"/>
    <col min="2" max="2" width="14.42578125" bestFit="1" customWidth="1"/>
    <col min="3" max="3" width="15.5703125" bestFit="1" customWidth="1"/>
    <col min="4" max="4" width="13.140625" bestFit="1" customWidth="1"/>
    <col min="5" max="5" width="12.85546875" bestFit="1" customWidth="1"/>
    <col min="6" max="6" width="11.7109375" bestFit="1" customWidth="1"/>
    <col min="7" max="7" width="11.28515625" bestFit="1" customWidth="1"/>
    <col min="8" max="8" width="14.7109375" bestFit="1" customWidth="1"/>
    <col min="9" max="9" width="18.5703125" bestFit="1" customWidth="1"/>
    <col min="10" max="10" width="28.28515625" bestFit="1" customWidth="1"/>
  </cols>
  <sheetData>
    <row r="1" spans="1:10" x14ac:dyDescent="0.25">
      <c r="A1" s="12" t="s">
        <v>110</v>
      </c>
      <c r="B1" s="12" t="s">
        <v>111</v>
      </c>
      <c r="C1" s="12" t="s">
        <v>112</v>
      </c>
      <c r="D1" s="12" t="s">
        <v>113</v>
      </c>
      <c r="E1" s="12" t="s">
        <v>114</v>
      </c>
      <c r="F1" s="12" t="s">
        <v>115</v>
      </c>
      <c r="G1" s="12" t="s">
        <v>116</v>
      </c>
      <c r="H1" s="12" t="s">
        <v>117</v>
      </c>
      <c r="I1" s="12" t="s">
        <v>118</v>
      </c>
      <c r="J1" s="12" t="s">
        <v>119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K75"/>
  <sheetViews>
    <sheetView showGridLines="0" showRowColHeaders="0" workbookViewId="0">
      <selection activeCell="B4" sqref="B4"/>
    </sheetView>
  </sheetViews>
  <sheetFormatPr defaultRowHeight="15" x14ac:dyDescent="0.25"/>
  <cols>
    <col min="1" max="1" width="28.85546875" customWidth="1"/>
    <col min="2" max="4" width="16.7109375" customWidth="1"/>
    <col min="5" max="10" width="8.7109375" customWidth="1"/>
    <col min="11" max="11" width="16.7109375" customWidth="1"/>
  </cols>
  <sheetData>
    <row r="1" spans="1:11" ht="26.25" x14ac:dyDescent="0.25">
      <c r="A1" s="7" t="s">
        <v>0</v>
      </c>
    </row>
    <row r="2" spans="1:11" x14ac:dyDescent="0.25">
      <c r="A2" s="9" t="s">
        <v>59</v>
      </c>
    </row>
    <row r="4" spans="1:11" x14ac:dyDescent="0.25">
      <c r="A4" s="5" t="s">
        <v>1</v>
      </c>
      <c r="B4" s="2" t="s">
        <v>109</v>
      </c>
      <c r="C4" s="1"/>
      <c r="D4" s="1"/>
      <c r="E4" s="1"/>
      <c r="F4" s="1"/>
      <c r="G4" s="1"/>
      <c r="H4" s="1"/>
      <c r="I4" s="1"/>
      <c r="J4" s="1"/>
      <c r="K4" s="1"/>
    </row>
    <row r="5" spans="1:11" s="4" customFormat="1" ht="6.75" x14ac:dyDescent="0.25"/>
    <row r="6" spans="1:11" x14ac:dyDescent="0.25">
      <c r="A6" s="5" t="s">
        <v>11</v>
      </c>
      <c r="B6" s="2" t="s">
        <v>108</v>
      </c>
      <c r="C6" s="1"/>
      <c r="D6" s="1"/>
      <c r="E6" s="1"/>
      <c r="F6" s="1"/>
      <c r="G6" s="1"/>
      <c r="H6" s="1"/>
      <c r="I6" s="1"/>
      <c r="J6" s="1"/>
      <c r="K6" s="1"/>
    </row>
    <row r="7" spans="1:11" s="4" customFormat="1" ht="6.75" x14ac:dyDescent="0.25"/>
    <row r="8" spans="1:11" x14ac:dyDescent="0.25">
      <c r="A8" s="5" t="s">
        <v>12</v>
      </c>
      <c r="B8" s="2" t="s">
        <v>13</v>
      </c>
      <c r="C8" s="1"/>
      <c r="J8" s="5" t="s">
        <v>30</v>
      </c>
      <c r="K8" s="3" t="s">
        <v>106</v>
      </c>
    </row>
    <row r="9" spans="1:11" s="4" customFormat="1" ht="6.75" x14ac:dyDescent="0.25"/>
    <row r="10" spans="1:11" x14ac:dyDescent="0.25">
      <c r="A10" s="5" t="s">
        <v>2</v>
      </c>
      <c r="B10" s="3">
        <v>16</v>
      </c>
      <c r="J10" s="5" t="s">
        <v>53</v>
      </c>
      <c r="K10" s="8" t="s">
        <v>107</v>
      </c>
    </row>
    <row r="11" spans="1:11" s="4" customFormat="1" ht="6.75" x14ac:dyDescent="0.25"/>
    <row r="12" spans="1:11" x14ac:dyDescent="0.25">
      <c r="A12" s="5" t="s">
        <v>7</v>
      </c>
      <c r="B12" s="3" t="b">
        <v>0</v>
      </c>
    </row>
    <row r="13" spans="1:11" s="4" customFormat="1" ht="6.75" x14ac:dyDescent="0.25"/>
    <row r="14" spans="1:11" x14ac:dyDescent="0.25">
      <c r="A14" s="5" t="s">
        <v>8</v>
      </c>
      <c r="B14" s="3" t="b">
        <v>0</v>
      </c>
      <c r="H14" s="11" t="s">
        <v>27</v>
      </c>
      <c r="I14" s="11"/>
      <c r="J14" s="11"/>
      <c r="K14" s="11"/>
    </row>
    <row r="15" spans="1:11" s="4" customFormat="1" ht="6.75" x14ac:dyDescent="0.25"/>
    <row r="16" spans="1:11" x14ac:dyDescent="0.25">
      <c r="A16" s="5" t="s">
        <v>5</v>
      </c>
      <c r="B16" s="3" t="b">
        <v>0</v>
      </c>
      <c r="J16" s="5" t="s">
        <v>23</v>
      </c>
      <c r="K16" s="3" t="b">
        <v>0</v>
      </c>
    </row>
    <row r="17" spans="1:11" s="4" customFormat="1" ht="6.75" x14ac:dyDescent="0.25"/>
    <row r="18" spans="1:11" x14ac:dyDescent="0.25">
      <c r="A18" s="5" t="s">
        <v>10</v>
      </c>
      <c r="B18" s="3" t="b">
        <v>0</v>
      </c>
      <c r="J18" s="5" t="s">
        <v>24</v>
      </c>
      <c r="K18" s="3" t="b">
        <v>0</v>
      </c>
    </row>
    <row r="19" spans="1:11" s="4" customFormat="1" ht="6.75" x14ac:dyDescent="0.25"/>
    <row r="20" spans="1:11" x14ac:dyDescent="0.25">
      <c r="A20" s="5" t="s">
        <v>21</v>
      </c>
      <c r="B20" s="3" t="b">
        <v>0</v>
      </c>
      <c r="J20" s="5" t="s">
        <v>25</v>
      </c>
      <c r="K20" s="3" t="b">
        <v>1</v>
      </c>
    </row>
    <row r="21" spans="1:11" s="4" customFormat="1" ht="6.75" x14ac:dyDescent="0.25"/>
    <row r="22" spans="1:11" x14ac:dyDescent="0.25">
      <c r="A22" s="5" t="s">
        <v>22</v>
      </c>
      <c r="B22" s="3" t="b">
        <v>0</v>
      </c>
      <c r="J22" s="5" t="s">
        <v>26</v>
      </c>
      <c r="K22" s="3" t="b">
        <v>0</v>
      </c>
    </row>
    <row r="23" spans="1:11" s="4" customFormat="1" ht="6.75" x14ac:dyDescent="0.25"/>
    <row r="24" spans="1:11" x14ac:dyDescent="0.25">
      <c r="A24" s="5" t="s">
        <v>28</v>
      </c>
      <c r="B24" s="3" t="b">
        <v>0</v>
      </c>
    </row>
    <row r="25" spans="1:11" s="4" customFormat="1" ht="6.75" x14ac:dyDescent="0.25"/>
    <row r="26" spans="1:11" x14ac:dyDescent="0.25">
      <c r="A26" s="5" t="s">
        <v>29</v>
      </c>
      <c r="B26" s="3" t="b">
        <v>0</v>
      </c>
    </row>
    <row r="27" spans="1:11" s="4" customFormat="1" ht="6.75" x14ac:dyDescent="0.25"/>
    <row r="28" spans="1:11" x14ac:dyDescent="0.25">
      <c r="A28" s="5" t="s">
        <v>103</v>
      </c>
      <c r="B28" s="3" t="b">
        <v>0</v>
      </c>
      <c r="J28" s="5" t="s">
        <v>3</v>
      </c>
      <c r="K28" s="2" t="s">
        <v>4</v>
      </c>
    </row>
    <row r="29" spans="1:11" s="4" customFormat="1" ht="6.75" x14ac:dyDescent="0.25"/>
    <row r="30" spans="1:11" ht="141" customHeight="1" x14ac:dyDescent="0.25">
      <c r="A30" s="6" t="s">
        <v>6</v>
      </c>
      <c r="B30" s="10" t="s">
        <v>120</v>
      </c>
      <c r="C30" s="10"/>
      <c r="D30" s="10"/>
      <c r="E30" s="10"/>
      <c r="F30" s="10"/>
      <c r="G30" s="10"/>
      <c r="H30" s="10"/>
      <c r="I30" s="10"/>
      <c r="J30" s="10"/>
      <c r="K30" s="10"/>
    </row>
    <row r="31" spans="1:11" s="4" customFormat="1" ht="6.75" x14ac:dyDescent="0.25"/>
    <row r="32" spans="1:11" ht="15" customHeight="1" x14ac:dyDescent="0.25">
      <c r="A32" s="6" t="s">
        <v>9</v>
      </c>
      <c r="B32" s="1" t="s">
        <v>52</v>
      </c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B33" s="1" t="str">
        <f>Versão &amp; "   –   " &amp;DataVersão</f>
        <v>Versão 3.3   –   Setembro/2017</v>
      </c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B35" s="1" t="s">
        <v>54</v>
      </c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B36" s="1" t="s">
        <v>55</v>
      </c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B37" s="1" t="s">
        <v>56</v>
      </c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B38" s="1" t="s">
        <v>57</v>
      </c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B39" s="1" t="s">
        <v>58</v>
      </c>
      <c r="C39" s="1"/>
      <c r="D39" s="1"/>
      <c r="E39" s="1"/>
      <c r="F39" s="1"/>
      <c r="G39" s="1"/>
      <c r="H39" s="1"/>
      <c r="I39" s="1"/>
      <c r="J39" s="1"/>
      <c r="K39" s="1"/>
    </row>
    <row r="41" spans="1:11" x14ac:dyDescent="0.25">
      <c r="A41" s="6" t="s">
        <v>78</v>
      </c>
      <c r="B41" t="s">
        <v>60</v>
      </c>
      <c r="C41" t="s">
        <v>61</v>
      </c>
      <c r="D41" t="s">
        <v>62</v>
      </c>
    </row>
    <row r="42" spans="1:11" x14ac:dyDescent="0.25">
      <c r="B42" t="s">
        <v>63</v>
      </c>
      <c r="C42" t="str">
        <f>UPPER(TabCláusulas[Minúsculas])</f>
        <v>SELECT</v>
      </c>
      <c r="D42" t="str">
        <f>PROPER(TabCláusulas[Minúsculas])</f>
        <v>Select</v>
      </c>
    </row>
    <row r="43" spans="1:11" x14ac:dyDescent="0.25">
      <c r="B43" t="s">
        <v>64</v>
      </c>
      <c r="C43" t="str">
        <f>UPPER(TabCláusulas[Minúsculas])</f>
        <v xml:space="preserve"> AS </v>
      </c>
      <c r="D43" t="str">
        <f>PROPER(TabCláusulas[Minúsculas])</f>
        <v xml:space="preserve"> As </v>
      </c>
    </row>
    <row r="44" spans="1:11" x14ac:dyDescent="0.25">
      <c r="B44" t="s">
        <v>65</v>
      </c>
      <c r="C44" t="str">
        <f>UPPER(TabCláusulas[Minúsculas])</f>
        <v xml:space="preserve">DISTINCT </v>
      </c>
      <c r="D44" t="str">
        <f>PROPER(TabCláusulas[Minúsculas])</f>
        <v xml:space="preserve">Distinct </v>
      </c>
    </row>
    <row r="45" spans="1:11" x14ac:dyDescent="0.25">
      <c r="B45" t="s">
        <v>66</v>
      </c>
      <c r="C45" t="str">
        <f>UPPER(TabCláusulas[Minúsculas])</f>
        <v xml:space="preserve">TOP </v>
      </c>
      <c r="D45" t="str">
        <f>PROPER(TabCláusulas[Minúsculas])</f>
        <v xml:space="preserve">Top </v>
      </c>
    </row>
    <row r="46" spans="1:11" x14ac:dyDescent="0.25">
      <c r="B46" t="s">
        <v>67</v>
      </c>
      <c r="C46" t="str">
        <f>UPPER(TabCláusulas[Minúsculas])</f>
        <v xml:space="preserve">PERCENT </v>
      </c>
      <c r="D46" t="str">
        <f>PROPER(TabCláusulas[Minúsculas])</f>
        <v xml:space="preserve">Percent </v>
      </c>
    </row>
    <row r="47" spans="1:11" x14ac:dyDescent="0.25">
      <c r="B47" t="s">
        <v>68</v>
      </c>
      <c r="C47" t="str">
        <f>UPPER(TabCláusulas[Minúsculas])</f>
        <v>FROM</v>
      </c>
      <c r="D47" t="str">
        <f>PROPER(TabCláusulas[Minúsculas])</f>
        <v>From</v>
      </c>
    </row>
    <row r="48" spans="1:11" x14ac:dyDescent="0.25">
      <c r="B48" t="s">
        <v>69</v>
      </c>
      <c r="C48" t="str">
        <f>UPPER(TabCláusulas[Minúsculas])</f>
        <v xml:space="preserve">INNER </v>
      </c>
      <c r="D48" t="str">
        <f>PROPER(TabCláusulas[Minúsculas])</f>
        <v xml:space="preserve">Inner </v>
      </c>
    </row>
    <row r="49" spans="2:4" x14ac:dyDescent="0.25">
      <c r="B49" t="s">
        <v>70</v>
      </c>
      <c r="C49" t="str">
        <f>UPPER(TabCláusulas[Minúsculas])</f>
        <v xml:space="preserve">OUTER </v>
      </c>
      <c r="D49" t="str">
        <f>PROPER(TabCláusulas[Minúsculas])</f>
        <v xml:space="preserve">Outer </v>
      </c>
    </row>
    <row r="50" spans="2:4" x14ac:dyDescent="0.25">
      <c r="B50" t="s">
        <v>71</v>
      </c>
      <c r="C50" t="str">
        <f>UPPER(TabCláusulas[Minúsculas])</f>
        <v xml:space="preserve">JOIN </v>
      </c>
      <c r="D50" t="str">
        <f>PROPER(TabCláusulas[Minúsculas])</f>
        <v xml:space="preserve">Join </v>
      </c>
    </row>
    <row r="51" spans="2:4" x14ac:dyDescent="0.25">
      <c r="B51" t="s">
        <v>72</v>
      </c>
      <c r="C51" t="str">
        <f>UPPER(TabCláusulas[Minúsculas])</f>
        <v xml:space="preserve"> ON </v>
      </c>
      <c r="D51" t="str">
        <f>PROPER(TabCláusulas[Minúsculas])</f>
        <v xml:space="preserve"> On </v>
      </c>
    </row>
    <row r="52" spans="2:4" x14ac:dyDescent="0.25">
      <c r="B52" t="s">
        <v>73</v>
      </c>
      <c r="C52" t="str">
        <f>UPPER(TabCláusulas[Minúsculas])</f>
        <v>WHERE</v>
      </c>
      <c r="D52" t="str">
        <f>PROPER(TabCláusulas[Minúsculas])</f>
        <v>Where</v>
      </c>
    </row>
    <row r="53" spans="2:4" x14ac:dyDescent="0.25">
      <c r="B53" t="s">
        <v>95</v>
      </c>
      <c r="C53" t="str">
        <f>UPPER(TabCláusulas[Minúsculas])</f>
        <v xml:space="preserve"> IS </v>
      </c>
      <c r="D53" t="str">
        <f>PROPER(TabCláusulas[Minúsculas])</f>
        <v xml:space="preserve"> Is </v>
      </c>
    </row>
    <row r="54" spans="2:4" x14ac:dyDescent="0.25">
      <c r="B54" t="s">
        <v>74</v>
      </c>
      <c r="C54" t="str">
        <f>UPPER(TabCláusulas[Minúsculas])</f>
        <v xml:space="preserve">GROUP </v>
      </c>
      <c r="D54" t="str">
        <f>PROPER(TabCláusulas[Minúsculas])</f>
        <v xml:space="preserve">Group </v>
      </c>
    </row>
    <row r="55" spans="2:4" x14ac:dyDescent="0.25">
      <c r="B55" t="s">
        <v>75</v>
      </c>
      <c r="C55" t="str">
        <f>UPPER(TabCláusulas[Minúsculas])</f>
        <v xml:space="preserve"> BY </v>
      </c>
      <c r="D55" t="str">
        <f>PROPER(TabCláusulas[Minúsculas])</f>
        <v xml:space="preserve"> By </v>
      </c>
    </row>
    <row r="56" spans="2:4" x14ac:dyDescent="0.25">
      <c r="B56" t="s">
        <v>76</v>
      </c>
      <c r="C56" t="str">
        <f>UPPER(TabCláusulas[Minúsculas])</f>
        <v>HAVING</v>
      </c>
      <c r="D56" t="str">
        <f>PROPER(TabCláusulas[Minúsculas])</f>
        <v>Having</v>
      </c>
    </row>
    <row r="57" spans="2:4" x14ac:dyDescent="0.25">
      <c r="B57" t="s">
        <v>77</v>
      </c>
      <c r="C57" t="str">
        <f>UPPER(TabCláusulas[Minúsculas])</f>
        <v xml:space="preserve">ORDER </v>
      </c>
      <c r="D57" t="str">
        <f>PROPER(TabCláusulas[Minúsculas])</f>
        <v xml:space="preserve">Order </v>
      </c>
    </row>
    <row r="58" spans="2:4" x14ac:dyDescent="0.25">
      <c r="B58" t="s">
        <v>79</v>
      </c>
      <c r="C58" t="str">
        <f>UPPER(TabCláusulas[Minúsculas])</f>
        <v xml:space="preserve"> ASC</v>
      </c>
      <c r="D58" t="str">
        <f>PROPER(TabCláusulas[Minúsculas])</f>
        <v xml:space="preserve"> Asc</v>
      </c>
    </row>
    <row r="59" spans="2:4" x14ac:dyDescent="0.25">
      <c r="B59" t="s">
        <v>80</v>
      </c>
      <c r="C59" t="str">
        <f>UPPER(TabCláusulas[Minúsculas])</f>
        <v xml:space="preserve"> DESC</v>
      </c>
      <c r="D59" t="str">
        <f>PROPER(TabCláusulas[Minúsculas])</f>
        <v xml:space="preserve"> Desc</v>
      </c>
    </row>
    <row r="60" spans="2:4" x14ac:dyDescent="0.25">
      <c r="B60" t="s">
        <v>81</v>
      </c>
      <c r="C60" t="str">
        <f>UPPER(TabCláusulas[Minúsculas])</f>
        <v xml:space="preserve">AND </v>
      </c>
      <c r="D60" t="str">
        <f>PROPER(TabCláusulas[Minúsculas])</f>
        <v xml:space="preserve">And </v>
      </c>
    </row>
    <row r="61" spans="2:4" x14ac:dyDescent="0.25">
      <c r="B61" t="s">
        <v>82</v>
      </c>
      <c r="C61" t="str">
        <f>UPPER(TabCláusulas[Minúsculas])</f>
        <v xml:space="preserve">OR </v>
      </c>
      <c r="D61" t="str">
        <f>PROPER(TabCláusulas[Minúsculas])</f>
        <v xml:space="preserve">Or </v>
      </c>
    </row>
    <row r="62" spans="2:4" x14ac:dyDescent="0.25">
      <c r="B62" t="s">
        <v>83</v>
      </c>
      <c r="C62" t="str">
        <f>UPPER(TabCláusulas[Minúsculas])</f>
        <v xml:space="preserve">NOT </v>
      </c>
      <c r="D62" t="str">
        <f>PROPER(TabCláusulas[Minúsculas])</f>
        <v xml:space="preserve">Not </v>
      </c>
    </row>
    <row r="63" spans="2:4" x14ac:dyDescent="0.25">
      <c r="B63" t="s">
        <v>84</v>
      </c>
      <c r="C63" t="str">
        <f>UPPER(TabCláusulas[Minúsculas])</f>
        <v xml:space="preserve">IN </v>
      </c>
      <c r="D63" t="str">
        <f>PROPER(TabCláusulas[Minúsculas])</f>
        <v xml:space="preserve">In </v>
      </c>
    </row>
    <row r="64" spans="2:4" x14ac:dyDescent="0.25">
      <c r="B64" t="s">
        <v>85</v>
      </c>
      <c r="C64" t="str">
        <f>UPPER(TabCláusulas[Minúsculas])</f>
        <v>IN(</v>
      </c>
      <c r="D64" t="str">
        <f>PROPER(TabCláusulas[Minúsculas])</f>
        <v>In(</v>
      </c>
    </row>
    <row r="65" spans="2:4" x14ac:dyDescent="0.25">
      <c r="B65" t="s">
        <v>86</v>
      </c>
      <c r="C65" t="str">
        <f>UPPER(TabCláusulas[Minúsculas])</f>
        <v>BETWEEN</v>
      </c>
      <c r="D65" t="str">
        <f>PROPER(TabCláusulas[Minúsculas])</f>
        <v>Between</v>
      </c>
    </row>
    <row r="66" spans="2:4" x14ac:dyDescent="0.25">
      <c r="B66" t="s">
        <v>87</v>
      </c>
      <c r="C66" t="str">
        <f>UPPER(TabCláusulas[Minúsculas])</f>
        <v xml:space="preserve">LIKE </v>
      </c>
      <c r="D66" t="str">
        <f>PROPER(TabCláusulas[Minúsculas])</f>
        <v xml:space="preserve">Like </v>
      </c>
    </row>
    <row r="67" spans="2:4" x14ac:dyDescent="0.25">
      <c r="B67" t="s">
        <v>88</v>
      </c>
      <c r="C67" t="str">
        <f>UPPER(TabCláusulas[Minúsculas])</f>
        <v>SUM(</v>
      </c>
      <c r="D67" t="str">
        <f>PROPER(TabCláusulas[Minúsculas])</f>
        <v>Sum(</v>
      </c>
    </row>
    <row r="68" spans="2:4" x14ac:dyDescent="0.25">
      <c r="B68" t="s">
        <v>89</v>
      </c>
      <c r="C68" t="str">
        <f>UPPER(TabCláusulas[Minúsculas])</f>
        <v>AVG(</v>
      </c>
      <c r="D68" t="str">
        <f>PROPER(TabCláusulas[Minúsculas])</f>
        <v>Avg(</v>
      </c>
    </row>
    <row r="69" spans="2:4" x14ac:dyDescent="0.25">
      <c r="B69" t="s">
        <v>90</v>
      </c>
      <c r="C69" t="str">
        <f>UPPER(TabCláusulas[Minúsculas])</f>
        <v>MAX(</v>
      </c>
      <c r="D69" t="str">
        <f>PROPER(TabCláusulas[Minúsculas])</f>
        <v>Max(</v>
      </c>
    </row>
    <row r="70" spans="2:4" x14ac:dyDescent="0.25">
      <c r="B70" t="s">
        <v>91</v>
      </c>
      <c r="C70" t="str">
        <f>UPPER(TabCláusulas[Minúsculas])</f>
        <v>MIN(</v>
      </c>
      <c r="D70" t="str">
        <f>PROPER(TabCláusulas[Minúsculas])</f>
        <v>Min(</v>
      </c>
    </row>
    <row r="71" spans="2:4" x14ac:dyDescent="0.25">
      <c r="B71" t="s">
        <v>92</v>
      </c>
      <c r="C71" t="str">
        <f>UPPER(TabCláusulas[Minúsculas])</f>
        <v>COUNT(</v>
      </c>
      <c r="D71" t="str">
        <f>PROPER(TabCláusulas[Minúsculas])</f>
        <v>Count(</v>
      </c>
    </row>
    <row r="72" spans="2:4" x14ac:dyDescent="0.25">
      <c r="B72" t="s">
        <v>93</v>
      </c>
      <c r="C72" t="str">
        <f>UPPER(TabCláusulas[Minúsculas])</f>
        <v>UCASE(</v>
      </c>
      <c r="D72" t="str">
        <f>PROPER(TabCláusulas[Minúsculas])</f>
        <v>Ucase(</v>
      </c>
    </row>
    <row r="73" spans="2:4" x14ac:dyDescent="0.25">
      <c r="B73" t="s">
        <v>104</v>
      </c>
      <c r="C73" t="str">
        <f>UPPER(TabCláusulas[Minúsculas])</f>
        <v>LEFT(</v>
      </c>
      <c r="D73" t="str">
        <f>PROPER(TabCláusulas[Minúsculas])</f>
        <v>Left(</v>
      </c>
    </row>
    <row r="74" spans="2:4" x14ac:dyDescent="0.25">
      <c r="B74" t="s">
        <v>105</v>
      </c>
      <c r="C74" t="str">
        <f>UPPER(TabCláusulas[Minúsculas])</f>
        <v>RIGHT(</v>
      </c>
      <c r="D74" t="str">
        <f>PROPER(TabCláusulas[Minúsculas])</f>
        <v>Right(</v>
      </c>
    </row>
    <row r="75" spans="2:4" x14ac:dyDescent="0.25">
      <c r="B75" t="s">
        <v>96</v>
      </c>
      <c r="C75" t="str">
        <f>UPPER(TabCláusulas[Minúsculas])</f>
        <v>NULL</v>
      </c>
      <c r="D75" t="str">
        <f>PROPER(TabCláusulas[Minúsculas])</f>
        <v>Null</v>
      </c>
    </row>
  </sheetData>
  <sheetProtection algorithmName="SHA-512" hashValue="UXJ0m6Yr9LpGZn2qkV3dI/Vx+2L6yPmbch05NDe5cdTqVKGOtYbErOOlRIJad4nk64QqmGbc3wIaINhPR4/pWQ==" saltValue="8ScJ7EQTWmHsj7RxmQWJRA==" spinCount="100000" sheet="1" selectLockedCells="1"/>
  <mergeCells count="2">
    <mergeCell ref="B30:K30"/>
    <mergeCell ref="H14:K14"/>
  </mergeCells>
  <pageMargins left="0.511811024" right="0.511811024" top="0.78740157499999996" bottom="0.78740157499999996" header="0.31496062000000002" footer="0.31496062000000002"/>
  <pageSetup paperSize="9" scale="62" orientation="portrait" horizontalDpi="4294967293" verticalDpi="429496729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48"/>
  <sheetViews>
    <sheetView showGridLines="0" workbookViewId="0">
      <selection activeCell="B4" sqref="B4"/>
    </sheetView>
  </sheetViews>
  <sheetFormatPr defaultRowHeight="15" x14ac:dyDescent="0.25"/>
  <cols>
    <col min="1" max="1" width="154.28515625" bestFit="1" customWidth="1"/>
  </cols>
  <sheetData>
    <row r="1" spans="1:1" ht="26.25" x14ac:dyDescent="0.25">
      <c r="A1" s="7" t="s">
        <v>14</v>
      </c>
    </row>
    <row r="3" spans="1:1" x14ac:dyDescent="0.25">
      <c r="A3" s="1" t="s">
        <v>52</v>
      </c>
    </row>
    <row r="4" spans="1:1" x14ac:dyDescent="0.25">
      <c r="A4" s="1"/>
    </row>
    <row r="5" spans="1:1" x14ac:dyDescent="0.25">
      <c r="A5" s="1" t="s">
        <v>31</v>
      </c>
    </row>
    <row r="6" spans="1:1" x14ac:dyDescent="0.25">
      <c r="A6" s="1" t="s">
        <v>15</v>
      </c>
    </row>
    <row r="7" spans="1:1" x14ac:dyDescent="0.25">
      <c r="A7" s="1" t="s">
        <v>32</v>
      </c>
    </row>
    <row r="8" spans="1:1" x14ac:dyDescent="0.25">
      <c r="A8" s="1"/>
    </row>
    <row r="9" spans="1:1" x14ac:dyDescent="0.25">
      <c r="A9" s="1" t="s">
        <v>16</v>
      </c>
    </row>
    <row r="10" spans="1:1" x14ac:dyDescent="0.25">
      <c r="A10" s="1"/>
    </row>
    <row r="11" spans="1:1" x14ac:dyDescent="0.25">
      <c r="A11" s="1" t="s">
        <v>33</v>
      </c>
    </row>
    <row r="12" spans="1:1" x14ac:dyDescent="0.25">
      <c r="A12" s="1" t="s">
        <v>34</v>
      </c>
    </row>
    <row r="13" spans="1:1" x14ac:dyDescent="0.25">
      <c r="A13" s="1" t="s">
        <v>35</v>
      </c>
    </row>
    <row r="14" spans="1:1" x14ac:dyDescent="0.25">
      <c r="A14" s="1" t="s">
        <v>36</v>
      </c>
    </row>
    <row r="15" spans="1:1" x14ac:dyDescent="0.25">
      <c r="A15" s="1" t="s">
        <v>37</v>
      </c>
    </row>
    <row r="16" spans="1:1" x14ac:dyDescent="0.25">
      <c r="A16" s="1" t="s">
        <v>38</v>
      </c>
    </row>
    <row r="17" spans="1:1" x14ac:dyDescent="0.25">
      <c r="A17" s="1" t="s">
        <v>39</v>
      </c>
    </row>
    <row r="18" spans="1:1" x14ac:dyDescent="0.25">
      <c r="A18" s="1"/>
    </row>
    <row r="19" spans="1:1" x14ac:dyDescent="0.25">
      <c r="A19" s="1" t="s">
        <v>17</v>
      </c>
    </row>
    <row r="20" spans="1:1" x14ac:dyDescent="0.25">
      <c r="A20" s="1"/>
    </row>
    <row r="21" spans="1:1" x14ac:dyDescent="0.25">
      <c r="A21" s="1" t="s">
        <v>40</v>
      </c>
    </row>
    <row r="22" spans="1:1" x14ac:dyDescent="0.25">
      <c r="A22" s="1" t="s">
        <v>41</v>
      </c>
    </row>
    <row r="23" spans="1:1" x14ac:dyDescent="0.25">
      <c r="A23" s="1" t="s">
        <v>42</v>
      </c>
    </row>
    <row r="24" spans="1:1" x14ac:dyDescent="0.25">
      <c r="A24" s="1" t="s">
        <v>94</v>
      </c>
    </row>
    <row r="25" spans="1:1" x14ac:dyDescent="0.25">
      <c r="A25" s="1" t="s">
        <v>43</v>
      </c>
    </row>
    <row r="26" spans="1:1" x14ac:dyDescent="0.25">
      <c r="A26" s="1" t="s">
        <v>44</v>
      </c>
    </row>
    <row r="27" spans="1:1" x14ac:dyDescent="0.25">
      <c r="A27" s="1" t="s">
        <v>45</v>
      </c>
    </row>
    <row r="28" spans="1:1" x14ac:dyDescent="0.25">
      <c r="A28" s="1" t="s">
        <v>46</v>
      </c>
    </row>
    <row r="29" spans="1:1" x14ac:dyDescent="0.25">
      <c r="A29" s="1"/>
    </row>
    <row r="30" spans="1:1" x14ac:dyDescent="0.25">
      <c r="A30" s="1" t="s">
        <v>47</v>
      </c>
    </row>
    <row r="31" spans="1:1" x14ac:dyDescent="0.25">
      <c r="A31" s="1"/>
    </row>
    <row r="32" spans="1:1" x14ac:dyDescent="0.25">
      <c r="A32" s="1" t="s">
        <v>48</v>
      </c>
    </row>
    <row r="33" spans="1:1" x14ac:dyDescent="0.25">
      <c r="A33" s="1" t="s">
        <v>49</v>
      </c>
    </row>
    <row r="34" spans="1:1" x14ac:dyDescent="0.25">
      <c r="A34" s="1" t="s">
        <v>97</v>
      </c>
    </row>
    <row r="35" spans="1:1" x14ac:dyDescent="0.25">
      <c r="A35" s="1" t="s">
        <v>99</v>
      </c>
    </row>
    <row r="36" spans="1:1" x14ac:dyDescent="0.25">
      <c r="A36" s="1" t="s">
        <v>98</v>
      </c>
    </row>
    <row r="37" spans="1:1" x14ac:dyDescent="0.25">
      <c r="A37" s="1" t="s">
        <v>100</v>
      </c>
    </row>
    <row r="38" spans="1:1" x14ac:dyDescent="0.25">
      <c r="A38" s="1" t="s">
        <v>101</v>
      </c>
    </row>
    <row r="39" spans="1:1" x14ac:dyDescent="0.25">
      <c r="A39" s="1" t="s">
        <v>102</v>
      </c>
    </row>
    <row r="40" spans="1:1" x14ac:dyDescent="0.25">
      <c r="A40" s="1"/>
    </row>
    <row r="41" spans="1:1" x14ac:dyDescent="0.25">
      <c r="A41" s="1" t="s">
        <v>50</v>
      </c>
    </row>
    <row r="42" spans="1:1" x14ac:dyDescent="0.25">
      <c r="A42" s="1"/>
    </row>
    <row r="43" spans="1:1" x14ac:dyDescent="0.25">
      <c r="A43" s="1" t="s">
        <v>51</v>
      </c>
    </row>
    <row r="44" spans="1:1" x14ac:dyDescent="0.25">
      <c r="A44" s="1"/>
    </row>
    <row r="45" spans="1:1" x14ac:dyDescent="0.25">
      <c r="A45" s="1" t="s">
        <v>19</v>
      </c>
    </row>
    <row r="46" spans="1:1" x14ac:dyDescent="0.25">
      <c r="A46" s="1" t="s">
        <v>20</v>
      </c>
    </row>
    <row r="47" spans="1:1" x14ac:dyDescent="0.25">
      <c r="A47" s="1"/>
    </row>
    <row r="48" spans="1:1" x14ac:dyDescent="0.25">
      <c r="A48" s="1" t="s">
        <v>18</v>
      </c>
    </row>
  </sheetData>
  <sheetProtection algorithmName="SHA-512" hashValue="juOmadgaO3pn8UedOC561jkzvrZmsnmPFDwuherc2wT71GoEk1ptmdQ8zJw6CSxz/ZUcjezaJQ9OvMCqQfyJpw==" saltValue="NtdzxSsjSxCgYXHY0Ifshg==" spinCount="100000" sheet="1" select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23</vt:i4>
      </vt:variant>
    </vt:vector>
  </HeadingPairs>
  <TitlesOfParts>
    <vt:vector size="26" baseType="lpstr">
      <vt:lpstr>Dados</vt:lpstr>
      <vt:lpstr>Config</vt:lpstr>
      <vt:lpstr>Ajuda</vt:lpstr>
      <vt:lpstr>Ajuda</vt:lpstr>
      <vt:lpstr>AlternarIniciais</vt:lpstr>
      <vt:lpstr>AlternarMaiúsculas</vt:lpstr>
      <vt:lpstr>AlternarMinúsculas</vt:lpstr>
      <vt:lpstr>ArmazenarCódigosErrados</vt:lpstr>
      <vt:lpstr>ArquivoDados</vt:lpstr>
      <vt:lpstr>ArquivoImagem</vt:lpstr>
      <vt:lpstr>ArquivoTexto</vt:lpstr>
      <vt:lpstr>CopiarTexto</vt:lpstr>
      <vt:lpstr>Créditos</vt:lpstr>
      <vt:lpstr>DataVersão</vt:lpstr>
      <vt:lpstr>IncluirTempoRegistros</vt:lpstr>
      <vt:lpstr>InserirCláusulasPadrão</vt:lpstr>
      <vt:lpstr>NãoMudar</vt:lpstr>
      <vt:lpstr>Negrito</vt:lpstr>
      <vt:lpstr>NomeFonte</vt:lpstr>
      <vt:lpstr>PontoVírgula</vt:lpstr>
      <vt:lpstr>RemoverLinhas</vt:lpstr>
      <vt:lpstr>SalvarArquivoTexto</vt:lpstr>
      <vt:lpstr>SQL</vt:lpstr>
      <vt:lpstr>TamanhoFonte</vt:lpstr>
      <vt:lpstr>TextoAjuda</vt:lpstr>
      <vt:lpstr>Versão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de Carvalho Navarro</dc:creator>
  <cp:lastModifiedBy>Ivanildo Junior</cp:lastModifiedBy>
  <cp:lastPrinted>2017-08-10T18:53:54Z</cp:lastPrinted>
  <dcterms:created xsi:type="dcterms:W3CDTF">2017-05-30T18:50:20Z</dcterms:created>
  <dcterms:modified xsi:type="dcterms:W3CDTF">2018-06-22T16:08:59Z</dcterms:modified>
</cp:coreProperties>
</file>