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b05daec216c4cd4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wbk" hidePivotFieldList="1"/>
  <mc:AlternateContent xmlns:mc="http://schemas.openxmlformats.org/markup-compatibility/2006">
    <mc:Choice Requires="x15">
      <x15ac:absPath xmlns:x15ac="http://schemas.microsoft.com/office/spreadsheetml/2010/11/ac" url="https://d.docs.live.net/309c97073307406c/BackupNoteDell3542/Documents/PROJETO BPA 4.0-1217/"/>
    </mc:Choice>
  </mc:AlternateContent>
  <xr:revisionPtr revIDLastSave="30" documentId="11_1D919D0778D6360ED9A68B1182E8B5B5B818FBD7" xr6:coauthVersionLast="47" xr6:coauthVersionMax="47" xr10:uidLastSave="{E27CD664-1B85-4D06-987C-88430C707D48}"/>
  <bookViews>
    <workbookView showHorizontalScroll="0" showVerticalScroll="0" showSheetTabs="0" xWindow="-110" yWindow="-110" windowWidth="19420" windowHeight="10560" xr2:uid="{00000000-000D-0000-FFFF-FFFF00000000}"/>
  </bookViews>
  <sheets>
    <sheet name="Apoio" sheetId="9" r:id="rId1"/>
    <sheet name="Fichas" sheetId="1" r:id="rId2"/>
    <sheet name="Listas" sheetId="2" r:id="rId3"/>
    <sheet name="RELATÓRIO" sheetId="6" state="hidden" r:id="rId4"/>
  </sheets>
  <functionGroups builtInGroupCount="19"/>
  <definedNames>
    <definedName name="_xlnm._FilterDatabase" localSheetId="1" hidden="1">Fichas!#REF!</definedName>
    <definedName name="ANO">RELATÓRIO!$B$1</definedName>
    <definedName name="MÊS">RELATÓRIO!$B$2</definedName>
    <definedName name="NOME_DO_PROCEDIMENTO">Listas!#REF!</definedName>
    <definedName name="PROFISSIONAL">Listas!$A$2:$A$25</definedName>
    <definedName name="TIPO_CONSULTA">LISTA_PROCED[PROFISSIONAL]</definedName>
    <definedName name="_xlnm.Print_Titles" localSheetId="1">Fichas!#REF!,Fichas!$2:$2</definedName>
    <definedName name="_xlnm.Print_Titles" localSheetId="3">RELATÓRIO!$A:$C,RELATÓRIO!$1:$5</definedName>
  </definedNames>
  <calcPr calcId="191029"/>
  <pivotCaches>
    <pivotCache cacheId="0" r:id="rId5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0" i="1" l="1"/>
  <c r="E40" i="1" s="1"/>
  <c r="G40" i="1"/>
  <c r="H40" i="1"/>
  <c r="I40" i="1"/>
  <c r="D39" i="1"/>
  <c r="F39" i="1" s="1"/>
  <c r="G39" i="1"/>
  <c r="H39" i="1"/>
  <c r="I39" i="1"/>
  <c r="D38" i="1"/>
  <c r="F38" i="1" s="1"/>
  <c r="G38" i="1"/>
  <c r="H38" i="1"/>
  <c r="I38" i="1"/>
  <c r="D37" i="1"/>
  <c r="F37" i="1" s="1"/>
  <c r="G37" i="1"/>
  <c r="H37" i="1"/>
  <c r="I37" i="1"/>
  <c r="F40" i="1" l="1"/>
  <c r="E39" i="1"/>
  <c r="E38" i="1"/>
  <c r="E37" i="1"/>
  <c r="D36" i="1"/>
  <c r="E36" i="1" s="1"/>
  <c r="G36" i="1"/>
  <c r="H36" i="1"/>
  <c r="I36" i="1"/>
  <c r="D35" i="1"/>
  <c r="E35" i="1" s="1"/>
  <c r="G35" i="1"/>
  <c r="H35" i="1"/>
  <c r="I35" i="1"/>
  <c r="D34" i="1"/>
  <c r="E34" i="1" s="1"/>
  <c r="G34" i="1"/>
  <c r="H34" i="1"/>
  <c r="I34" i="1"/>
  <c r="D33" i="1"/>
  <c r="E33" i="1" s="1"/>
  <c r="G33" i="1"/>
  <c r="H33" i="1"/>
  <c r="I33" i="1"/>
  <c r="F36" i="1" l="1"/>
  <c r="F35" i="1"/>
  <c r="F34" i="1"/>
  <c r="F33" i="1"/>
  <c r="D3" i="2"/>
  <c r="D2" i="2"/>
  <c r="D32" i="1" l="1"/>
  <c r="E32" i="1" s="1"/>
  <c r="G32" i="1"/>
  <c r="H32" i="1"/>
  <c r="I32" i="1"/>
  <c r="D31" i="1"/>
  <c r="E31" i="1" s="1"/>
  <c r="G31" i="1"/>
  <c r="H31" i="1"/>
  <c r="I31" i="1"/>
  <c r="D30" i="1"/>
  <c r="E30" i="1" s="1"/>
  <c r="G30" i="1"/>
  <c r="H30" i="1"/>
  <c r="I30" i="1"/>
  <c r="D29" i="1"/>
  <c r="F29" i="1" s="1"/>
  <c r="G29" i="1"/>
  <c r="H29" i="1"/>
  <c r="I29" i="1"/>
  <c r="D28" i="1"/>
  <c r="E28" i="1" s="1"/>
  <c r="G28" i="1"/>
  <c r="H28" i="1"/>
  <c r="I28" i="1"/>
  <c r="D27" i="1"/>
  <c r="E27" i="1" s="1"/>
  <c r="G27" i="1"/>
  <c r="H27" i="1"/>
  <c r="I27" i="1"/>
  <c r="D26" i="1"/>
  <c r="E26" i="1" s="1"/>
  <c r="G26" i="1"/>
  <c r="H26" i="1"/>
  <c r="I26" i="1"/>
  <c r="D25" i="1"/>
  <c r="F25" i="1" s="1"/>
  <c r="G25" i="1"/>
  <c r="H25" i="1"/>
  <c r="I25" i="1"/>
  <c r="F32" i="1" l="1"/>
  <c r="F31" i="1"/>
  <c r="F30" i="1"/>
  <c r="E29" i="1"/>
  <c r="F28" i="1"/>
  <c r="F27" i="1"/>
  <c r="F26" i="1"/>
  <c r="E25" i="1"/>
  <c r="D24" i="1"/>
  <c r="E24" i="1" s="1"/>
  <c r="G24" i="1"/>
  <c r="H24" i="1"/>
  <c r="I24" i="1"/>
  <c r="D23" i="1"/>
  <c r="E23" i="1" s="1"/>
  <c r="G23" i="1"/>
  <c r="H23" i="1"/>
  <c r="I23" i="1"/>
  <c r="D22" i="1"/>
  <c r="E22" i="1" s="1"/>
  <c r="G22" i="1"/>
  <c r="H22" i="1"/>
  <c r="I22" i="1"/>
  <c r="F24" i="1" l="1"/>
  <c r="F23" i="1"/>
  <c r="F22" i="1"/>
  <c r="D21" i="1"/>
  <c r="E21" i="1" s="1"/>
  <c r="G21" i="1"/>
  <c r="H21" i="1"/>
  <c r="I21" i="1"/>
  <c r="D20" i="1"/>
  <c r="E20" i="1" s="1"/>
  <c r="G20" i="1"/>
  <c r="H20" i="1"/>
  <c r="I20" i="1"/>
  <c r="D19" i="1"/>
  <c r="E19" i="1" s="1"/>
  <c r="G19" i="1"/>
  <c r="H19" i="1"/>
  <c r="I19" i="1"/>
  <c r="D18" i="1"/>
  <c r="E18" i="1" s="1"/>
  <c r="G18" i="1"/>
  <c r="H18" i="1"/>
  <c r="I18" i="1"/>
  <c r="D17" i="1"/>
  <c r="E17" i="1" s="1"/>
  <c r="G17" i="1"/>
  <c r="H17" i="1"/>
  <c r="I17" i="1"/>
  <c r="D16" i="1"/>
  <c r="E16" i="1" s="1"/>
  <c r="G16" i="1"/>
  <c r="H16" i="1"/>
  <c r="I16" i="1"/>
  <c r="D15" i="1"/>
  <c r="F15" i="1" s="1"/>
  <c r="G15" i="1"/>
  <c r="H15" i="1"/>
  <c r="I15" i="1"/>
  <c r="F21" i="1" l="1"/>
  <c r="F20" i="1"/>
  <c r="F19" i="1"/>
  <c r="F18" i="1"/>
  <c r="F17" i="1"/>
  <c r="F16" i="1"/>
  <c r="E15" i="1"/>
  <c r="D14" i="1"/>
  <c r="E14" i="1" s="1"/>
  <c r="G14" i="1"/>
  <c r="H14" i="1"/>
  <c r="I14" i="1"/>
  <c r="D13" i="1"/>
  <c r="E13" i="1" s="1"/>
  <c r="G13" i="1"/>
  <c r="H13" i="1"/>
  <c r="I13" i="1"/>
  <c r="D12" i="1"/>
  <c r="E12" i="1" s="1"/>
  <c r="G12" i="1"/>
  <c r="H12" i="1"/>
  <c r="I12" i="1"/>
  <c r="D11" i="1"/>
  <c r="E11" i="1" s="1"/>
  <c r="G11" i="1"/>
  <c r="H11" i="1"/>
  <c r="I11" i="1"/>
  <c r="D10" i="1"/>
  <c r="E10" i="1" s="1"/>
  <c r="G10" i="1"/>
  <c r="H10" i="1"/>
  <c r="I10" i="1"/>
  <c r="D9" i="1"/>
  <c r="E9" i="1" s="1"/>
  <c r="G9" i="1"/>
  <c r="H9" i="1"/>
  <c r="I9" i="1"/>
  <c r="D8" i="1"/>
  <c r="E8" i="1" s="1"/>
  <c r="G8" i="1"/>
  <c r="H8" i="1"/>
  <c r="I8" i="1"/>
  <c r="D7" i="1"/>
  <c r="E7" i="1" s="1"/>
  <c r="G7" i="1"/>
  <c r="H7" i="1"/>
  <c r="I7" i="1"/>
  <c r="D6" i="1"/>
  <c r="E6" i="1" s="1"/>
  <c r="G6" i="1"/>
  <c r="H6" i="1"/>
  <c r="I6" i="1"/>
  <c r="D5" i="1"/>
  <c r="E5" i="1" s="1"/>
  <c r="G5" i="1"/>
  <c r="H5" i="1"/>
  <c r="I5" i="1"/>
  <c r="D4" i="1"/>
  <c r="E4" i="1" s="1"/>
  <c r="G4" i="1"/>
  <c r="H4" i="1"/>
  <c r="I4" i="1"/>
  <c r="D3" i="1"/>
  <c r="E3" i="1" s="1"/>
  <c r="G3" i="1"/>
  <c r="H3" i="1"/>
  <c r="I3" i="1"/>
  <c r="D2" i="1"/>
  <c r="E2" i="1" s="1"/>
  <c r="G2" i="1"/>
  <c r="H2" i="1"/>
  <c r="I2" i="1"/>
  <c r="F14" i="1" l="1"/>
  <c r="F13" i="1"/>
  <c r="F12" i="1"/>
  <c r="F11" i="1"/>
  <c r="F10" i="1"/>
  <c r="F9" i="1"/>
  <c r="F8" i="1"/>
  <c r="F7" i="1"/>
  <c r="F6" i="1"/>
  <c r="F5" i="1"/>
  <c r="F4" i="1"/>
  <c r="F3" i="1"/>
  <c r="F2" i="1"/>
  <c r="D4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 l="1"/>
</calcChain>
</file>

<file path=xl/sharedStrings.xml><?xml version="1.0" encoding="utf-8"?>
<sst xmlns="http://schemas.openxmlformats.org/spreadsheetml/2006/main" count="88" uniqueCount="44">
  <si>
    <t>CÓD. DO PROCED.</t>
  </si>
  <si>
    <t>Nº DE CBO</t>
  </si>
  <si>
    <t>IDADE</t>
  </si>
  <si>
    <t>ENFERMAGEM</t>
  </si>
  <si>
    <t>ENFERMAGEM PACS</t>
  </si>
  <si>
    <t>PRÉ NATAL ENFERMAGEM</t>
  </si>
  <si>
    <t>PRÉ NATAL ENFERMAGEM PACS</t>
  </si>
  <si>
    <t>PUERPÉRIO ENFERMAGEM</t>
  </si>
  <si>
    <t>PUERPÉRIO ENFERMAGEM PACS</t>
  </si>
  <si>
    <t>PUERICULTURA ENFERMAGEM</t>
  </si>
  <si>
    <t>PUERICULTURA ENFERMAGEM PACS</t>
  </si>
  <si>
    <t xml:space="preserve">PSIQUIATRIA </t>
  </si>
  <si>
    <t>FONO</t>
  </si>
  <si>
    <t>PSICOLOGIA</t>
  </si>
  <si>
    <t>PEDIATRIA</t>
  </si>
  <si>
    <t>PUERICULTURA PEDIATRIA</t>
  </si>
  <si>
    <t>GINECOLOGIA</t>
  </si>
  <si>
    <t>PUERPÉRIO GO</t>
  </si>
  <si>
    <t>PRÉ NATAL</t>
  </si>
  <si>
    <t>CLÍNICO</t>
  </si>
  <si>
    <t>NUTRIÇÃO</t>
  </si>
  <si>
    <t>NEURO</t>
  </si>
  <si>
    <t>ODONTOLOGIA</t>
  </si>
  <si>
    <t>TOTAL DE ATENDIMENTOS</t>
  </si>
  <si>
    <t>PROFISSIONAL</t>
  </si>
  <si>
    <t>DATA DE NASC.</t>
  </si>
  <si>
    <t>CBO</t>
  </si>
  <si>
    <t>IDADES</t>
  </si>
  <si>
    <t>M.E.S.F. GO, CL, PED</t>
  </si>
  <si>
    <t>M.E.S.F. PRÉ NATAL</t>
  </si>
  <si>
    <t>M.E.S.F. PUERICULTURA</t>
  </si>
  <si>
    <t>M.E.S.F. PUERPÉRIO</t>
  </si>
  <si>
    <t>DATA INICIAL</t>
  </si>
  <si>
    <t>DATA FINAL</t>
  </si>
  <si>
    <t>ANO</t>
  </si>
  <si>
    <t>MÊS</t>
  </si>
  <si>
    <t>TIPO DE CONSULTA</t>
  </si>
  <si>
    <t>CÓDIGO</t>
  </si>
  <si>
    <t>Contagem de IDADE</t>
  </si>
  <si>
    <t>TOTAL</t>
  </si>
  <si>
    <t>MONTH</t>
  </si>
  <si>
    <t>YEAR</t>
  </si>
  <si>
    <t>UTILIZE O MENU BPA 4.0-1217 PARA CONTROLES</t>
  </si>
  <si>
    <t>Setembro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</si>
</sst>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0\/00\/0000"/>
    <numFmt numFmtId="165" formatCode="0000000000"/>
    <numFmt numFmtId="166" formatCode="m/d/yyyy"/>
    <numFmt numFmtId="167" formatCode="00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6"/>
      <color theme="0" tint="-0.499984740745262"/>
      <name val="Segoe UI"/>
      <family val="2"/>
    </font>
    <font>
      <sz val="18"/>
      <color theme="0" tint="-0.499984740745262"/>
      <name val="Segoe UI Light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sz val="11"/>
      <color theme="1"/>
      <name val="Segoe UI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65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" fillId="2" borderId="0" xfId="0" applyFont="1" applyFill="1"/>
    <xf numFmtId="0" fontId="3" fillId="2" borderId="0" xfId="0" applyFont="1" applyFill="1" applyBorder="1" applyAlignment="1">
      <alignment vertical="center"/>
    </xf>
    <xf numFmtId="0" fontId="5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167" fontId="5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67" fontId="7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54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0" formatCode="General"/>
      <alignment horizontal="center" vertical="center" textRotation="0" wrapText="0" indent="0" justifyLastLine="0" shrinkToFit="0" readingOrder="0"/>
    </dxf>
    <dxf>
      <numFmt numFmtId="167" formatCode="00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7" formatCode="000000"/>
      <alignment horizontal="center" vertical="center" textRotation="0" wrapText="0" indent="0" justifyLastLine="0" shrinkToFit="0" readingOrder="0"/>
    </dxf>
    <dxf>
      <numFmt numFmtId="165" formatCode="000000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5" formatCode="0000000000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7" formatCode="000000"/>
      <alignment horizontal="center" vertical="center" textRotation="0" wrapText="0" indent="0" justifyLastLine="0" shrinkToFit="0" readingOrder="0"/>
    </dxf>
    <dxf>
      <numFmt numFmtId="165" formatCode="00000000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5" formatCode="0000000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numFmt numFmtId="164" formatCode="00\/00\/00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numFmt numFmtId="166" formatCode="m/d/yyyy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6" formatCode="m/d/yyyy"/>
      <alignment horizontal="center" vertical="center" textRotation="0" wrapText="0" indent="0" justifyLastLine="0" shrinkToFit="0" readingOrder="0"/>
    </dxf>
    <dxf>
      <numFmt numFmtId="164" formatCode="00\/00\/00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4" formatCode="00\/00\/0000"/>
      <alignment horizontal="center" vertical="center" textRotation="0" wrapText="0" indent="0" justifyLastLine="0" shrinkToFit="0" readingOrder="0"/>
    </dxf>
    <dxf>
      <numFmt numFmtId="164" formatCode="00\/00\/0000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numFmt numFmtId="164" formatCode="00\/00\/00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scheme val="none"/>
      </font>
      <alignment horizontal="center" vertical="center" textRotation="0" wrapText="0" indent="0" justifyLastLine="0" shrinkToFit="0" readingOrder="0"/>
    </dxf>
    <dxf>
      <font>
        <color theme="0"/>
      </font>
      <fill>
        <patternFill patternType="solid">
          <fgColor theme="8" tint="-0.499984740745262"/>
          <bgColor theme="8" tint="-0.499984740745262"/>
        </patternFill>
      </fill>
      <border>
        <horizontal style="thin">
          <color theme="8" tint="-0.499984740745262"/>
        </horizontal>
      </border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  <border>
        <horizontal style="thin">
          <color theme="8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8" tint="0.79998168889431442"/>
          <bgColor theme="8" tint="0.79998168889431442"/>
        </patternFill>
      </fill>
      <border>
        <top style="thin">
          <color theme="8" tint="0.39997558519241921"/>
        </top>
        <bottom style="thin">
          <color theme="8" tint="0.39997558519241921"/>
        </bottom>
      </border>
    </dxf>
    <dxf>
      <font>
        <b/>
        <color theme="1"/>
      </font>
      <border>
        <bottom style="thin">
          <color theme="8" tint="0.79998168889431442"/>
        </bottom>
      </border>
    </dxf>
    <dxf>
      <border>
        <left style="thin">
          <color theme="8" tint="0.79998168889431442"/>
        </left>
        <right style="thin">
          <color theme="8" tint="0.79998168889431442"/>
        </right>
      </border>
    </dxf>
    <dxf>
      <fill>
        <patternFill patternType="solid">
          <fgColor theme="8" tint="0.39997558519241921"/>
          <bgColor theme="8" tint="0.39997558519241921"/>
        </patternFill>
      </fill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  <border>
        <bottom style="thin">
          <color theme="8"/>
        </bottom>
        <horizontal style="thin">
          <color theme="8" tint="-0.499984740745262"/>
        </horizontal>
      </border>
    </dxf>
    <dxf>
      <font>
        <color theme="1"/>
      </font>
      <fill>
        <patternFill patternType="solid">
          <fgColor theme="8" tint="0.59999389629810485"/>
          <bgColor theme="8" tint="0.59999389629810485"/>
        </patternFill>
      </fill>
      <border>
        <horizontal style="thin">
          <color theme="8" tint="0.79998168889431442"/>
        </horizontal>
      </border>
    </dxf>
    <dxf>
      <fill>
        <patternFill patternType="solid">
          <fgColor theme="8" tint="0.59999389629810485"/>
          <bgColor theme="8" tint="0.59999389629810485"/>
        </patternFill>
      </fill>
    </dxf>
    <dxf>
      <fill>
        <patternFill patternType="solid">
          <fgColor theme="8" tint="0.59999389629810485"/>
          <bgColor theme="8" tint="0.59999389629810485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  <border>
        <top style="thick">
          <color theme="0"/>
        </top>
      </border>
    </dxf>
    <dxf>
      <font>
        <b/>
        <color theme="0"/>
      </font>
      <fill>
        <patternFill patternType="solid">
          <fgColor theme="8"/>
          <bgColor rgb="FF002060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8" tint="0.79998168889431442"/>
          <bgColor theme="8" tint="0.79998168889431442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2" defaultTableStyle="TableStyleMedium2" defaultPivotStyle="PivotStyleLight16">
    <tableStyle name="MINHA_TABELA" pivot="0" count="7" xr9:uid="{00000000-0011-0000-FFFF-FFFF00000000}">
      <tableStyleElement type="wholeTable" dxfId="53"/>
      <tableStyleElement type="headerRow" dxfId="52"/>
      <tableStyleElement type="totalRow" dxfId="51"/>
      <tableStyleElement type="firstColumn" dxfId="50"/>
      <tableStyleElement type="lastColumn" dxfId="49"/>
      <tableStyleElement type="firstRowStripe" dxfId="48"/>
      <tableStyleElement type="firstColumnStripe" dxfId="47"/>
    </tableStyle>
    <tableStyle name="TBL_DIN_CUSTOM" table="0" count="10" xr9:uid="{00000000-0011-0000-FFFF-FFFF01000000}">
      <tableStyleElement type="wholeTable" dxfId="46"/>
      <tableStyleElement type="headerRow" dxfId="45"/>
      <tableStyleElement type="totalRow" dxfId="44"/>
      <tableStyleElement type="secondRowStripe" dxfId="43"/>
      <tableStyleElement type="secondColumnStripe" dxfId="42"/>
      <tableStyleElement type="firstSubtotalRow" dxfId="41"/>
      <tableStyleElement type="firstRowSubheading" dxfId="40"/>
      <tableStyleElement type="secondRowSubheading" dxfId="39"/>
      <tableStyleElement type="pageFieldLabels" dxfId="38"/>
      <tableStyleElement type="pageFieldValues" dxfId="37"/>
    </tableStyle>
  </tableStyles>
  <colors>
    <mruColors>
      <color rgb="FF663300"/>
      <color rgb="FF6D8828"/>
      <color rgb="FF0A0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353973</xdr:colOff>
      <xdr:row>0</xdr:row>
      <xdr:rowOff>58501</xdr:rowOff>
    </xdr:from>
    <xdr:ext cx="6285745" cy="428333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E1F92450-A71F-4CA1-9A90-7E0B6BFBC7DD}"/>
            </a:ext>
          </a:extLst>
        </xdr:cNvPr>
        <xdr:cNvSpPr/>
      </xdr:nvSpPr>
      <xdr:spPr>
        <a:xfrm>
          <a:off x="4036973" y="58501"/>
          <a:ext cx="6285745" cy="428333"/>
        </a:xfrm>
        <a:prstGeom prst="rect">
          <a:avLst/>
        </a:prstGeom>
        <a:solidFill>
          <a:schemeClr val="bg2">
            <a:lumMod val="75000"/>
          </a:schemeClr>
        </a:solidFill>
        <a:ln>
          <a:solidFill>
            <a:schemeClr val="accent5">
              <a:lumMod val="50000"/>
            </a:schemeClr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2800" b="1" cap="none" spc="0">
              <a:ln w="9525">
                <a:noFill/>
                <a:prstDash val="solid"/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Trebuchet MS" panose="020B0603020202020204" pitchFamily="34" charset="0"/>
              <a:cs typeface="Segoe UI" panose="020B0502040204020203" pitchFamily="34" charset="0"/>
            </a:rPr>
            <a:t>Gerencial</a:t>
          </a:r>
          <a:r>
            <a:rPr lang="pt-BR" sz="2800" b="1" cap="none" spc="0" baseline="0">
              <a:ln w="9525">
                <a:noFill/>
                <a:prstDash val="solid"/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Trebuchet MS" panose="020B0603020202020204" pitchFamily="34" charset="0"/>
              <a:cs typeface="Segoe UI" panose="020B0502040204020203" pitchFamily="34" charset="0"/>
            </a:rPr>
            <a:t> BPA - Version 4.0/1217</a:t>
          </a:r>
          <a:endParaRPr lang="pt-BR" sz="2800" b="1" cap="none" spc="0">
            <a:ln w="9525">
              <a:noFill/>
              <a:prstDash val="solid"/>
            </a:ln>
            <a:solidFill>
              <a:schemeClr val="tx1">
                <a:lumMod val="95000"/>
                <a:lumOff val="5000"/>
              </a:schemeClr>
            </a:solidFill>
            <a:effectLst>
              <a:outerShdw blurRad="12700" dist="38100" dir="2700000" algn="tl" rotWithShape="0">
                <a:schemeClr val="accent5">
                  <a:lumMod val="60000"/>
                  <a:lumOff val="40000"/>
                </a:schemeClr>
              </a:outerShdw>
            </a:effectLst>
            <a:latin typeface="Trebuchet MS" panose="020B0603020202020204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N_USER" refreshedDate="44461.964454513887" missingItemsLimit="0" createdVersion="6" refreshedVersion="7" minRefreshableVersion="3" recordCount="39" xr:uid="{00000000-000A-0000-FFFF-FFFF00000000}">
  <cacheSource type="worksheet">
    <worksheetSource name="tbFichas"/>
  </cacheSource>
  <cacheFields count="9">
    <cacheField name="PROFISSIONAL" numFmtId="0">
      <sharedItems count="13">
        <s v="FONO"/>
        <s v="ENFERMAGEM PACS"/>
        <s v="M.E.S.F. GO, CL, PED"/>
        <s v="M.E.S.F. PRÉ NATAL"/>
        <s v="PEDIATRIA"/>
        <s v="M.E.S.F. PUERICULTURA"/>
        <s v="ODONTOLOGIA"/>
        <s v="ENFERMAGEM"/>
        <s v="NEURO"/>
        <s v="PRÉ NATAL"/>
        <s v="CLÍNICO"/>
        <s v="PSIQUIATRIA "/>
        <s v="GINECOLOGIA"/>
      </sharedItems>
    </cacheField>
    <cacheField name="DATA DE NASC." numFmtId="164">
      <sharedItems containsSemiMixedTypes="0" containsString="0" containsNumber="1" containsInteger="1" minValue="15011981" maxValue="26061999"/>
    </cacheField>
    <cacheField name="DATA INICIAL" numFmtId="164">
      <sharedItems containsSemiMixedTypes="0" containsString="0" containsNumber="1" containsInteger="1" minValue="21082021" maxValue="21112017"/>
    </cacheField>
    <cacheField name="DATA FINAL" numFmtId="166">
      <sharedItems containsSemiMixedTypes="0" containsNonDate="0" containsDate="1" containsString="0" minDate="2017-11-20T00:00:00" maxDate="2021-09-21T00:00:00"/>
    </cacheField>
    <cacheField name="ANO" numFmtId="0">
      <sharedItems containsSemiMixedTypes="0" containsString="0" containsNumber="1" containsInteger="1" minValue="2017" maxValue="2021" count="2">
        <n v="2017"/>
        <n v="2021"/>
      </sharedItems>
    </cacheField>
    <cacheField name="MÊS" numFmtId="0">
      <sharedItems count="3">
        <s v="Dezembro"/>
        <s v="Novembro"/>
        <s v="Setembro"/>
      </sharedItems>
    </cacheField>
    <cacheField name="IDADE" numFmtId="0">
      <sharedItems containsSemiMixedTypes="0" containsString="0" containsNumber="1" containsInteger="1" minValue="4" maxValue="120" count="12">
        <n v="26"/>
        <n v="40"/>
        <n v="70"/>
        <n v="4"/>
        <n v="35"/>
        <n v="37"/>
        <n v="120"/>
        <n v="65"/>
        <n v="74"/>
        <n v="117"/>
        <n v="22"/>
        <n v="36"/>
      </sharedItems>
    </cacheField>
    <cacheField name="CÓD. DO PROCED." numFmtId="165">
      <sharedItems containsSemiMixedTypes="0" containsString="0" containsNumber="1" containsInteger="1" minValue="301010030" maxValue="301020500" count="7">
        <n v="301010048"/>
        <n v="301010030"/>
        <n v="301010064"/>
        <n v="301010110"/>
        <n v="301010080"/>
        <n v="301020500"/>
        <n v="301010072"/>
      </sharedItems>
    </cacheField>
    <cacheField name="Nº DE CBO" numFmtId="167">
      <sharedItems containsSemiMixedTypes="0" containsString="0" containsNumber="1" containsInteger="1" minValue="223208" maxValue="225250" count="10">
        <n v="223810"/>
        <n v="223565"/>
        <n v="225142"/>
        <n v="225124"/>
        <n v="223208"/>
        <n v="223505"/>
        <n v="225112"/>
        <n v="225250"/>
        <n v="225125"/>
        <n v="22513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n v="26061995"/>
    <n v="21112017"/>
    <d v="2017-12-21T00:00:00"/>
    <x v="0"/>
    <x v="0"/>
    <x v="0"/>
    <x v="0"/>
    <x v="0"/>
  </r>
  <r>
    <x v="1"/>
    <n v="26061995"/>
    <n v="21112017"/>
    <d v="2017-12-21T00:00:00"/>
    <x v="0"/>
    <x v="0"/>
    <x v="0"/>
    <x v="1"/>
    <x v="1"/>
  </r>
  <r>
    <x v="0"/>
    <n v="18081981"/>
    <n v="21112017"/>
    <d v="2017-12-21T00:00:00"/>
    <x v="0"/>
    <x v="0"/>
    <x v="1"/>
    <x v="0"/>
    <x v="0"/>
  </r>
  <r>
    <x v="2"/>
    <n v="26061995"/>
    <n v="21112017"/>
    <d v="2017-12-21T00:00:00"/>
    <x v="0"/>
    <x v="0"/>
    <x v="0"/>
    <x v="2"/>
    <x v="2"/>
  </r>
  <r>
    <x v="3"/>
    <n v="15051981"/>
    <n v="21112017"/>
    <d v="2017-12-21T00:00:00"/>
    <x v="0"/>
    <x v="0"/>
    <x v="1"/>
    <x v="3"/>
    <x v="2"/>
  </r>
  <r>
    <x v="1"/>
    <n v="18081951"/>
    <n v="21112017"/>
    <d v="2017-12-21T00:00:00"/>
    <x v="0"/>
    <x v="0"/>
    <x v="2"/>
    <x v="1"/>
    <x v="1"/>
  </r>
  <r>
    <x v="0"/>
    <n v="16052017"/>
    <n v="21112017"/>
    <d v="2017-12-21T00:00:00"/>
    <x v="0"/>
    <x v="0"/>
    <x v="3"/>
    <x v="0"/>
    <x v="0"/>
  </r>
  <r>
    <x v="2"/>
    <n v="26061995"/>
    <n v="21112017"/>
    <d v="2017-12-21T00:00:00"/>
    <x v="0"/>
    <x v="0"/>
    <x v="0"/>
    <x v="2"/>
    <x v="2"/>
  </r>
  <r>
    <x v="3"/>
    <n v="18081981"/>
    <n v="21112017"/>
    <d v="2017-12-21T00:00:00"/>
    <x v="0"/>
    <x v="0"/>
    <x v="1"/>
    <x v="3"/>
    <x v="2"/>
  </r>
  <r>
    <x v="3"/>
    <n v="18081981"/>
    <n v="21112017"/>
    <d v="2017-12-21T00:00:00"/>
    <x v="0"/>
    <x v="0"/>
    <x v="1"/>
    <x v="3"/>
    <x v="2"/>
  </r>
  <r>
    <x v="4"/>
    <n v="26061995"/>
    <n v="21112017"/>
    <d v="2017-12-21T00:00:00"/>
    <x v="0"/>
    <x v="0"/>
    <x v="0"/>
    <x v="2"/>
    <x v="3"/>
  </r>
  <r>
    <x v="5"/>
    <n v="26061995"/>
    <n v="21112017"/>
    <d v="2017-12-21T00:00:00"/>
    <x v="0"/>
    <x v="0"/>
    <x v="0"/>
    <x v="4"/>
    <x v="2"/>
  </r>
  <r>
    <x v="6"/>
    <n v="18081981"/>
    <n v="21112017"/>
    <d v="2017-12-21T00:00:00"/>
    <x v="0"/>
    <x v="0"/>
    <x v="1"/>
    <x v="5"/>
    <x v="4"/>
  </r>
  <r>
    <x v="7"/>
    <n v="26051986"/>
    <n v="21112017"/>
    <d v="2017-12-21T00:00:00"/>
    <x v="0"/>
    <x v="0"/>
    <x v="4"/>
    <x v="1"/>
    <x v="5"/>
  </r>
  <r>
    <x v="0"/>
    <n v="23061984"/>
    <n v="21112017"/>
    <d v="2017-12-21T00:00:00"/>
    <x v="0"/>
    <x v="0"/>
    <x v="5"/>
    <x v="0"/>
    <x v="0"/>
  </r>
  <r>
    <x v="3"/>
    <n v="26061901"/>
    <n v="21112017"/>
    <d v="2017-12-21T00:00:00"/>
    <x v="0"/>
    <x v="0"/>
    <x v="6"/>
    <x v="3"/>
    <x v="2"/>
  </r>
  <r>
    <x v="1"/>
    <n v="18021956"/>
    <n v="21112017"/>
    <d v="2017-12-21T00:00:00"/>
    <x v="0"/>
    <x v="0"/>
    <x v="7"/>
    <x v="1"/>
    <x v="1"/>
  </r>
  <r>
    <x v="8"/>
    <n v="18051947"/>
    <n v="21112017"/>
    <d v="2017-12-21T00:00:00"/>
    <x v="0"/>
    <x v="0"/>
    <x v="8"/>
    <x v="6"/>
    <x v="6"/>
  </r>
  <r>
    <x v="9"/>
    <n v="16091904"/>
    <n v="21112017"/>
    <d v="2017-12-21T00:00:00"/>
    <x v="0"/>
    <x v="0"/>
    <x v="9"/>
    <x v="3"/>
    <x v="7"/>
  </r>
  <r>
    <x v="3"/>
    <n v="26061995"/>
    <n v="21112017"/>
    <d v="2017-12-21T00:00:00"/>
    <x v="0"/>
    <x v="0"/>
    <x v="0"/>
    <x v="3"/>
    <x v="2"/>
  </r>
  <r>
    <x v="7"/>
    <n v="26061995"/>
    <n v="21112017"/>
    <d v="2017-12-21T00:00:00"/>
    <x v="0"/>
    <x v="0"/>
    <x v="0"/>
    <x v="1"/>
    <x v="5"/>
  </r>
  <r>
    <x v="10"/>
    <n v="26061995"/>
    <n v="21112017"/>
    <d v="2017-12-21T00:00:00"/>
    <x v="0"/>
    <x v="0"/>
    <x v="0"/>
    <x v="2"/>
    <x v="8"/>
  </r>
  <r>
    <x v="7"/>
    <n v="18081981"/>
    <n v="21112017"/>
    <d v="2017-12-21T00:00:00"/>
    <x v="0"/>
    <x v="0"/>
    <x v="1"/>
    <x v="1"/>
    <x v="5"/>
  </r>
  <r>
    <x v="11"/>
    <n v="26061981"/>
    <n v="21102017"/>
    <d v="2017-11-20T00:00:00"/>
    <x v="0"/>
    <x v="1"/>
    <x v="1"/>
    <x v="6"/>
    <x v="9"/>
  </r>
  <r>
    <x v="10"/>
    <n v="26061995"/>
    <n v="21102017"/>
    <d v="2017-11-20T00:00:00"/>
    <x v="0"/>
    <x v="1"/>
    <x v="0"/>
    <x v="2"/>
    <x v="8"/>
  </r>
  <r>
    <x v="7"/>
    <n v="18081981"/>
    <n v="21102017"/>
    <d v="2017-11-20T00:00:00"/>
    <x v="0"/>
    <x v="1"/>
    <x v="1"/>
    <x v="1"/>
    <x v="5"/>
  </r>
  <r>
    <x v="7"/>
    <n v="15011981"/>
    <n v="21102017"/>
    <d v="2017-11-20T00:00:00"/>
    <x v="0"/>
    <x v="1"/>
    <x v="1"/>
    <x v="1"/>
    <x v="5"/>
  </r>
  <r>
    <x v="7"/>
    <n v="26061995"/>
    <n v="21102017"/>
    <d v="2017-11-20T00:00:00"/>
    <x v="0"/>
    <x v="1"/>
    <x v="0"/>
    <x v="1"/>
    <x v="5"/>
  </r>
  <r>
    <x v="7"/>
    <n v="26061999"/>
    <n v="21102017"/>
    <d v="2017-11-20T00:00:00"/>
    <x v="0"/>
    <x v="1"/>
    <x v="10"/>
    <x v="1"/>
    <x v="5"/>
  </r>
  <r>
    <x v="10"/>
    <n v="18081981"/>
    <n v="21102017"/>
    <d v="2017-11-20T00:00:00"/>
    <x v="0"/>
    <x v="1"/>
    <x v="1"/>
    <x v="2"/>
    <x v="8"/>
  </r>
  <r>
    <x v="3"/>
    <n v="18081981"/>
    <n v="21102017"/>
    <d v="2017-11-20T00:00:00"/>
    <x v="0"/>
    <x v="1"/>
    <x v="1"/>
    <x v="3"/>
    <x v="2"/>
  </r>
  <r>
    <x v="10"/>
    <n v="26061995"/>
    <n v="21112017"/>
    <d v="2017-12-21T00:00:00"/>
    <x v="0"/>
    <x v="0"/>
    <x v="0"/>
    <x v="2"/>
    <x v="8"/>
  </r>
  <r>
    <x v="12"/>
    <n v="18081981"/>
    <n v="21112017"/>
    <d v="2017-12-21T00:00:00"/>
    <x v="0"/>
    <x v="0"/>
    <x v="1"/>
    <x v="2"/>
    <x v="7"/>
  </r>
  <r>
    <x v="7"/>
    <n v="16051981"/>
    <n v="21112017"/>
    <d v="2017-12-21T00:00:00"/>
    <x v="0"/>
    <x v="0"/>
    <x v="1"/>
    <x v="1"/>
    <x v="5"/>
  </r>
  <r>
    <x v="3"/>
    <n v="18081981"/>
    <n v="21112017"/>
    <d v="2017-12-21T00:00:00"/>
    <x v="0"/>
    <x v="0"/>
    <x v="1"/>
    <x v="3"/>
    <x v="2"/>
  </r>
  <r>
    <x v="7"/>
    <n v="26061995"/>
    <n v="21112017"/>
    <d v="2017-12-21T00:00:00"/>
    <x v="0"/>
    <x v="0"/>
    <x v="0"/>
    <x v="1"/>
    <x v="5"/>
  </r>
  <r>
    <x v="1"/>
    <n v="18081981"/>
    <n v="21112017"/>
    <d v="2017-12-21T00:00:00"/>
    <x v="0"/>
    <x v="0"/>
    <x v="1"/>
    <x v="1"/>
    <x v="1"/>
  </r>
  <r>
    <x v="12"/>
    <n v="16051985"/>
    <n v="21112017"/>
    <d v="2017-12-21T00:00:00"/>
    <x v="0"/>
    <x v="0"/>
    <x v="11"/>
    <x v="2"/>
    <x v="7"/>
  </r>
  <r>
    <x v="7"/>
    <n v="26061995"/>
    <n v="21082021"/>
    <d v="2021-09-20T00:00:00"/>
    <x v="1"/>
    <x v="2"/>
    <x v="0"/>
    <x v="1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dyn_bpa" cacheId="0" applyNumberFormats="0" applyBorderFormats="0" applyFontFormats="0" applyPatternFormats="0" applyAlignmentFormats="0" applyWidthHeightFormats="1" dataCaption="Valores" grandTotalCaption="TOTAL" errorCaption="ERRO" showError="1" missingCaption="0" updatedVersion="7" minRefreshableVersion="3" showDrill="0" showDataTips="0" useAutoFormatting="1" fieldPrintTitles="1" createdVersion="6" indent="0" outline="1" outlineData="1" multipleFieldFilters="0" rowHeaderCaption="TIPO DE CONSULTA" colHeaderCaption="IDADES">
  <location ref="A4:E7" firstHeaderRow="1" firstDataRow="2" firstDataCol="3" rowPageCount="2" colPageCount="1"/>
  <pivotFields count="9">
    <pivotField axis="axisRow" outline="0" subtotalTop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numFmtId="164" subtotalTop="0" showAll="0"/>
    <pivotField numFmtId="164" subtotalTop="0" showAll="0"/>
    <pivotField subtotalTop="0" showAll="0"/>
    <pivotField name="YEAR" axis="axisPage" subtotalTop="0" showAll="0">
      <items count="3">
        <item x="0"/>
        <item x="1"/>
        <item t="default"/>
      </items>
    </pivotField>
    <pivotField name="MONTH" axis="axisPage" subtotalTop="0" showAll="0" defaultSubtotal="0">
      <items count="3">
        <item x="0"/>
        <item x="1"/>
        <item x="2"/>
      </items>
    </pivotField>
    <pivotField axis="axisCol" dataField="1" subtotalTop="0" showAll="0" sortType="ascending">
      <items count="13">
        <item x="3"/>
        <item x="10"/>
        <item x="0"/>
        <item x="4"/>
        <item x="11"/>
        <item x="5"/>
        <item x="1"/>
        <item x="7"/>
        <item x="2"/>
        <item x="8"/>
        <item x="9"/>
        <item x="6"/>
        <item t="default"/>
      </items>
    </pivotField>
    <pivotField name="CÓDIGO" axis="axisRow" numFmtId="165" outline="0" subtotalTop="0" showAll="0" defaultSubtotal="0">
      <items count="7">
        <item x="0"/>
        <item x="1"/>
        <item x="2"/>
        <item x="3"/>
        <item x="4"/>
        <item x="5"/>
        <item x="6"/>
      </items>
    </pivotField>
    <pivotField name="CBO" axis="axisRow" outline="0" subtotalTop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</pivotFields>
  <rowFields count="3">
    <field x="0"/>
    <field x="7"/>
    <field x="8"/>
  </rowFields>
  <rowItems count="2">
    <i>
      <x v="7"/>
      <x v="1"/>
      <x v="5"/>
    </i>
    <i t="grand">
      <x/>
    </i>
  </rowItems>
  <colFields count="1">
    <field x="6"/>
  </colFields>
  <colItems count="2">
    <i>
      <x v="2"/>
    </i>
    <i t="grand">
      <x/>
    </i>
  </colItems>
  <pageFields count="2">
    <pageField fld="4" item="1" hier="-1"/>
    <pageField fld="5" item="2" hier="-1"/>
  </pageFields>
  <dataFields count="1">
    <dataField name="Contagem de IDADE" fld="6" subtotal="count" baseField="8" baseItem="2"/>
  </dataFields>
  <formats count="6">
    <format dxfId="5">
      <pivotArea type="all" dataOnly="0" outline="0" fieldPosition="0"/>
    </format>
    <format dxfId="4">
      <pivotArea field="0" type="button" dataOnly="0" labelOnly="1" outline="0" axis="axisRow" fieldPosition="0"/>
    </format>
    <format dxfId="3">
      <pivotArea field="7" type="button" dataOnly="0" labelOnly="1" outline="0" axis="axisRow" fieldPosition="1"/>
    </format>
    <format dxfId="2">
      <pivotArea field="8" type="button" dataOnly="0" labelOnly="1" outline="0" axis="axisRow" fieldPosition="2"/>
    </format>
    <format dxfId="1">
      <pivotArea dataOnly="0" labelOnly="1" fieldPosition="0">
        <references count="1">
          <reference field="0" count="0"/>
        </references>
      </pivotArea>
    </format>
    <format dxfId="0">
      <pivotArea field="5" type="button" dataOnly="0" labelOnly="1" outline="0" axis="axisPage" fieldPosition="1"/>
    </format>
  </formats>
  <pivotTableStyleInfo name="TBL_DIN_CUSTOM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Fichas" displayName="tbFichas" ref="A1:I40" headerRowDxfId="36" dataDxfId="35" totalsRowDxfId="34">
  <tableColumns count="9">
    <tableColumn id="11" xr3:uid="{00000000-0010-0000-0000-00000B000000}" name="PROFISSIONAL" dataDxfId="33" totalsRowDxfId="32"/>
    <tableColumn id="10" xr3:uid="{00000000-0010-0000-0000-00000A000000}" name="DATA DE NASC." dataDxfId="31" totalsRowDxfId="30"/>
    <tableColumn id="3" xr3:uid="{00000000-0010-0000-0000-000003000000}" name="DATA INICIAL" totalsRowFunction="custom" dataDxfId="29" totalsRowDxfId="28">
      <totalsRowFormula array="1">"2108" &amp; ROW(INDIRECT("1964:2016"))</totalsRowFormula>
    </tableColumn>
    <tableColumn id="2" xr3:uid="{00000000-0010-0000-0000-000002000000}" name="DATA FINAL" dataDxfId="27" totalsRowDxfId="26">
      <calculatedColumnFormula>IF(tbFichas[[#This Row],[DATA INICIAL]]="","",TEXT(tbFichas[[#This Row],[DATA INICIAL]],"00\/00\/0000")+30)</calculatedColumnFormula>
    </tableColumn>
    <tableColumn id="6" xr3:uid="{00000000-0010-0000-0000-000006000000}" name="ANO" dataDxfId="25" totalsRowDxfId="24">
      <calculatedColumnFormula>IF(tbFichas[[#This Row],[DATA FINAL]]="","",YEAR(tbFichas[[#This Row],[DATA FINAL]]))</calculatedColumnFormula>
    </tableColumn>
    <tableColumn id="7" xr3:uid="{00000000-0010-0000-0000-000007000000}" name="MÊS" dataDxfId="23" totalsRowDxfId="22">
      <calculatedColumnFormula>PROPER(TEXT(tbFichas[[#This Row],[DATA FINAL]],"mmmm"))</calculatedColumnFormula>
    </tableColumn>
    <tableColumn id="9" xr3:uid="{00000000-0010-0000-0000-000009000000}" name="IDADE" dataDxfId="21" totalsRowDxfId="20">
      <calculatedColumnFormula>IF(tbFichas[[#This Row],[DATA DE NASC.]]="","",INT(( TODAY() - TEXT(tbFichas[[#This Row],[DATA DE NASC.]],"00\/00\/0000")) /365.25))</calculatedColumnFormula>
    </tableColumn>
    <tableColumn id="4" xr3:uid="{00000000-0010-0000-0000-000004000000}" name="CÓD. DO PROCED." dataDxfId="19" totalsRowDxfId="18">
      <calculatedColumnFormula>IF(tbFichas[[#This Row],[PROFISSIONAL]]="","",VLOOKUP(tbFichas[[#This Row],[PROFISSIONAL]],LISTA_PROCED[],2,0))</calculatedColumnFormula>
    </tableColumn>
    <tableColumn id="5" xr3:uid="{00000000-0010-0000-0000-000005000000}" name="Nº DE CBO" dataDxfId="17" totalsRowDxfId="16">
      <calculatedColumnFormula>IF(tbFichas[[#This Row],[PROFISSIONAL]]="","", VLOOKUP(tbFichas[[#This Row],[PROFISSIONAL]],LISTA_PROCED[],3,0))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LISTA_PROCED" displayName="LISTA_PROCED" ref="A1:D26" totalsRowCount="1" headerRowDxfId="15" dataDxfId="14">
  <sortState xmlns:xlrd2="http://schemas.microsoft.com/office/spreadsheetml/2017/richdata2" ref="A2:D25">
    <sortCondition ref="A1"/>
  </sortState>
  <tableColumns count="4">
    <tableColumn id="1" xr3:uid="{00000000-0010-0000-0100-000001000000}" name="PROFISSIONAL" dataDxfId="13" totalsRowDxfId="12"/>
    <tableColumn id="2" xr3:uid="{00000000-0010-0000-0100-000002000000}" name="CÓD. DO PROCED." dataDxfId="11" totalsRowDxfId="10"/>
    <tableColumn id="3" xr3:uid="{00000000-0010-0000-0100-000003000000}" name="Nº DE CBO" dataDxfId="9" totalsRowDxfId="8"/>
    <tableColumn id="4" xr3:uid="{00000000-0010-0000-0100-000004000000}" name="TOTAL DE ATENDIMENTOS" totalsRowFunction="custom" dataDxfId="7" totalsRowDxfId="6">
      <calculatedColumnFormula>COUNTIF(tbFichas[PROFISSIONAL],LISTA_PROCED[[#This Row],[PROFISSIONAL]])</calculatedColumnFormula>
      <totalsRowFormula>"TOTAL: " &amp; SUBTOTAL(109,LISTA_PROCED[TOTAL DE ATENDIMENTOS])</totalsRow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Apoio">
    <tabColor theme="8" tint="-0.499984740745262"/>
  </sheetPr>
  <dimension ref="F6:S13"/>
  <sheetViews>
    <sheetView showGridLines="0" showRowColHeaders="0" tabSelected="1" zoomScale="90" zoomScaleNormal="90" workbookViewId="0">
      <selection activeCell="P6" sqref="P6"/>
    </sheetView>
  </sheetViews>
  <sheetFormatPr defaultColWidth="9.1796875" defaultRowHeight="14.5" x14ac:dyDescent="0.35"/>
  <cols>
    <col min="1" max="16384" width="9.1796875" style="13"/>
  </cols>
  <sheetData>
    <row r="6" spans="6:19" ht="15" customHeight="1" x14ac:dyDescent="0.35">
      <c r="G6" s="14"/>
      <c r="H6" s="14"/>
      <c r="I6" s="29" t="s">
        <v>42</v>
      </c>
      <c r="J6" s="29"/>
      <c r="K6" s="29"/>
      <c r="L6" s="29"/>
      <c r="M6" s="29"/>
      <c r="N6" s="29"/>
      <c r="O6" s="29"/>
      <c r="P6" s="14"/>
      <c r="Q6" s="14"/>
      <c r="R6" s="14"/>
      <c r="S6" s="14"/>
    </row>
    <row r="7" spans="6:19" ht="15" customHeight="1" x14ac:dyDescent="0.35">
      <c r="F7" s="14"/>
      <c r="G7" s="14"/>
      <c r="H7" s="14"/>
      <c r="I7" s="29"/>
      <c r="J7" s="29"/>
      <c r="K7" s="29"/>
      <c r="L7" s="29"/>
      <c r="M7" s="29"/>
      <c r="N7" s="29"/>
      <c r="O7" s="29"/>
      <c r="P7" s="14"/>
      <c r="Q7" s="14"/>
      <c r="R7" s="14"/>
      <c r="S7" s="14"/>
    </row>
    <row r="8" spans="6:19" ht="15" customHeight="1" x14ac:dyDescent="0.35">
      <c r="F8" s="14"/>
      <c r="G8" s="14"/>
      <c r="H8" s="14"/>
      <c r="I8" s="29"/>
      <c r="J8" s="29"/>
      <c r="K8" s="29"/>
      <c r="L8" s="29"/>
      <c r="M8" s="29"/>
      <c r="N8" s="29"/>
      <c r="O8" s="29"/>
      <c r="P8" s="14"/>
      <c r="Q8" s="14"/>
      <c r="R8" s="14"/>
      <c r="S8" s="14"/>
    </row>
    <row r="9" spans="6:19" ht="15" customHeight="1" x14ac:dyDescent="0.35">
      <c r="F9" s="14"/>
      <c r="G9" s="14"/>
      <c r="H9" s="14"/>
      <c r="I9" s="29"/>
      <c r="J9" s="29"/>
      <c r="K9" s="29"/>
      <c r="L9" s="29"/>
      <c r="M9" s="29"/>
      <c r="N9" s="29"/>
      <c r="O9" s="29"/>
      <c r="P9" s="14"/>
      <c r="Q9" s="14"/>
      <c r="R9" s="14"/>
      <c r="S9" s="14"/>
    </row>
    <row r="10" spans="6:19" ht="15" customHeight="1" x14ac:dyDescent="0.35"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6:19" ht="15" customHeight="1" x14ac:dyDescent="0.35"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6:19" ht="15" customHeight="1" x14ac:dyDescent="0.35"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</row>
    <row r="13" spans="6:19" ht="15" customHeight="1" x14ac:dyDescent="0.35"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</sheetData>
  <sheetProtection sheet="1" objects="1" scenarios="1" selectLockedCells="1" selectUnlockedCells="1"/>
  <mergeCells count="1">
    <mergeCell ref="I6:O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Fichas">
    <tabColor theme="8" tint="-0.499984740745262"/>
    <pageSetUpPr fitToPage="1"/>
  </sheetPr>
  <dimension ref="A1:I43"/>
  <sheetViews>
    <sheetView zoomScale="110" zoomScaleNormal="110" zoomScaleSheetLayoutView="100" workbookViewId="0"/>
  </sheetViews>
  <sheetFormatPr defaultColWidth="9.1796875" defaultRowHeight="14.5" x14ac:dyDescent="0.35"/>
  <cols>
    <col min="1" max="1" width="23.453125" style="8" bestFit="1" customWidth="1"/>
    <col min="2" max="2" width="17.7265625" style="8" bestFit="1" customWidth="1"/>
    <col min="3" max="3" width="15.81640625" style="8" bestFit="1" customWidth="1"/>
    <col min="4" max="4" width="14.26953125" style="8" bestFit="1" customWidth="1"/>
    <col min="5" max="5" width="6.1796875" style="8" bestFit="1" customWidth="1"/>
    <col min="6" max="6" width="11" style="8" bestFit="1" customWidth="1"/>
    <col min="7" max="7" width="7.81640625" style="8" bestFit="1" customWidth="1"/>
    <col min="8" max="8" width="19.7265625" style="8" bestFit="1" customWidth="1"/>
    <col min="9" max="11" width="12.1796875" style="8" bestFit="1" customWidth="1"/>
    <col min="12" max="12" width="12.54296875" style="8" bestFit="1" customWidth="1"/>
    <col min="13" max="13" width="12.7265625" style="8" bestFit="1" customWidth="1"/>
    <col min="14" max="16384" width="9.1796875" style="8"/>
  </cols>
  <sheetData>
    <row r="1" spans="1:9" ht="16.5" x14ac:dyDescent="0.35">
      <c r="A1" s="15" t="s">
        <v>24</v>
      </c>
      <c r="B1" s="15" t="s">
        <v>25</v>
      </c>
      <c r="C1" s="15" t="s">
        <v>32</v>
      </c>
      <c r="D1" s="15" t="s">
        <v>33</v>
      </c>
      <c r="E1" s="15" t="s">
        <v>34</v>
      </c>
      <c r="F1" s="15" t="s">
        <v>35</v>
      </c>
      <c r="G1" s="15" t="s">
        <v>2</v>
      </c>
      <c r="H1" s="15" t="s">
        <v>0</v>
      </c>
      <c r="I1" s="15" t="s">
        <v>1</v>
      </c>
    </row>
    <row r="2" spans="1:9" ht="16.5" x14ac:dyDescent="0.35">
      <c r="A2" s="15" t="s">
        <v>12</v>
      </c>
      <c r="B2" s="16">
        <v>26061995</v>
      </c>
      <c r="C2" s="16">
        <v>21112017</v>
      </c>
      <c r="D2" s="17">
        <f>IF(tbFichas[[#This Row],[DATA INICIAL]]="","",TEXT(tbFichas[[#This Row],[DATA INICIAL]],"00\/00\/0000")+30)</f>
        <v>43090</v>
      </c>
      <c r="E2" s="15">
        <f>IF(tbFichas[[#This Row],[DATA FINAL]]="","",YEAR(tbFichas[[#This Row],[DATA FINAL]]))</f>
        <v>2017</v>
      </c>
      <c r="F2" s="15" t="str">
        <f>PROPER(TEXT(tbFichas[[#This Row],[DATA FINAL]],"mmmm"))</f>
        <v>Dezembro</v>
      </c>
      <c r="G2" s="15">
        <f ca="1">IF(tbFichas[[#This Row],[DATA DE NASC.]]="","",INT(( TODAY() - TEXT(tbFichas[[#This Row],[DATA DE NASC.]],"00\/00\/0000")) /365.25))</f>
        <v>26</v>
      </c>
      <c r="H2" s="18">
        <f>IF(tbFichas[[#This Row],[PROFISSIONAL]]="","",VLOOKUP(tbFichas[[#This Row],[PROFISSIONAL]],LISTA_PROCED[],2,0))</f>
        <v>301010048</v>
      </c>
      <c r="I2" s="19">
        <f>IF(tbFichas[[#This Row],[PROFISSIONAL]]="","", VLOOKUP(tbFichas[[#This Row],[PROFISSIONAL]],LISTA_PROCED[],3,0))</f>
        <v>223810</v>
      </c>
    </row>
    <row r="3" spans="1:9" ht="16.5" x14ac:dyDescent="0.35">
      <c r="A3" s="15" t="s">
        <v>4</v>
      </c>
      <c r="B3" s="16">
        <v>26061995</v>
      </c>
      <c r="C3" s="16">
        <v>21112017</v>
      </c>
      <c r="D3" s="17">
        <f>IF(tbFichas[[#This Row],[DATA INICIAL]]="","",TEXT(tbFichas[[#This Row],[DATA INICIAL]],"00\/00\/0000")+30)</f>
        <v>43090</v>
      </c>
      <c r="E3" s="15">
        <f>IF(tbFichas[[#This Row],[DATA FINAL]]="","",YEAR(tbFichas[[#This Row],[DATA FINAL]]))</f>
        <v>2017</v>
      </c>
      <c r="F3" s="15" t="str">
        <f>PROPER(TEXT(tbFichas[[#This Row],[DATA FINAL]],"mmmm"))</f>
        <v>Dezembro</v>
      </c>
      <c r="G3" s="15">
        <f ca="1">IF(tbFichas[[#This Row],[DATA DE NASC.]]="","",INT(( TODAY() - TEXT(tbFichas[[#This Row],[DATA DE NASC.]],"00\/00\/0000")) /365.25))</f>
        <v>26</v>
      </c>
      <c r="H3" s="18">
        <f>IF(tbFichas[[#This Row],[PROFISSIONAL]]="","",VLOOKUP(tbFichas[[#This Row],[PROFISSIONAL]],LISTA_PROCED[],2,0))</f>
        <v>301010030</v>
      </c>
      <c r="I3" s="19">
        <f>IF(tbFichas[[#This Row],[PROFISSIONAL]]="","", VLOOKUP(tbFichas[[#This Row],[PROFISSIONAL]],LISTA_PROCED[],3,0))</f>
        <v>223565</v>
      </c>
    </row>
    <row r="4" spans="1:9" ht="16.5" x14ac:dyDescent="0.35">
      <c r="A4" s="15" t="s">
        <v>12</v>
      </c>
      <c r="B4" s="16">
        <v>18081981</v>
      </c>
      <c r="C4" s="16">
        <v>21112017</v>
      </c>
      <c r="D4" s="17">
        <f>IF(tbFichas[[#This Row],[DATA INICIAL]]="","",TEXT(tbFichas[[#This Row],[DATA INICIAL]],"00\/00\/0000")+30)</f>
        <v>43090</v>
      </c>
      <c r="E4" s="15">
        <f>IF(tbFichas[[#This Row],[DATA FINAL]]="","",YEAR(tbFichas[[#This Row],[DATA FINAL]]))</f>
        <v>2017</v>
      </c>
      <c r="F4" s="15" t="str">
        <f>PROPER(TEXT(tbFichas[[#This Row],[DATA FINAL]],"mmmm"))</f>
        <v>Dezembro</v>
      </c>
      <c r="G4" s="15">
        <f ca="1">IF(tbFichas[[#This Row],[DATA DE NASC.]]="","",INT(( TODAY() - TEXT(tbFichas[[#This Row],[DATA DE NASC.]],"00\/00\/0000")) /365.25))</f>
        <v>40</v>
      </c>
      <c r="H4" s="18">
        <f>IF(tbFichas[[#This Row],[PROFISSIONAL]]="","",VLOOKUP(tbFichas[[#This Row],[PROFISSIONAL]],LISTA_PROCED[],2,0))</f>
        <v>301010048</v>
      </c>
      <c r="I4" s="19">
        <f>IF(tbFichas[[#This Row],[PROFISSIONAL]]="","", VLOOKUP(tbFichas[[#This Row],[PROFISSIONAL]],LISTA_PROCED[],3,0))</f>
        <v>223810</v>
      </c>
    </row>
    <row r="5" spans="1:9" ht="16.5" x14ac:dyDescent="0.35">
      <c r="A5" s="15" t="s">
        <v>28</v>
      </c>
      <c r="B5" s="16">
        <v>26061995</v>
      </c>
      <c r="C5" s="16">
        <v>21112017</v>
      </c>
      <c r="D5" s="17">
        <f>IF(tbFichas[[#This Row],[DATA INICIAL]]="","",TEXT(tbFichas[[#This Row],[DATA INICIAL]],"00\/00\/0000")+30)</f>
        <v>43090</v>
      </c>
      <c r="E5" s="15">
        <f>IF(tbFichas[[#This Row],[DATA FINAL]]="","",YEAR(tbFichas[[#This Row],[DATA FINAL]]))</f>
        <v>2017</v>
      </c>
      <c r="F5" s="15" t="str">
        <f>PROPER(TEXT(tbFichas[[#This Row],[DATA FINAL]],"mmmm"))</f>
        <v>Dezembro</v>
      </c>
      <c r="G5" s="15">
        <f ca="1">IF(tbFichas[[#This Row],[DATA DE NASC.]]="","",INT(( TODAY() - TEXT(tbFichas[[#This Row],[DATA DE NASC.]],"00\/00\/0000")) /365.25))</f>
        <v>26</v>
      </c>
      <c r="H5" s="18">
        <f>IF(tbFichas[[#This Row],[PROFISSIONAL]]="","",VLOOKUP(tbFichas[[#This Row],[PROFISSIONAL]],LISTA_PROCED[],2,0))</f>
        <v>301010064</v>
      </c>
      <c r="I5" s="19">
        <f>IF(tbFichas[[#This Row],[PROFISSIONAL]]="","", VLOOKUP(tbFichas[[#This Row],[PROFISSIONAL]],LISTA_PROCED[],3,0))</f>
        <v>225142</v>
      </c>
    </row>
    <row r="6" spans="1:9" ht="16.5" x14ac:dyDescent="0.35">
      <c r="A6" s="15" t="s">
        <v>29</v>
      </c>
      <c r="B6" s="16">
        <v>15051981</v>
      </c>
      <c r="C6" s="16">
        <v>21112017</v>
      </c>
      <c r="D6" s="17">
        <f>IF(tbFichas[[#This Row],[DATA INICIAL]]="","",TEXT(tbFichas[[#This Row],[DATA INICIAL]],"00\/00\/0000")+30)</f>
        <v>43090</v>
      </c>
      <c r="E6" s="15">
        <f>IF(tbFichas[[#This Row],[DATA FINAL]]="","",YEAR(tbFichas[[#This Row],[DATA FINAL]]))</f>
        <v>2017</v>
      </c>
      <c r="F6" s="15" t="str">
        <f>PROPER(TEXT(tbFichas[[#This Row],[DATA FINAL]],"mmmm"))</f>
        <v>Dezembro</v>
      </c>
      <c r="G6" s="15">
        <f ca="1">IF(tbFichas[[#This Row],[DATA DE NASC.]]="","",INT(( TODAY() - TEXT(tbFichas[[#This Row],[DATA DE NASC.]],"00\/00\/0000")) /365.25))</f>
        <v>40</v>
      </c>
      <c r="H6" s="18">
        <f>IF(tbFichas[[#This Row],[PROFISSIONAL]]="","",VLOOKUP(tbFichas[[#This Row],[PROFISSIONAL]],LISTA_PROCED[],2,0))</f>
        <v>301010110</v>
      </c>
      <c r="I6" s="19">
        <f>IF(tbFichas[[#This Row],[PROFISSIONAL]]="","", VLOOKUP(tbFichas[[#This Row],[PROFISSIONAL]],LISTA_PROCED[],3,0))</f>
        <v>225142</v>
      </c>
    </row>
    <row r="7" spans="1:9" ht="16.5" x14ac:dyDescent="0.35">
      <c r="A7" s="15" t="s">
        <v>4</v>
      </c>
      <c r="B7" s="16">
        <v>18081951</v>
      </c>
      <c r="C7" s="16">
        <v>21112017</v>
      </c>
      <c r="D7" s="17">
        <f>IF(tbFichas[[#This Row],[DATA INICIAL]]="","",TEXT(tbFichas[[#This Row],[DATA INICIAL]],"00\/00\/0000")+30)</f>
        <v>43090</v>
      </c>
      <c r="E7" s="15">
        <f>IF(tbFichas[[#This Row],[DATA FINAL]]="","",YEAR(tbFichas[[#This Row],[DATA FINAL]]))</f>
        <v>2017</v>
      </c>
      <c r="F7" s="15" t="str">
        <f>PROPER(TEXT(tbFichas[[#This Row],[DATA FINAL]],"mmmm"))</f>
        <v>Dezembro</v>
      </c>
      <c r="G7" s="15">
        <f ca="1">IF(tbFichas[[#This Row],[DATA DE NASC.]]="","",INT(( TODAY() - TEXT(tbFichas[[#This Row],[DATA DE NASC.]],"00\/00\/0000")) /365.25))</f>
        <v>70</v>
      </c>
      <c r="H7" s="18">
        <f>IF(tbFichas[[#This Row],[PROFISSIONAL]]="","",VLOOKUP(tbFichas[[#This Row],[PROFISSIONAL]],LISTA_PROCED[],2,0))</f>
        <v>301010030</v>
      </c>
      <c r="I7" s="19">
        <f>IF(tbFichas[[#This Row],[PROFISSIONAL]]="","", VLOOKUP(tbFichas[[#This Row],[PROFISSIONAL]],LISTA_PROCED[],3,0))</f>
        <v>223565</v>
      </c>
    </row>
    <row r="8" spans="1:9" ht="16.5" x14ac:dyDescent="0.35">
      <c r="A8" s="15" t="s">
        <v>12</v>
      </c>
      <c r="B8" s="16">
        <v>16052017</v>
      </c>
      <c r="C8" s="16">
        <v>21112017</v>
      </c>
      <c r="D8" s="17">
        <f>IF(tbFichas[[#This Row],[DATA INICIAL]]="","",TEXT(tbFichas[[#This Row],[DATA INICIAL]],"00\/00\/0000")+30)</f>
        <v>43090</v>
      </c>
      <c r="E8" s="15">
        <f>IF(tbFichas[[#This Row],[DATA FINAL]]="","",YEAR(tbFichas[[#This Row],[DATA FINAL]]))</f>
        <v>2017</v>
      </c>
      <c r="F8" s="15" t="str">
        <f>PROPER(TEXT(tbFichas[[#This Row],[DATA FINAL]],"mmmm"))</f>
        <v>Dezembro</v>
      </c>
      <c r="G8" s="15">
        <f ca="1">IF(tbFichas[[#This Row],[DATA DE NASC.]]="","",INT(( TODAY() - TEXT(tbFichas[[#This Row],[DATA DE NASC.]],"00\/00\/0000")) /365.25))</f>
        <v>4</v>
      </c>
      <c r="H8" s="18">
        <f>IF(tbFichas[[#This Row],[PROFISSIONAL]]="","",VLOOKUP(tbFichas[[#This Row],[PROFISSIONAL]],LISTA_PROCED[],2,0))</f>
        <v>301010048</v>
      </c>
      <c r="I8" s="19">
        <f>IF(tbFichas[[#This Row],[PROFISSIONAL]]="","", VLOOKUP(tbFichas[[#This Row],[PROFISSIONAL]],LISTA_PROCED[],3,0))</f>
        <v>223810</v>
      </c>
    </row>
    <row r="9" spans="1:9" ht="16.5" x14ac:dyDescent="0.35">
      <c r="A9" s="15" t="s">
        <v>28</v>
      </c>
      <c r="B9" s="16">
        <v>26061995</v>
      </c>
      <c r="C9" s="16">
        <v>21112017</v>
      </c>
      <c r="D9" s="17">
        <f>IF(tbFichas[[#This Row],[DATA INICIAL]]="","",TEXT(tbFichas[[#This Row],[DATA INICIAL]],"00\/00\/0000")+30)</f>
        <v>43090</v>
      </c>
      <c r="E9" s="15">
        <f>IF(tbFichas[[#This Row],[DATA FINAL]]="","",YEAR(tbFichas[[#This Row],[DATA FINAL]]))</f>
        <v>2017</v>
      </c>
      <c r="F9" s="15" t="str">
        <f>PROPER(TEXT(tbFichas[[#This Row],[DATA FINAL]],"mmmm"))</f>
        <v>Dezembro</v>
      </c>
      <c r="G9" s="15">
        <f ca="1">IF(tbFichas[[#This Row],[DATA DE NASC.]]="","",INT(( TODAY() - TEXT(tbFichas[[#This Row],[DATA DE NASC.]],"00\/00\/0000")) /365.25))</f>
        <v>26</v>
      </c>
      <c r="H9" s="18">
        <f>IF(tbFichas[[#This Row],[PROFISSIONAL]]="","",VLOOKUP(tbFichas[[#This Row],[PROFISSIONAL]],LISTA_PROCED[],2,0))</f>
        <v>301010064</v>
      </c>
      <c r="I9" s="19">
        <f>IF(tbFichas[[#This Row],[PROFISSIONAL]]="","", VLOOKUP(tbFichas[[#This Row],[PROFISSIONAL]],LISTA_PROCED[],3,0))</f>
        <v>225142</v>
      </c>
    </row>
    <row r="10" spans="1:9" ht="16.5" x14ac:dyDescent="0.35">
      <c r="A10" s="15" t="s">
        <v>29</v>
      </c>
      <c r="B10" s="16">
        <v>18081981</v>
      </c>
      <c r="C10" s="16">
        <v>21112017</v>
      </c>
      <c r="D10" s="17">
        <f>IF(tbFichas[[#This Row],[DATA INICIAL]]="","",TEXT(tbFichas[[#This Row],[DATA INICIAL]],"00\/00\/0000")+30)</f>
        <v>43090</v>
      </c>
      <c r="E10" s="15">
        <f>IF(tbFichas[[#This Row],[DATA FINAL]]="","",YEAR(tbFichas[[#This Row],[DATA FINAL]]))</f>
        <v>2017</v>
      </c>
      <c r="F10" s="15" t="str">
        <f>PROPER(TEXT(tbFichas[[#This Row],[DATA FINAL]],"mmmm"))</f>
        <v>Dezembro</v>
      </c>
      <c r="G10" s="15">
        <f ca="1">IF(tbFichas[[#This Row],[DATA DE NASC.]]="","",INT(( TODAY() - TEXT(tbFichas[[#This Row],[DATA DE NASC.]],"00\/00\/0000")) /365.25))</f>
        <v>40</v>
      </c>
      <c r="H10" s="18">
        <f>IF(tbFichas[[#This Row],[PROFISSIONAL]]="","",VLOOKUP(tbFichas[[#This Row],[PROFISSIONAL]],LISTA_PROCED[],2,0))</f>
        <v>301010110</v>
      </c>
      <c r="I10" s="19">
        <f>IF(tbFichas[[#This Row],[PROFISSIONAL]]="","", VLOOKUP(tbFichas[[#This Row],[PROFISSIONAL]],LISTA_PROCED[],3,0))</f>
        <v>225142</v>
      </c>
    </row>
    <row r="11" spans="1:9" ht="16.5" x14ac:dyDescent="0.35">
      <c r="A11" s="15" t="s">
        <v>29</v>
      </c>
      <c r="B11" s="16">
        <v>18081981</v>
      </c>
      <c r="C11" s="16">
        <v>21112017</v>
      </c>
      <c r="D11" s="17">
        <f>IF(tbFichas[[#This Row],[DATA INICIAL]]="","",TEXT(tbFichas[[#This Row],[DATA INICIAL]],"00\/00\/0000")+30)</f>
        <v>43090</v>
      </c>
      <c r="E11" s="15">
        <f>IF(tbFichas[[#This Row],[DATA FINAL]]="","",YEAR(tbFichas[[#This Row],[DATA FINAL]]))</f>
        <v>2017</v>
      </c>
      <c r="F11" s="15" t="str">
        <f>PROPER(TEXT(tbFichas[[#This Row],[DATA FINAL]],"mmmm"))</f>
        <v>Dezembro</v>
      </c>
      <c r="G11" s="15">
        <f ca="1">IF(tbFichas[[#This Row],[DATA DE NASC.]]="","",INT(( TODAY() - TEXT(tbFichas[[#This Row],[DATA DE NASC.]],"00\/00\/0000")) /365.25))</f>
        <v>40</v>
      </c>
      <c r="H11" s="18">
        <f>IF(tbFichas[[#This Row],[PROFISSIONAL]]="","",VLOOKUP(tbFichas[[#This Row],[PROFISSIONAL]],LISTA_PROCED[],2,0))</f>
        <v>301010110</v>
      </c>
      <c r="I11" s="19">
        <f>IF(tbFichas[[#This Row],[PROFISSIONAL]]="","", VLOOKUP(tbFichas[[#This Row],[PROFISSIONAL]],LISTA_PROCED[],3,0))</f>
        <v>225142</v>
      </c>
    </row>
    <row r="12" spans="1:9" ht="16.5" x14ac:dyDescent="0.35">
      <c r="A12" s="15" t="s">
        <v>14</v>
      </c>
      <c r="B12" s="16">
        <v>26061995</v>
      </c>
      <c r="C12" s="16">
        <v>21112017</v>
      </c>
      <c r="D12" s="17">
        <f>IF(tbFichas[[#This Row],[DATA INICIAL]]="","",TEXT(tbFichas[[#This Row],[DATA INICIAL]],"00\/00\/0000")+30)</f>
        <v>43090</v>
      </c>
      <c r="E12" s="15">
        <f>IF(tbFichas[[#This Row],[DATA FINAL]]="","",YEAR(tbFichas[[#This Row],[DATA FINAL]]))</f>
        <v>2017</v>
      </c>
      <c r="F12" s="15" t="str">
        <f>PROPER(TEXT(tbFichas[[#This Row],[DATA FINAL]],"mmmm"))</f>
        <v>Dezembro</v>
      </c>
      <c r="G12" s="15">
        <f ca="1">IF(tbFichas[[#This Row],[DATA DE NASC.]]="","",INT(( TODAY() - TEXT(tbFichas[[#This Row],[DATA DE NASC.]],"00\/00\/0000")) /365.25))</f>
        <v>26</v>
      </c>
      <c r="H12" s="18">
        <f>IF(tbFichas[[#This Row],[PROFISSIONAL]]="","",VLOOKUP(tbFichas[[#This Row],[PROFISSIONAL]],LISTA_PROCED[],2,0))</f>
        <v>301010064</v>
      </c>
      <c r="I12" s="19">
        <f>IF(tbFichas[[#This Row],[PROFISSIONAL]]="","", VLOOKUP(tbFichas[[#This Row],[PROFISSIONAL]],LISTA_PROCED[],3,0))</f>
        <v>225124</v>
      </c>
    </row>
    <row r="13" spans="1:9" ht="16.5" x14ac:dyDescent="0.35">
      <c r="A13" s="15" t="s">
        <v>30</v>
      </c>
      <c r="B13" s="16">
        <v>26061995</v>
      </c>
      <c r="C13" s="16">
        <v>21112017</v>
      </c>
      <c r="D13" s="17">
        <f>IF(tbFichas[[#This Row],[DATA INICIAL]]="","",TEXT(tbFichas[[#This Row],[DATA INICIAL]],"00\/00\/0000")+30)</f>
        <v>43090</v>
      </c>
      <c r="E13" s="15">
        <f>IF(tbFichas[[#This Row],[DATA FINAL]]="","",YEAR(tbFichas[[#This Row],[DATA FINAL]]))</f>
        <v>2017</v>
      </c>
      <c r="F13" s="15" t="str">
        <f>PROPER(TEXT(tbFichas[[#This Row],[DATA FINAL]],"mmmm"))</f>
        <v>Dezembro</v>
      </c>
      <c r="G13" s="15">
        <f ca="1">IF(tbFichas[[#This Row],[DATA DE NASC.]]="","",INT(( TODAY() - TEXT(tbFichas[[#This Row],[DATA DE NASC.]],"00\/00\/0000")) /365.25))</f>
        <v>26</v>
      </c>
      <c r="H13" s="18">
        <f>IF(tbFichas[[#This Row],[PROFISSIONAL]]="","",VLOOKUP(tbFichas[[#This Row],[PROFISSIONAL]],LISTA_PROCED[],2,0))</f>
        <v>301010080</v>
      </c>
      <c r="I13" s="19">
        <f>IF(tbFichas[[#This Row],[PROFISSIONAL]]="","", VLOOKUP(tbFichas[[#This Row],[PROFISSIONAL]],LISTA_PROCED[],3,0))</f>
        <v>225142</v>
      </c>
    </row>
    <row r="14" spans="1:9" ht="16.5" x14ac:dyDescent="0.35">
      <c r="A14" s="15" t="s">
        <v>22</v>
      </c>
      <c r="B14" s="16">
        <v>18081981</v>
      </c>
      <c r="C14" s="16">
        <v>21112017</v>
      </c>
      <c r="D14" s="17">
        <f>IF(tbFichas[[#This Row],[DATA INICIAL]]="","",TEXT(tbFichas[[#This Row],[DATA INICIAL]],"00\/00\/0000")+30)</f>
        <v>43090</v>
      </c>
      <c r="E14" s="15">
        <f>IF(tbFichas[[#This Row],[DATA FINAL]]="","",YEAR(tbFichas[[#This Row],[DATA FINAL]]))</f>
        <v>2017</v>
      </c>
      <c r="F14" s="15" t="str">
        <f>PROPER(TEXT(tbFichas[[#This Row],[DATA FINAL]],"mmmm"))</f>
        <v>Dezembro</v>
      </c>
      <c r="G14" s="15">
        <f ca="1">IF(tbFichas[[#This Row],[DATA DE NASC.]]="","",INT(( TODAY() - TEXT(tbFichas[[#This Row],[DATA DE NASC.]],"00\/00\/0000")) /365.25))</f>
        <v>40</v>
      </c>
      <c r="H14" s="18">
        <f>IF(tbFichas[[#This Row],[PROFISSIONAL]]="","",VLOOKUP(tbFichas[[#This Row],[PROFISSIONAL]],LISTA_PROCED[],2,0))</f>
        <v>301020500</v>
      </c>
      <c r="I14" s="19">
        <f>IF(tbFichas[[#This Row],[PROFISSIONAL]]="","", VLOOKUP(tbFichas[[#This Row],[PROFISSIONAL]],LISTA_PROCED[],3,0))</f>
        <v>223208</v>
      </c>
    </row>
    <row r="15" spans="1:9" ht="16.5" x14ac:dyDescent="0.35">
      <c r="A15" s="15" t="s">
        <v>3</v>
      </c>
      <c r="B15" s="16">
        <v>26051986</v>
      </c>
      <c r="C15" s="16">
        <v>21112017</v>
      </c>
      <c r="D15" s="17">
        <f>IF(tbFichas[[#This Row],[DATA INICIAL]]="","",TEXT(tbFichas[[#This Row],[DATA INICIAL]],"00\/00\/0000")+30)</f>
        <v>43090</v>
      </c>
      <c r="E15" s="15">
        <f>IF(tbFichas[[#This Row],[DATA FINAL]]="","",YEAR(tbFichas[[#This Row],[DATA FINAL]]))</f>
        <v>2017</v>
      </c>
      <c r="F15" s="15" t="str">
        <f>PROPER(TEXT(tbFichas[[#This Row],[DATA FINAL]],"mmmm"))</f>
        <v>Dezembro</v>
      </c>
      <c r="G15" s="15">
        <f ca="1">IF(tbFichas[[#This Row],[DATA DE NASC.]]="","",INT(( TODAY() - TEXT(tbFichas[[#This Row],[DATA DE NASC.]],"00\/00\/0000")) /365.25))</f>
        <v>35</v>
      </c>
      <c r="H15" s="18">
        <f>IF(tbFichas[[#This Row],[PROFISSIONAL]]="","",VLOOKUP(tbFichas[[#This Row],[PROFISSIONAL]],LISTA_PROCED[],2,0))</f>
        <v>301010030</v>
      </c>
      <c r="I15" s="19">
        <f>IF(tbFichas[[#This Row],[PROFISSIONAL]]="","", VLOOKUP(tbFichas[[#This Row],[PROFISSIONAL]],LISTA_PROCED[],3,0))</f>
        <v>223505</v>
      </c>
    </row>
    <row r="16" spans="1:9" ht="16.5" x14ac:dyDescent="0.35">
      <c r="A16" s="15" t="s">
        <v>12</v>
      </c>
      <c r="B16" s="16">
        <v>23061984</v>
      </c>
      <c r="C16" s="16">
        <v>21112017</v>
      </c>
      <c r="D16" s="17">
        <f>IF(tbFichas[[#This Row],[DATA INICIAL]]="","",TEXT(tbFichas[[#This Row],[DATA INICIAL]],"00\/00\/0000")+30)</f>
        <v>43090</v>
      </c>
      <c r="E16" s="15">
        <f>IF(tbFichas[[#This Row],[DATA FINAL]]="","",YEAR(tbFichas[[#This Row],[DATA FINAL]]))</f>
        <v>2017</v>
      </c>
      <c r="F16" s="15" t="str">
        <f>PROPER(TEXT(tbFichas[[#This Row],[DATA FINAL]],"mmmm"))</f>
        <v>Dezembro</v>
      </c>
      <c r="G16" s="15">
        <f ca="1">IF(tbFichas[[#This Row],[DATA DE NASC.]]="","",INT(( TODAY() - TEXT(tbFichas[[#This Row],[DATA DE NASC.]],"00\/00\/0000")) /365.25))</f>
        <v>37</v>
      </c>
      <c r="H16" s="18">
        <f>IF(tbFichas[[#This Row],[PROFISSIONAL]]="","",VLOOKUP(tbFichas[[#This Row],[PROFISSIONAL]],LISTA_PROCED[],2,0))</f>
        <v>301010048</v>
      </c>
      <c r="I16" s="19">
        <f>IF(tbFichas[[#This Row],[PROFISSIONAL]]="","", VLOOKUP(tbFichas[[#This Row],[PROFISSIONAL]],LISTA_PROCED[],3,0))</f>
        <v>223810</v>
      </c>
    </row>
    <row r="17" spans="1:9" ht="16.5" x14ac:dyDescent="0.35">
      <c r="A17" s="15" t="s">
        <v>29</v>
      </c>
      <c r="B17" s="16">
        <v>26061901</v>
      </c>
      <c r="C17" s="16">
        <v>21112017</v>
      </c>
      <c r="D17" s="17">
        <f>IF(tbFichas[[#This Row],[DATA INICIAL]]="","",TEXT(tbFichas[[#This Row],[DATA INICIAL]],"00\/00\/0000")+30)</f>
        <v>43090</v>
      </c>
      <c r="E17" s="15">
        <f>IF(tbFichas[[#This Row],[DATA FINAL]]="","",YEAR(tbFichas[[#This Row],[DATA FINAL]]))</f>
        <v>2017</v>
      </c>
      <c r="F17" s="15" t="str">
        <f>PROPER(TEXT(tbFichas[[#This Row],[DATA FINAL]],"mmmm"))</f>
        <v>Dezembro</v>
      </c>
      <c r="G17" s="15">
        <f ca="1">IF(tbFichas[[#This Row],[DATA DE NASC.]]="","",INT(( TODAY() - TEXT(tbFichas[[#This Row],[DATA DE NASC.]],"00\/00\/0000")) /365.25))</f>
        <v>120</v>
      </c>
      <c r="H17" s="18">
        <f>IF(tbFichas[[#This Row],[PROFISSIONAL]]="","",VLOOKUP(tbFichas[[#This Row],[PROFISSIONAL]],LISTA_PROCED[],2,0))</f>
        <v>301010110</v>
      </c>
      <c r="I17" s="19">
        <f>IF(tbFichas[[#This Row],[PROFISSIONAL]]="","", VLOOKUP(tbFichas[[#This Row],[PROFISSIONAL]],LISTA_PROCED[],3,0))</f>
        <v>225142</v>
      </c>
    </row>
    <row r="18" spans="1:9" ht="16.5" x14ac:dyDescent="0.35">
      <c r="A18" s="15" t="s">
        <v>4</v>
      </c>
      <c r="B18" s="16">
        <v>18021956</v>
      </c>
      <c r="C18" s="16">
        <v>21112017</v>
      </c>
      <c r="D18" s="17">
        <f>IF(tbFichas[[#This Row],[DATA INICIAL]]="","",TEXT(tbFichas[[#This Row],[DATA INICIAL]],"00\/00\/0000")+30)</f>
        <v>43090</v>
      </c>
      <c r="E18" s="15">
        <f>IF(tbFichas[[#This Row],[DATA FINAL]]="","",YEAR(tbFichas[[#This Row],[DATA FINAL]]))</f>
        <v>2017</v>
      </c>
      <c r="F18" s="15" t="str">
        <f>PROPER(TEXT(tbFichas[[#This Row],[DATA FINAL]],"mmmm"))</f>
        <v>Dezembro</v>
      </c>
      <c r="G18" s="15">
        <f ca="1">IF(tbFichas[[#This Row],[DATA DE NASC.]]="","",INT(( TODAY() - TEXT(tbFichas[[#This Row],[DATA DE NASC.]],"00\/00\/0000")) /365.25))</f>
        <v>65</v>
      </c>
      <c r="H18" s="18">
        <f>IF(tbFichas[[#This Row],[PROFISSIONAL]]="","",VLOOKUP(tbFichas[[#This Row],[PROFISSIONAL]],LISTA_PROCED[],2,0))</f>
        <v>301010030</v>
      </c>
      <c r="I18" s="19">
        <f>IF(tbFichas[[#This Row],[PROFISSIONAL]]="","", VLOOKUP(tbFichas[[#This Row],[PROFISSIONAL]],LISTA_PROCED[],3,0))</f>
        <v>223565</v>
      </c>
    </row>
    <row r="19" spans="1:9" ht="16.5" x14ac:dyDescent="0.35">
      <c r="A19" s="15" t="s">
        <v>21</v>
      </c>
      <c r="B19" s="16">
        <v>18051947</v>
      </c>
      <c r="C19" s="16">
        <v>21112017</v>
      </c>
      <c r="D19" s="17">
        <f>IF(tbFichas[[#This Row],[DATA INICIAL]]="","",TEXT(tbFichas[[#This Row],[DATA INICIAL]],"00\/00\/0000")+30)</f>
        <v>43090</v>
      </c>
      <c r="E19" s="15">
        <f>IF(tbFichas[[#This Row],[DATA FINAL]]="","",YEAR(tbFichas[[#This Row],[DATA FINAL]]))</f>
        <v>2017</v>
      </c>
      <c r="F19" s="15" t="str">
        <f>PROPER(TEXT(tbFichas[[#This Row],[DATA FINAL]],"mmmm"))</f>
        <v>Dezembro</v>
      </c>
      <c r="G19" s="15">
        <f ca="1">IF(tbFichas[[#This Row],[DATA DE NASC.]]="","",INT(( TODAY() - TEXT(tbFichas[[#This Row],[DATA DE NASC.]],"00\/00\/0000")) /365.25))</f>
        <v>74</v>
      </c>
      <c r="H19" s="18">
        <f>IF(tbFichas[[#This Row],[PROFISSIONAL]]="","",VLOOKUP(tbFichas[[#This Row],[PROFISSIONAL]],LISTA_PROCED[],2,0))</f>
        <v>301010072</v>
      </c>
      <c r="I19" s="19">
        <f>IF(tbFichas[[#This Row],[PROFISSIONAL]]="","", VLOOKUP(tbFichas[[#This Row],[PROFISSIONAL]],LISTA_PROCED[],3,0))</f>
        <v>225112</v>
      </c>
    </row>
    <row r="20" spans="1:9" ht="16.5" x14ac:dyDescent="0.35">
      <c r="A20" s="15" t="s">
        <v>18</v>
      </c>
      <c r="B20" s="16">
        <v>16091904</v>
      </c>
      <c r="C20" s="16">
        <v>21112017</v>
      </c>
      <c r="D20" s="17">
        <f>IF(tbFichas[[#This Row],[DATA INICIAL]]="","",TEXT(tbFichas[[#This Row],[DATA INICIAL]],"00\/00\/0000")+30)</f>
        <v>43090</v>
      </c>
      <c r="E20" s="15">
        <f>IF(tbFichas[[#This Row],[DATA FINAL]]="","",YEAR(tbFichas[[#This Row],[DATA FINAL]]))</f>
        <v>2017</v>
      </c>
      <c r="F20" s="15" t="str">
        <f>PROPER(TEXT(tbFichas[[#This Row],[DATA FINAL]],"mmmm"))</f>
        <v>Dezembro</v>
      </c>
      <c r="G20" s="15">
        <f ca="1">IF(tbFichas[[#This Row],[DATA DE NASC.]]="","",INT(( TODAY() - TEXT(tbFichas[[#This Row],[DATA DE NASC.]],"00\/00\/0000")) /365.25))</f>
        <v>117</v>
      </c>
      <c r="H20" s="18">
        <f>IF(tbFichas[[#This Row],[PROFISSIONAL]]="","",VLOOKUP(tbFichas[[#This Row],[PROFISSIONAL]],LISTA_PROCED[],2,0))</f>
        <v>301010110</v>
      </c>
      <c r="I20" s="19">
        <f>IF(tbFichas[[#This Row],[PROFISSIONAL]]="","", VLOOKUP(tbFichas[[#This Row],[PROFISSIONAL]],LISTA_PROCED[],3,0))</f>
        <v>225250</v>
      </c>
    </row>
    <row r="21" spans="1:9" ht="16.5" x14ac:dyDescent="0.35">
      <c r="A21" s="15" t="s">
        <v>29</v>
      </c>
      <c r="B21" s="16">
        <v>26061995</v>
      </c>
      <c r="C21" s="16">
        <v>21112017</v>
      </c>
      <c r="D21" s="17">
        <f>IF(tbFichas[[#This Row],[DATA INICIAL]]="","",TEXT(tbFichas[[#This Row],[DATA INICIAL]],"00\/00\/0000")+30)</f>
        <v>43090</v>
      </c>
      <c r="E21" s="15">
        <f>IF(tbFichas[[#This Row],[DATA FINAL]]="","",YEAR(tbFichas[[#This Row],[DATA FINAL]]))</f>
        <v>2017</v>
      </c>
      <c r="F21" s="15" t="str">
        <f>PROPER(TEXT(tbFichas[[#This Row],[DATA FINAL]],"mmmm"))</f>
        <v>Dezembro</v>
      </c>
      <c r="G21" s="15">
        <f ca="1">IF(tbFichas[[#This Row],[DATA DE NASC.]]="","",INT(( TODAY() - TEXT(tbFichas[[#This Row],[DATA DE NASC.]],"00\/00\/0000")) /365.25))</f>
        <v>26</v>
      </c>
      <c r="H21" s="18">
        <f>IF(tbFichas[[#This Row],[PROFISSIONAL]]="","",VLOOKUP(tbFichas[[#This Row],[PROFISSIONAL]],LISTA_PROCED[],2,0))</f>
        <v>301010110</v>
      </c>
      <c r="I21" s="19">
        <f>IF(tbFichas[[#This Row],[PROFISSIONAL]]="","", VLOOKUP(tbFichas[[#This Row],[PROFISSIONAL]],LISTA_PROCED[],3,0))</f>
        <v>225142</v>
      </c>
    </row>
    <row r="22" spans="1:9" ht="16.5" x14ac:dyDescent="0.35">
      <c r="A22" s="15" t="s">
        <v>3</v>
      </c>
      <c r="B22" s="16">
        <v>26061995</v>
      </c>
      <c r="C22" s="16">
        <v>21112017</v>
      </c>
      <c r="D22" s="17">
        <f>IF(tbFichas[[#This Row],[DATA INICIAL]]="","",TEXT(tbFichas[[#This Row],[DATA INICIAL]],"00\/00\/0000")+30)</f>
        <v>43090</v>
      </c>
      <c r="E22" s="15">
        <f>IF(tbFichas[[#This Row],[DATA FINAL]]="","",YEAR(tbFichas[[#This Row],[DATA FINAL]]))</f>
        <v>2017</v>
      </c>
      <c r="F22" s="15" t="str">
        <f>PROPER(TEXT(tbFichas[[#This Row],[DATA FINAL]],"mmmm"))</f>
        <v>Dezembro</v>
      </c>
      <c r="G22" s="15">
        <f ca="1">IF(tbFichas[[#This Row],[DATA DE NASC.]]="","",INT(( TODAY() - TEXT(tbFichas[[#This Row],[DATA DE NASC.]],"00\/00\/0000")) /365.25))</f>
        <v>26</v>
      </c>
      <c r="H22" s="18">
        <f>IF(tbFichas[[#This Row],[PROFISSIONAL]]="","",VLOOKUP(tbFichas[[#This Row],[PROFISSIONAL]],LISTA_PROCED[],2,0))</f>
        <v>301010030</v>
      </c>
      <c r="I22" s="19">
        <f>IF(tbFichas[[#This Row],[PROFISSIONAL]]="","", VLOOKUP(tbFichas[[#This Row],[PROFISSIONAL]],LISTA_PROCED[],3,0))</f>
        <v>223505</v>
      </c>
    </row>
    <row r="23" spans="1:9" ht="16.5" x14ac:dyDescent="0.35">
      <c r="A23" s="15" t="s">
        <v>19</v>
      </c>
      <c r="B23" s="16">
        <v>26061995</v>
      </c>
      <c r="C23" s="16">
        <v>21112017</v>
      </c>
      <c r="D23" s="17">
        <f>IF(tbFichas[[#This Row],[DATA INICIAL]]="","",TEXT(tbFichas[[#This Row],[DATA INICIAL]],"00\/00\/0000")+30)</f>
        <v>43090</v>
      </c>
      <c r="E23" s="15">
        <f>IF(tbFichas[[#This Row],[DATA FINAL]]="","",YEAR(tbFichas[[#This Row],[DATA FINAL]]))</f>
        <v>2017</v>
      </c>
      <c r="F23" s="15" t="str">
        <f>PROPER(TEXT(tbFichas[[#This Row],[DATA FINAL]],"mmmm"))</f>
        <v>Dezembro</v>
      </c>
      <c r="G23" s="15">
        <f ca="1">IF(tbFichas[[#This Row],[DATA DE NASC.]]="","",INT(( TODAY() - TEXT(tbFichas[[#This Row],[DATA DE NASC.]],"00\/00\/0000")) /365.25))</f>
        <v>26</v>
      </c>
      <c r="H23" s="18">
        <f>IF(tbFichas[[#This Row],[PROFISSIONAL]]="","",VLOOKUP(tbFichas[[#This Row],[PROFISSIONAL]],LISTA_PROCED[],2,0))</f>
        <v>301010064</v>
      </c>
      <c r="I23" s="19">
        <f>IF(tbFichas[[#This Row],[PROFISSIONAL]]="","", VLOOKUP(tbFichas[[#This Row],[PROFISSIONAL]],LISTA_PROCED[],3,0))</f>
        <v>225125</v>
      </c>
    </row>
    <row r="24" spans="1:9" ht="16.5" x14ac:dyDescent="0.35">
      <c r="A24" s="15" t="s">
        <v>3</v>
      </c>
      <c r="B24" s="16">
        <v>18081981</v>
      </c>
      <c r="C24" s="16">
        <v>21112017</v>
      </c>
      <c r="D24" s="17">
        <f>IF(tbFichas[[#This Row],[DATA INICIAL]]="","",TEXT(tbFichas[[#This Row],[DATA INICIAL]],"00\/00\/0000")+30)</f>
        <v>43090</v>
      </c>
      <c r="E24" s="15">
        <f>IF(tbFichas[[#This Row],[DATA FINAL]]="","",YEAR(tbFichas[[#This Row],[DATA FINAL]]))</f>
        <v>2017</v>
      </c>
      <c r="F24" s="15" t="str">
        <f>PROPER(TEXT(tbFichas[[#This Row],[DATA FINAL]],"mmmm"))</f>
        <v>Dezembro</v>
      </c>
      <c r="G24" s="15">
        <f ca="1">IF(tbFichas[[#This Row],[DATA DE NASC.]]="","",INT(( TODAY() - TEXT(tbFichas[[#This Row],[DATA DE NASC.]],"00\/00\/0000")) /365.25))</f>
        <v>40</v>
      </c>
      <c r="H24" s="18">
        <f>IF(tbFichas[[#This Row],[PROFISSIONAL]]="","",VLOOKUP(tbFichas[[#This Row],[PROFISSIONAL]],LISTA_PROCED[],2,0))</f>
        <v>301010030</v>
      </c>
      <c r="I24" s="19">
        <f>IF(tbFichas[[#This Row],[PROFISSIONAL]]="","", VLOOKUP(tbFichas[[#This Row],[PROFISSIONAL]],LISTA_PROCED[],3,0))</f>
        <v>223505</v>
      </c>
    </row>
    <row r="25" spans="1:9" ht="16.5" x14ac:dyDescent="0.35">
      <c r="A25" s="15" t="s">
        <v>11</v>
      </c>
      <c r="B25" s="16">
        <v>26061981</v>
      </c>
      <c r="C25" s="16">
        <v>21102017</v>
      </c>
      <c r="D25" s="17">
        <f>IF(tbFichas[[#This Row],[DATA INICIAL]]="","",TEXT(tbFichas[[#This Row],[DATA INICIAL]],"00\/00\/0000")+30)</f>
        <v>43059</v>
      </c>
      <c r="E25" s="15">
        <f>IF(tbFichas[[#This Row],[DATA FINAL]]="","",YEAR(tbFichas[[#This Row],[DATA FINAL]]))</f>
        <v>2017</v>
      </c>
      <c r="F25" s="15" t="str">
        <f>PROPER(TEXT(tbFichas[[#This Row],[DATA FINAL]],"mmmm"))</f>
        <v>Novembro</v>
      </c>
      <c r="G25" s="15">
        <f ca="1">IF(tbFichas[[#This Row],[DATA DE NASC.]]="","",INT(( TODAY() - TEXT(tbFichas[[#This Row],[DATA DE NASC.]],"00\/00\/0000")) /365.25))</f>
        <v>40</v>
      </c>
      <c r="H25" s="18">
        <f>IF(tbFichas[[#This Row],[PROFISSIONAL]]="","",VLOOKUP(tbFichas[[#This Row],[PROFISSIONAL]],LISTA_PROCED[],2,0))</f>
        <v>301010072</v>
      </c>
      <c r="I25" s="19">
        <f>IF(tbFichas[[#This Row],[PROFISSIONAL]]="","", VLOOKUP(tbFichas[[#This Row],[PROFISSIONAL]],LISTA_PROCED[],3,0))</f>
        <v>225133</v>
      </c>
    </row>
    <row r="26" spans="1:9" ht="16.5" x14ac:dyDescent="0.35">
      <c r="A26" s="15" t="s">
        <v>19</v>
      </c>
      <c r="B26" s="16">
        <v>26061995</v>
      </c>
      <c r="C26" s="16">
        <v>21102017</v>
      </c>
      <c r="D26" s="17">
        <f>IF(tbFichas[[#This Row],[DATA INICIAL]]="","",TEXT(tbFichas[[#This Row],[DATA INICIAL]],"00\/00\/0000")+30)</f>
        <v>43059</v>
      </c>
      <c r="E26" s="15">
        <f>IF(tbFichas[[#This Row],[DATA FINAL]]="","",YEAR(tbFichas[[#This Row],[DATA FINAL]]))</f>
        <v>2017</v>
      </c>
      <c r="F26" s="15" t="str">
        <f>PROPER(TEXT(tbFichas[[#This Row],[DATA FINAL]],"mmmm"))</f>
        <v>Novembro</v>
      </c>
      <c r="G26" s="15">
        <f ca="1">IF(tbFichas[[#This Row],[DATA DE NASC.]]="","",INT(( TODAY() - TEXT(tbFichas[[#This Row],[DATA DE NASC.]],"00\/00\/0000")) /365.25))</f>
        <v>26</v>
      </c>
      <c r="H26" s="18">
        <f>IF(tbFichas[[#This Row],[PROFISSIONAL]]="","",VLOOKUP(tbFichas[[#This Row],[PROFISSIONAL]],LISTA_PROCED[],2,0))</f>
        <v>301010064</v>
      </c>
      <c r="I26" s="19">
        <f>IF(tbFichas[[#This Row],[PROFISSIONAL]]="","", VLOOKUP(tbFichas[[#This Row],[PROFISSIONAL]],LISTA_PROCED[],3,0))</f>
        <v>225125</v>
      </c>
    </row>
    <row r="27" spans="1:9" ht="16.5" x14ac:dyDescent="0.35">
      <c r="A27" s="15" t="s">
        <v>3</v>
      </c>
      <c r="B27" s="16">
        <v>18081981</v>
      </c>
      <c r="C27" s="16">
        <v>21102017</v>
      </c>
      <c r="D27" s="17">
        <f>IF(tbFichas[[#This Row],[DATA INICIAL]]="","",TEXT(tbFichas[[#This Row],[DATA INICIAL]],"00\/00\/0000")+30)</f>
        <v>43059</v>
      </c>
      <c r="E27" s="15">
        <f>IF(tbFichas[[#This Row],[DATA FINAL]]="","",YEAR(tbFichas[[#This Row],[DATA FINAL]]))</f>
        <v>2017</v>
      </c>
      <c r="F27" s="15" t="str">
        <f>PROPER(TEXT(tbFichas[[#This Row],[DATA FINAL]],"mmmm"))</f>
        <v>Novembro</v>
      </c>
      <c r="G27" s="15">
        <f ca="1">IF(tbFichas[[#This Row],[DATA DE NASC.]]="","",INT(( TODAY() - TEXT(tbFichas[[#This Row],[DATA DE NASC.]],"00\/00\/0000")) /365.25))</f>
        <v>40</v>
      </c>
      <c r="H27" s="18">
        <f>IF(tbFichas[[#This Row],[PROFISSIONAL]]="","",VLOOKUP(tbFichas[[#This Row],[PROFISSIONAL]],LISTA_PROCED[],2,0))</f>
        <v>301010030</v>
      </c>
      <c r="I27" s="19">
        <f>IF(tbFichas[[#This Row],[PROFISSIONAL]]="","", VLOOKUP(tbFichas[[#This Row],[PROFISSIONAL]],LISTA_PROCED[],3,0))</f>
        <v>223505</v>
      </c>
    </row>
    <row r="28" spans="1:9" ht="16.5" x14ac:dyDescent="0.35">
      <c r="A28" s="15" t="s">
        <v>3</v>
      </c>
      <c r="B28" s="16">
        <v>15011981</v>
      </c>
      <c r="C28" s="16">
        <v>21102017</v>
      </c>
      <c r="D28" s="17">
        <f>IF(tbFichas[[#This Row],[DATA INICIAL]]="","",TEXT(tbFichas[[#This Row],[DATA INICIAL]],"00\/00\/0000")+30)</f>
        <v>43059</v>
      </c>
      <c r="E28" s="15">
        <f>IF(tbFichas[[#This Row],[DATA FINAL]]="","",YEAR(tbFichas[[#This Row],[DATA FINAL]]))</f>
        <v>2017</v>
      </c>
      <c r="F28" s="15" t="str">
        <f>PROPER(TEXT(tbFichas[[#This Row],[DATA FINAL]],"mmmm"))</f>
        <v>Novembro</v>
      </c>
      <c r="G28" s="15">
        <f ca="1">IF(tbFichas[[#This Row],[DATA DE NASC.]]="","",INT(( TODAY() - TEXT(tbFichas[[#This Row],[DATA DE NASC.]],"00\/00\/0000")) /365.25))</f>
        <v>40</v>
      </c>
      <c r="H28" s="18">
        <f>IF(tbFichas[[#This Row],[PROFISSIONAL]]="","",VLOOKUP(tbFichas[[#This Row],[PROFISSIONAL]],LISTA_PROCED[],2,0))</f>
        <v>301010030</v>
      </c>
      <c r="I28" s="19">
        <f>IF(tbFichas[[#This Row],[PROFISSIONAL]]="","", VLOOKUP(tbFichas[[#This Row],[PROFISSIONAL]],LISTA_PROCED[],3,0))</f>
        <v>223505</v>
      </c>
    </row>
    <row r="29" spans="1:9" ht="16.5" x14ac:dyDescent="0.35">
      <c r="A29" s="15" t="s">
        <v>3</v>
      </c>
      <c r="B29" s="16">
        <v>26061995</v>
      </c>
      <c r="C29" s="16">
        <v>21102017</v>
      </c>
      <c r="D29" s="17">
        <f>IF(tbFichas[[#This Row],[DATA INICIAL]]="","",TEXT(tbFichas[[#This Row],[DATA INICIAL]],"00\/00\/0000")+30)</f>
        <v>43059</v>
      </c>
      <c r="E29" s="15">
        <f>IF(tbFichas[[#This Row],[DATA FINAL]]="","",YEAR(tbFichas[[#This Row],[DATA FINAL]]))</f>
        <v>2017</v>
      </c>
      <c r="F29" s="15" t="str">
        <f>PROPER(TEXT(tbFichas[[#This Row],[DATA FINAL]],"mmmm"))</f>
        <v>Novembro</v>
      </c>
      <c r="G29" s="15">
        <f ca="1">IF(tbFichas[[#This Row],[DATA DE NASC.]]="","",INT(( TODAY() - TEXT(tbFichas[[#This Row],[DATA DE NASC.]],"00\/00\/0000")) /365.25))</f>
        <v>26</v>
      </c>
      <c r="H29" s="18">
        <f>IF(tbFichas[[#This Row],[PROFISSIONAL]]="","",VLOOKUP(tbFichas[[#This Row],[PROFISSIONAL]],LISTA_PROCED[],2,0))</f>
        <v>301010030</v>
      </c>
      <c r="I29" s="19">
        <f>IF(tbFichas[[#This Row],[PROFISSIONAL]]="","", VLOOKUP(tbFichas[[#This Row],[PROFISSIONAL]],LISTA_PROCED[],3,0))</f>
        <v>223505</v>
      </c>
    </row>
    <row r="30" spans="1:9" ht="16.5" x14ac:dyDescent="0.35">
      <c r="A30" s="15" t="s">
        <v>3</v>
      </c>
      <c r="B30" s="16">
        <v>26061999</v>
      </c>
      <c r="C30" s="16">
        <v>21102017</v>
      </c>
      <c r="D30" s="17">
        <f>IF(tbFichas[[#This Row],[DATA INICIAL]]="","",TEXT(tbFichas[[#This Row],[DATA INICIAL]],"00\/00\/0000")+30)</f>
        <v>43059</v>
      </c>
      <c r="E30" s="15">
        <f>IF(tbFichas[[#This Row],[DATA FINAL]]="","",YEAR(tbFichas[[#This Row],[DATA FINAL]]))</f>
        <v>2017</v>
      </c>
      <c r="F30" s="15" t="str">
        <f>PROPER(TEXT(tbFichas[[#This Row],[DATA FINAL]],"mmmm"))</f>
        <v>Novembro</v>
      </c>
      <c r="G30" s="15">
        <f ca="1">IF(tbFichas[[#This Row],[DATA DE NASC.]]="","",INT(( TODAY() - TEXT(tbFichas[[#This Row],[DATA DE NASC.]],"00\/00\/0000")) /365.25))</f>
        <v>22</v>
      </c>
      <c r="H30" s="18">
        <f>IF(tbFichas[[#This Row],[PROFISSIONAL]]="","",VLOOKUP(tbFichas[[#This Row],[PROFISSIONAL]],LISTA_PROCED[],2,0))</f>
        <v>301010030</v>
      </c>
      <c r="I30" s="19">
        <f>IF(tbFichas[[#This Row],[PROFISSIONAL]]="","", VLOOKUP(tbFichas[[#This Row],[PROFISSIONAL]],LISTA_PROCED[],3,0))</f>
        <v>223505</v>
      </c>
    </row>
    <row r="31" spans="1:9" ht="16.5" x14ac:dyDescent="0.35">
      <c r="A31" s="15" t="s">
        <v>19</v>
      </c>
      <c r="B31" s="16">
        <v>18081981</v>
      </c>
      <c r="C31" s="16">
        <v>21102017</v>
      </c>
      <c r="D31" s="17">
        <f>IF(tbFichas[[#This Row],[DATA INICIAL]]="","",TEXT(tbFichas[[#This Row],[DATA INICIAL]],"00\/00\/0000")+30)</f>
        <v>43059</v>
      </c>
      <c r="E31" s="15">
        <f>IF(tbFichas[[#This Row],[DATA FINAL]]="","",YEAR(tbFichas[[#This Row],[DATA FINAL]]))</f>
        <v>2017</v>
      </c>
      <c r="F31" s="15" t="str">
        <f>PROPER(TEXT(tbFichas[[#This Row],[DATA FINAL]],"mmmm"))</f>
        <v>Novembro</v>
      </c>
      <c r="G31" s="15">
        <f ca="1">IF(tbFichas[[#This Row],[DATA DE NASC.]]="","",INT(( TODAY() - TEXT(tbFichas[[#This Row],[DATA DE NASC.]],"00\/00\/0000")) /365.25))</f>
        <v>40</v>
      </c>
      <c r="H31" s="18">
        <f>IF(tbFichas[[#This Row],[PROFISSIONAL]]="","",VLOOKUP(tbFichas[[#This Row],[PROFISSIONAL]],LISTA_PROCED[],2,0))</f>
        <v>301010064</v>
      </c>
      <c r="I31" s="19">
        <f>IF(tbFichas[[#This Row],[PROFISSIONAL]]="","", VLOOKUP(tbFichas[[#This Row],[PROFISSIONAL]],LISTA_PROCED[],3,0))</f>
        <v>225125</v>
      </c>
    </row>
    <row r="32" spans="1:9" ht="16.5" x14ac:dyDescent="0.35">
      <c r="A32" s="15" t="s">
        <v>29</v>
      </c>
      <c r="B32" s="16">
        <v>18081981</v>
      </c>
      <c r="C32" s="16">
        <v>21102017</v>
      </c>
      <c r="D32" s="17">
        <f>IF(tbFichas[[#This Row],[DATA INICIAL]]="","",TEXT(tbFichas[[#This Row],[DATA INICIAL]],"00\/00\/0000")+30)</f>
        <v>43059</v>
      </c>
      <c r="E32" s="15">
        <f>IF(tbFichas[[#This Row],[DATA FINAL]]="","",YEAR(tbFichas[[#This Row],[DATA FINAL]]))</f>
        <v>2017</v>
      </c>
      <c r="F32" s="15" t="str">
        <f>PROPER(TEXT(tbFichas[[#This Row],[DATA FINAL]],"mmmm"))</f>
        <v>Novembro</v>
      </c>
      <c r="G32" s="15">
        <f ca="1">IF(tbFichas[[#This Row],[DATA DE NASC.]]="","",INT(( TODAY() - TEXT(tbFichas[[#This Row],[DATA DE NASC.]],"00\/00\/0000")) /365.25))</f>
        <v>40</v>
      </c>
      <c r="H32" s="18">
        <f>IF(tbFichas[[#This Row],[PROFISSIONAL]]="","",VLOOKUP(tbFichas[[#This Row],[PROFISSIONAL]],LISTA_PROCED[],2,0))</f>
        <v>301010110</v>
      </c>
      <c r="I32" s="19">
        <f>IF(tbFichas[[#This Row],[PROFISSIONAL]]="","", VLOOKUP(tbFichas[[#This Row],[PROFISSIONAL]],LISTA_PROCED[],3,0))</f>
        <v>225142</v>
      </c>
    </row>
    <row r="33" spans="1:9" ht="16.5" x14ac:dyDescent="0.35">
      <c r="A33" s="15" t="s">
        <v>19</v>
      </c>
      <c r="B33" s="16">
        <v>26061995</v>
      </c>
      <c r="C33" s="16">
        <v>21112017</v>
      </c>
      <c r="D33" s="17">
        <f>IF(tbFichas[[#This Row],[DATA INICIAL]]="","",TEXT(tbFichas[[#This Row],[DATA INICIAL]],"00\/00\/0000")+30)</f>
        <v>43090</v>
      </c>
      <c r="E33" s="15">
        <f>IF(tbFichas[[#This Row],[DATA FINAL]]="","",YEAR(tbFichas[[#This Row],[DATA FINAL]]))</f>
        <v>2017</v>
      </c>
      <c r="F33" s="15" t="str">
        <f>PROPER(TEXT(tbFichas[[#This Row],[DATA FINAL]],"mmmm"))</f>
        <v>Dezembro</v>
      </c>
      <c r="G33" s="15">
        <f ca="1">IF(tbFichas[[#This Row],[DATA DE NASC.]]="","",INT(( TODAY() - TEXT(tbFichas[[#This Row],[DATA DE NASC.]],"00\/00\/0000")) /365.25))</f>
        <v>26</v>
      </c>
      <c r="H33" s="18">
        <f>IF(tbFichas[[#This Row],[PROFISSIONAL]]="","",VLOOKUP(tbFichas[[#This Row],[PROFISSIONAL]],LISTA_PROCED[],2,0))</f>
        <v>301010064</v>
      </c>
      <c r="I33" s="19">
        <f>IF(tbFichas[[#This Row],[PROFISSIONAL]]="","", VLOOKUP(tbFichas[[#This Row],[PROFISSIONAL]],LISTA_PROCED[],3,0))</f>
        <v>225125</v>
      </c>
    </row>
    <row r="34" spans="1:9" ht="16.5" x14ac:dyDescent="0.35">
      <c r="A34" s="15" t="s">
        <v>16</v>
      </c>
      <c r="B34" s="16">
        <v>18081981</v>
      </c>
      <c r="C34" s="16">
        <v>21112017</v>
      </c>
      <c r="D34" s="17">
        <f>IF(tbFichas[[#This Row],[DATA INICIAL]]="","",TEXT(tbFichas[[#This Row],[DATA INICIAL]],"00\/00\/0000")+30)</f>
        <v>43090</v>
      </c>
      <c r="E34" s="15">
        <f>IF(tbFichas[[#This Row],[DATA FINAL]]="","",YEAR(tbFichas[[#This Row],[DATA FINAL]]))</f>
        <v>2017</v>
      </c>
      <c r="F34" s="15" t="str">
        <f>PROPER(TEXT(tbFichas[[#This Row],[DATA FINAL]],"mmmm"))</f>
        <v>Dezembro</v>
      </c>
      <c r="G34" s="15">
        <f ca="1">IF(tbFichas[[#This Row],[DATA DE NASC.]]="","",INT(( TODAY() - TEXT(tbFichas[[#This Row],[DATA DE NASC.]],"00\/00\/0000")) /365.25))</f>
        <v>40</v>
      </c>
      <c r="H34" s="18">
        <f>IF(tbFichas[[#This Row],[PROFISSIONAL]]="","",VLOOKUP(tbFichas[[#This Row],[PROFISSIONAL]],LISTA_PROCED[],2,0))</f>
        <v>301010064</v>
      </c>
      <c r="I34" s="19">
        <f>IF(tbFichas[[#This Row],[PROFISSIONAL]]="","", VLOOKUP(tbFichas[[#This Row],[PROFISSIONAL]],LISTA_PROCED[],3,0))</f>
        <v>225250</v>
      </c>
    </row>
    <row r="35" spans="1:9" ht="16.5" x14ac:dyDescent="0.35">
      <c r="A35" s="15" t="s">
        <v>3</v>
      </c>
      <c r="B35" s="16">
        <v>16051981</v>
      </c>
      <c r="C35" s="16">
        <v>21112017</v>
      </c>
      <c r="D35" s="17">
        <f>IF(tbFichas[[#This Row],[DATA INICIAL]]="","",TEXT(tbFichas[[#This Row],[DATA INICIAL]],"00\/00\/0000")+30)</f>
        <v>43090</v>
      </c>
      <c r="E35" s="15">
        <f>IF(tbFichas[[#This Row],[DATA FINAL]]="","",YEAR(tbFichas[[#This Row],[DATA FINAL]]))</f>
        <v>2017</v>
      </c>
      <c r="F35" s="15" t="str">
        <f>PROPER(TEXT(tbFichas[[#This Row],[DATA FINAL]],"mmmm"))</f>
        <v>Dezembro</v>
      </c>
      <c r="G35" s="15">
        <f ca="1">IF(tbFichas[[#This Row],[DATA DE NASC.]]="","",INT(( TODAY() - TEXT(tbFichas[[#This Row],[DATA DE NASC.]],"00\/00\/0000")) /365.25))</f>
        <v>40</v>
      </c>
      <c r="H35" s="18">
        <f>IF(tbFichas[[#This Row],[PROFISSIONAL]]="","",VLOOKUP(tbFichas[[#This Row],[PROFISSIONAL]],LISTA_PROCED[],2,0))</f>
        <v>301010030</v>
      </c>
      <c r="I35" s="19">
        <f>IF(tbFichas[[#This Row],[PROFISSIONAL]]="","", VLOOKUP(tbFichas[[#This Row],[PROFISSIONAL]],LISTA_PROCED[],3,0))</f>
        <v>223505</v>
      </c>
    </row>
    <row r="36" spans="1:9" ht="16.5" x14ac:dyDescent="0.35">
      <c r="A36" s="15" t="s">
        <v>29</v>
      </c>
      <c r="B36" s="16">
        <v>18081981</v>
      </c>
      <c r="C36" s="16">
        <v>21112017</v>
      </c>
      <c r="D36" s="17">
        <f>IF(tbFichas[[#This Row],[DATA INICIAL]]="","",TEXT(tbFichas[[#This Row],[DATA INICIAL]],"00\/00\/0000")+30)</f>
        <v>43090</v>
      </c>
      <c r="E36" s="15">
        <f>IF(tbFichas[[#This Row],[DATA FINAL]]="","",YEAR(tbFichas[[#This Row],[DATA FINAL]]))</f>
        <v>2017</v>
      </c>
      <c r="F36" s="15" t="str">
        <f>PROPER(TEXT(tbFichas[[#This Row],[DATA FINAL]],"mmmm"))</f>
        <v>Dezembro</v>
      </c>
      <c r="G36" s="15">
        <f ca="1">IF(tbFichas[[#This Row],[DATA DE NASC.]]="","",INT(( TODAY() - TEXT(tbFichas[[#This Row],[DATA DE NASC.]],"00\/00\/0000")) /365.25))</f>
        <v>40</v>
      </c>
      <c r="H36" s="18">
        <f>IF(tbFichas[[#This Row],[PROFISSIONAL]]="","",VLOOKUP(tbFichas[[#This Row],[PROFISSIONAL]],LISTA_PROCED[],2,0))</f>
        <v>301010110</v>
      </c>
      <c r="I36" s="19">
        <f>IF(tbFichas[[#This Row],[PROFISSIONAL]]="","", VLOOKUP(tbFichas[[#This Row],[PROFISSIONAL]],LISTA_PROCED[],3,0))</f>
        <v>225142</v>
      </c>
    </row>
    <row r="37" spans="1:9" ht="16.5" x14ac:dyDescent="0.35">
      <c r="A37" s="24" t="s">
        <v>3</v>
      </c>
      <c r="B37" s="25">
        <v>26061995</v>
      </c>
      <c r="C37" s="25">
        <v>21112017</v>
      </c>
      <c r="D37" s="26">
        <f>IF(tbFichas[[#This Row],[DATA INICIAL]]="","",TEXT(tbFichas[[#This Row],[DATA INICIAL]],"00\/00\/0000")+30)</f>
        <v>43090</v>
      </c>
      <c r="E37" s="24">
        <f>IF(tbFichas[[#This Row],[DATA FINAL]]="","",YEAR(tbFichas[[#This Row],[DATA FINAL]]))</f>
        <v>2017</v>
      </c>
      <c r="F37" s="24" t="str">
        <f>PROPER(TEXT(tbFichas[[#This Row],[DATA FINAL]],"mmmm"))</f>
        <v>Dezembro</v>
      </c>
      <c r="G37" s="24">
        <f ca="1">IF(tbFichas[[#This Row],[DATA DE NASC.]]="","",INT(( TODAY() - TEXT(tbFichas[[#This Row],[DATA DE NASC.]],"00\/00\/0000")) /365.25))</f>
        <v>26</v>
      </c>
      <c r="H37" s="27">
        <f>IF(tbFichas[[#This Row],[PROFISSIONAL]]="","",VLOOKUP(tbFichas[[#This Row],[PROFISSIONAL]],LISTA_PROCED[],2,0))</f>
        <v>301010030</v>
      </c>
      <c r="I37" s="28">
        <f>IF(tbFichas[[#This Row],[PROFISSIONAL]]="","", VLOOKUP(tbFichas[[#This Row],[PROFISSIONAL]],LISTA_PROCED[],3,0))</f>
        <v>223505</v>
      </c>
    </row>
    <row r="38" spans="1:9" ht="16.5" x14ac:dyDescent="0.35">
      <c r="A38" s="24" t="s">
        <v>4</v>
      </c>
      <c r="B38" s="25">
        <v>18081981</v>
      </c>
      <c r="C38" s="25">
        <v>21112017</v>
      </c>
      <c r="D38" s="26">
        <f>IF(tbFichas[[#This Row],[DATA INICIAL]]="","",TEXT(tbFichas[[#This Row],[DATA INICIAL]],"00\/00\/0000")+30)</f>
        <v>43090</v>
      </c>
      <c r="E38" s="24">
        <f>IF(tbFichas[[#This Row],[DATA FINAL]]="","",YEAR(tbFichas[[#This Row],[DATA FINAL]]))</f>
        <v>2017</v>
      </c>
      <c r="F38" s="24" t="str">
        <f>PROPER(TEXT(tbFichas[[#This Row],[DATA FINAL]],"mmmm"))</f>
        <v>Dezembro</v>
      </c>
      <c r="G38" s="24">
        <f ca="1">IF(tbFichas[[#This Row],[DATA DE NASC.]]="","",INT(( TODAY() - TEXT(tbFichas[[#This Row],[DATA DE NASC.]],"00\/00\/0000")) /365.25))</f>
        <v>40</v>
      </c>
      <c r="H38" s="27">
        <f>IF(tbFichas[[#This Row],[PROFISSIONAL]]="","",VLOOKUP(tbFichas[[#This Row],[PROFISSIONAL]],LISTA_PROCED[],2,0))</f>
        <v>301010030</v>
      </c>
      <c r="I38" s="28">
        <f>IF(tbFichas[[#This Row],[PROFISSIONAL]]="","", VLOOKUP(tbFichas[[#This Row],[PROFISSIONAL]],LISTA_PROCED[],3,0))</f>
        <v>223565</v>
      </c>
    </row>
    <row r="39" spans="1:9" ht="16.5" x14ac:dyDescent="0.35">
      <c r="A39" s="24" t="s">
        <v>16</v>
      </c>
      <c r="B39" s="25">
        <v>16051985</v>
      </c>
      <c r="C39" s="25">
        <v>21112017</v>
      </c>
      <c r="D39" s="26">
        <f>IF(tbFichas[[#This Row],[DATA INICIAL]]="","",TEXT(tbFichas[[#This Row],[DATA INICIAL]],"00\/00\/0000")+30)</f>
        <v>43090</v>
      </c>
      <c r="E39" s="24">
        <f>IF(tbFichas[[#This Row],[DATA FINAL]]="","",YEAR(tbFichas[[#This Row],[DATA FINAL]]))</f>
        <v>2017</v>
      </c>
      <c r="F39" s="24" t="str">
        <f>PROPER(TEXT(tbFichas[[#This Row],[DATA FINAL]],"mmmm"))</f>
        <v>Dezembro</v>
      </c>
      <c r="G39" s="24">
        <f ca="1">IF(tbFichas[[#This Row],[DATA DE NASC.]]="","",INT(( TODAY() - TEXT(tbFichas[[#This Row],[DATA DE NASC.]],"00\/00\/0000")) /365.25))</f>
        <v>36</v>
      </c>
      <c r="H39" s="27">
        <f>IF(tbFichas[[#This Row],[PROFISSIONAL]]="","",VLOOKUP(tbFichas[[#This Row],[PROFISSIONAL]],LISTA_PROCED[],2,0))</f>
        <v>301010064</v>
      </c>
      <c r="I39" s="28">
        <f>IF(tbFichas[[#This Row],[PROFISSIONAL]]="","", VLOOKUP(tbFichas[[#This Row],[PROFISSIONAL]],LISTA_PROCED[],3,0))</f>
        <v>225250</v>
      </c>
    </row>
    <row r="40" spans="1:9" ht="16.5" x14ac:dyDescent="0.35">
      <c r="A40" s="24" t="s">
        <v>3</v>
      </c>
      <c r="B40" s="25">
        <v>26061995</v>
      </c>
      <c r="C40" s="25">
        <v>21082021</v>
      </c>
      <c r="D40" s="26">
        <f>IF(tbFichas[[#This Row],[DATA INICIAL]]="","",TEXT(tbFichas[[#This Row],[DATA INICIAL]],"00\/00\/0000")+30)</f>
        <v>44459</v>
      </c>
      <c r="E40" s="24">
        <f>IF(tbFichas[[#This Row],[DATA FINAL]]="","",YEAR(tbFichas[[#This Row],[DATA FINAL]]))</f>
        <v>2021</v>
      </c>
      <c r="F40" s="24" t="str">
        <f>PROPER(TEXT(tbFichas[[#This Row],[DATA FINAL]],"mmmm"))</f>
        <v>Setembro</v>
      </c>
      <c r="G40" s="24">
        <f ca="1">IF(tbFichas[[#This Row],[DATA DE NASC.]]="","",INT(( TODAY() - TEXT(tbFichas[[#This Row],[DATA DE NASC.]],"00\/00\/0000")) /365.25))</f>
        <v>26</v>
      </c>
      <c r="H40" s="27">
        <f>IF(tbFichas[[#This Row],[PROFISSIONAL]]="","",VLOOKUP(tbFichas[[#This Row],[PROFISSIONAL]],LISTA_PROCED[],2,0))</f>
        <v>301010030</v>
      </c>
      <c r="I40" s="28">
        <f>IF(tbFichas[[#This Row],[PROFISSIONAL]]="","", VLOOKUP(tbFichas[[#This Row],[PROFISSIONAL]],LISTA_PROCED[],3,0))</f>
        <v>223505</v>
      </c>
    </row>
    <row r="42" spans="1:9" x14ac:dyDescent="0.35">
      <c r="E42" s="10"/>
    </row>
    <row r="43" spans="1:9" x14ac:dyDescent="0.35">
      <c r="B43" s="9"/>
    </row>
  </sheetData>
  <dataValidations count="1">
    <dataValidation type="list" allowBlank="1" showInputMessage="1" showErrorMessage="1" sqref="A2:A40" xr:uid="{00000000-0002-0000-0100-000000000000}">
      <formula1>PROFISSIONAL</formula1>
    </dataValidation>
  </dataValidations>
  <printOptions horizontalCentered="1" verticalCentered="1"/>
  <pageMargins left="0.51181102362204722" right="0.51181102362204722" top="0.78740157480314965" bottom="0.78740157480314965" header="0.31496062992125984" footer="0.31496062992125984"/>
  <pageSetup paperSize="9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Listas">
    <tabColor theme="8" tint="-0.499984740745262"/>
  </sheetPr>
  <dimension ref="A1:D26"/>
  <sheetViews>
    <sheetView workbookViewId="0"/>
  </sheetViews>
  <sheetFormatPr defaultColWidth="9.1796875" defaultRowHeight="14.5" x14ac:dyDescent="0.35"/>
  <cols>
    <col min="1" max="1" width="36.453125" style="1" bestFit="1" customWidth="1"/>
    <col min="2" max="2" width="19.7265625" style="1" bestFit="1" customWidth="1"/>
    <col min="3" max="3" width="12.1796875" style="1" bestFit="1" customWidth="1"/>
    <col min="4" max="4" width="29.453125" style="1" bestFit="1" customWidth="1"/>
    <col min="5" max="5" width="24.453125" style="1" bestFit="1" customWidth="1"/>
    <col min="6" max="16384" width="9.1796875" style="1"/>
  </cols>
  <sheetData>
    <row r="1" spans="1:4" ht="16.5" x14ac:dyDescent="0.35">
      <c r="A1" s="20" t="s">
        <v>24</v>
      </c>
      <c r="B1" s="21" t="s">
        <v>0</v>
      </c>
      <c r="C1" s="21" t="s">
        <v>1</v>
      </c>
      <c r="D1" s="21" t="s">
        <v>23</v>
      </c>
    </row>
    <row r="2" spans="1:4" ht="16.5" x14ac:dyDescent="0.35">
      <c r="A2" s="22" t="s">
        <v>19</v>
      </c>
      <c r="B2" s="18">
        <v>301010064</v>
      </c>
      <c r="C2" s="19">
        <v>225125</v>
      </c>
      <c r="D2" s="23">
        <f>COUNTIF(tbFichas[PROFISSIONAL],LISTA_PROCED[[#This Row],[PROFISSIONAL]])</f>
        <v>4</v>
      </c>
    </row>
    <row r="3" spans="1:4" ht="16.5" x14ac:dyDescent="0.35">
      <c r="A3" s="22" t="s">
        <v>3</v>
      </c>
      <c r="B3" s="18">
        <v>301010030</v>
      </c>
      <c r="C3" s="19">
        <v>223505</v>
      </c>
      <c r="D3" s="23">
        <f>COUNTIF(tbFichas[PROFISSIONAL],LISTA_PROCED[[#This Row],[PROFISSIONAL]])</f>
        <v>10</v>
      </c>
    </row>
    <row r="4" spans="1:4" ht="16.5" x14ac:dyDescent="0.35">
      <c r="A4" s="22" t="s">
        <v>4</v>
      </c>
      <c r="B4" s="18">
        <v>301010030</v>
      </c>
      <c r="C4" s="19">
        <v>223565</v>
      </c>
      <c r="D4" s="15">
        <f>COUNTIF(tbFichas[PROFISSIONAL],LISTA_PROCED[[#This Row],[PROFISSIONAL]])</f>
        <v>4</v>
      </c>
    </row>
    <row r="5" spans="1:4" ht="16.5" x14ac:dyDescent="0.35">
      <c r="A5" s="22" t="s">
        <v>12</v>
      </c>
      <c r="B5" s="18">
        <v>301010048</v>
      </c>
      <c r="C5" s="19">
        <v>223810</v>
      </c>
      <c r="D5" s="15">
        <f>COUNTIF(tbFichas[PROFISSIONAL],LISTA_PROCED[[#This Row],[PROFISSIONAL]])</f>
        <v>4</v>
      </c>
    </row>
    <row r="6" spans="1:4" ht="16.5" x14ac:dyDescent="0.35">
      <c r="A6" s="22" t="s">
        <v>16</v>
      </c>
      <c r="B6" s="18">
        <v>301010064</v>
      </c>
      <c r="C6" s="19">
        <v>225250</v>
      </c>
      <c r="D6" s="15">
        <f>COUNTIF(tbFichas[PROFISSIONAL],LISTA_PROCED[[#This Row],[PROFISSIONAL]])</f>
        <v>2</v>
      </c>
    </row>
    <row r="7" spans="1:4" ht="16.5" x14ac:dyDescent="0.35">
      <c r="A7" s="22" t="s">
        <v>28</v>
      </c>
      <c r="B7" s="18">
        <v>301010064</v>
      </c>
      <c r="C7" s="19">
        <v>225142</v>
      </c>
      <c r="D7" s="15">
        <f>COUNTIF(tbFichas[PROFISSIONAL],LISTA_PROCED[[#This Row],[PROFISSIONAL]])</f>
        <v>2</v>
      </c>
    </row>
    <row r="8" spans="1:4" ht="16.5" x14ac:dyDescent="0.35">
      <c r="A8" s="22" t="s">
        <v>29</v>
      </c>
      <c r="B8" s="18">
        <v>301010110</v>
      </c>
      <c r="C8" s="19">
        <v>225142</v>
      </c>
      <c r="D8" s="15">
        <f>COUNTIF(tbFichas[PROFISSIONAL],LISTA_PROCED[[#This Row],[PROFISSIONAL]])</f>
        <v>7</v>
      </c>
    </row>
    <row r="9" spans="1:4" ht="16.5" x14ac:dyDescent="0.35">
      <c r="A9" s="22" t="s">
        <v>30</v>
      </c>
      <c r="B9" s="18">
        <v>301010080</v>
      </c>
      <c r="C9" s="19">
        <v>225142</v>
      </c>
      <c r="D9" s="15">
        <f>COUNTIF(tbFichas[PROFISSIONAL],LISTA_PROCED[[#This Row],[PROFISSIONAL]])</f>
        <v>1</v>
      </c>
    </row>
    <row r="10" spans="1:4" ht="16.5" x14ac:dyDescent="0.35">
      <c r="A10" s="22" t="s">
        <v>31</v>
      </c>
      <c r="B10" s="18">
        <v>301010129</v>
      </c>
      <c r="C10" s="19">
        <v>225142</v>
      </c>
      <c r="D10" s="15">
        <f>COUNTIF(tbFichas[PROFISSIONAL],LISTA_PROCED[[#This Row],[PROFISSIONAL]])</f>
        <v>0</v>
      </c>
    </row>
    <row r="11" spans="1:4" ht="16.5" x14ac:dyDescent="0.35">
      <c r="A11" s="22" t="s">
        <v>21</v>
      </c>
      <c r="B11" s="18">
        <v>301010072</v>
      </c>
      <c r="C11" s="19">
        <v>225112</v>
      </c>
      <c r="D11" s="15">
        <f>COUNTIF(tbFichas[PROFISSIONAL],LISTA_PROCED[[#This Row],[PROFISSIONAL]])</f>
        <v>1</v>
      </c>
    </row>
    <row r="12" spans="1:4" ht="16.5" x14ac:dyDescent="0.35">
      <c r="A12" s="22" t="s">
        <v>20</v>
      </c>
      <c r="B12" s="18">
        <v>301010030</v>
      </c>
      <c r="C12" s="19">
        <v>223710</v>
      </c>
      <c r="D12" s="15">
        <f>COUNTIF(tbFichas[PROFISSIONAL],LISTA_PROCED[[#This Row],[PROFISSIONAL]])</f>
        <v>0</v>
      </c>
    </row>
    <row r="13" spans="1:4" ht="16.5" x14ac:dyDescent="0.35">
      <c r="A13" s="22" t="s">
        <v>22</v>
      </c>
      <c r="B13" s="18">
        <v>301020500</v>
      </c>
      <c r="C13" s="19">
        <v>223208</v>
      </c>
      <c r="D13" s="15">
        <f>COUNTIF(tbFichas[PROFISSIONAL],LISTA_PROCED[[#This Row],[PROFISSIONAL]])</f>
        <v>1</v>
      </c>
    </row>
    <row r="14" spans="1:4" ht="16.5" x14ac:dyDescent="0.35">
      <c r="A14" s="22" t="s">
        <v>14</v>
      </c>
      <c r="B14" s="18">
        <v>301010064</v>
      </c>
      <c r="C14" s="19">
        <v>225124</v>
      </c>
      <c r="D14" s="15">
        <f>COUNTIF(tbFichas[PROFISSIONAL],LISTA_PROCED[[#This Row],[PROFISSIONAL]])</f>
        <v>1</v>
      </c>
    </row>
    <row r="15" spans="1:4" ht="16.5" x14ac:dyDescent="0.35">
      <c r="A15" s="22" t="s">
        <v>18</v>
      </c>
      <c r="B15" s="18">
        <v>301010110</v>
      </c>
      <c r="C15" s="19">
        <v>225250</v>
      </c>
      <c r="D15" s="15">
        <f>COUNTIF(tbFichas[PROFISSIONAL],LISTA_PROCED[[#This Row],[PROFISSIONAL]])</f>
        <v>1</v>
      </c>
    </row>
    <row r="16" spans="1:4" ht="16.5" x14ac:dyDescent="0.35">
      <c r="A16" s="22" t="s">
        <v>5</v>
      </c>
      <c r="B16" s="18">
        <v>301010110</v>
      </c>
      <c r="C16" s="19">
        <v>223505</v>
      </c>
      <c r="D16" s="15">
        <f>COUNTIF(tbFichas[PROFISSIONAL],LISTA_PROCED[[#This Row],[PROFISSIONAL]])</f>
        <v>0</v>
      </c>
    </row>
    <row r="17" spans="1:4" ht="16.5" x14ac:dyDescent="0.35">
      <c r="A17" s="22" t="s">
        <v>6</v>
      </c>
      <c r="B17" s="18">
        <v>301010110</v>
      </c>
      <c r="C17" s="19">
        <v>223565</v>
      </c>
      <c r="D17" s="15">
        <f>COUNTIF(tbFichas[PROFISSIONAL],LISTA_PROCED[[#This Row],[PROFISSIONAL]])</f>
        <v>0</v>
      </c>
    </row>
    <row r="18" spans="1:4" ht="16.5" x14ac:dyDescent="0.35">
      <c r="A18" s="22" t="s">
        <v>13</v>
      </c>
      <c r="B18" s="18">
        <v>301010048</v>
      </c>
      <c r="C18" s="19">
        <v>251510</v>
      </c>
      <c r="D18" s="15">
        <f>COUNTIF(tbFichas[PROFISSIONAL],LISTA_PROCED[[#This Row],[PROFISSIONAL]])</f>
        <v>0</v>
      </c>
    </row>
    <row r="19" spans="1:4" ht="16.5" x14ac:dyDescent="0.35">
      <c r="A19" s="22" t="s">
        <v>11</v>
      </c>
      <c r="B19" s="18">
        <v>301010072</v>
      </c>
      <c r="C19" s="19">
        <v>225133</v>
      </c>
      <c r="D19" s="15">
        <f>COUNTIF(tbFichas[PROFISSIONAL],LISTA_PROCED[[#This Row],[PROFISSIONAL]])</f>
        <v>1</v>
      </c>
    </row>
    <row r="20" spans="1:4" ht="16.5" x14ac:dyDescent="0.35">
      <c r="A20" s="22" t="s">
        <v>9</v>
      </c>
      <c r="B20" s="18">
        <v>301010080</v>
      </c>
      <c r="C20" s="19">
        <v>223505</v>
      </c>
      <c r="D20" s="15">
        <f>COUNTIF(tbFichas[PROFISSIONAL],LISTA_PROCED[[#This Row],[PROFISSIONAL]])</f>
        <v>0</v>
      </c>
    </row>
    <row r="21" spans="1:4" ht="16.5" x14ac:dyDescent="0.35">
      <c r="A21" s="22" t="s">
        <v>10</v>
      </c>
      <c r="B21" s="18">
        <v>301010080</v>
      </c>
      <c r="C21" s="19">
        <v>223565</v>
      </c>
      <c r="D21" s="15">
        <f>COUNTIF(tbFichas[PROFISSIONAL],LISTA_PROCED[[#This Row],[PROFISSIONAL]])</f>
        <v>0</v>
      </c>
    </row>
    <row r="22" spans="1:4" ht="16.5" x14ac:dyDescent="0.35">
      <c r="A22" s="22" t="s">
        <v>15</v>
      </c>
      <c r="B22" s="18">
        <v>301010080</v>
      </c>
      <c r="C22" s="19">
        <v>225124</v>
      </c>
      <c r="D22" s="15">
        <f>COUNTIF(tbFichas[PROFISSIONAL],LISTA_PROCED[[#This Row],[PROFISSIONAL]])</f>
        <v>0</v>
      </c>
    </row>
    <row r="23" spans="1:4" ht="16.5" x14ac:dyDescent="0.35">
      <c r="A23" s="22" t="s">
        <v>7</v>
      </c>
      <c r="B23" s="18">
        <v>301010129</v>
      </c>
      <c r="C23" s="19">
        <v>223505</v>
      </c>
      <c r="D23" s="15">
        <f>COUNTIF(tbFichas[PROFISSIONAL],LISTA_PROCED[[#This Row],[PROFISSIONAL]])</f>
        <v>0</v>
      </c>
    </row>
    <row r="24" spans="1:4" ht="16.5" x14ac:dyDescent="0.35">
      <c r="A24" s="22" t="s">
        <v>8</v>
      </c>
      <c r="B24" s="18">
        <v>301010129</v>
      </c>
      <c r="C24" s="19">
        <v>223565</v>
      </c>
      <c r="D24" s="15">
        <f>COUNTIF(tbFichas[PROFISSIONAL],LISTA_PROCED[[#This Row],[PROFISSIONAL]])</f>
        <v>0</v>
      </c>
    </row>
    <row r="25" spans="1:4" ht="16.5" x14ac:dyDescent="0.35">
      <c r="A25" s="22" t="s">
        <v>17</v>
      </c>
      <c r="B25" s="18">
        <v>301010129</v>
      </c>
      <c r="C25" s="19">
        <v>225250</v>
      </c>
      <c r="D25" s="15">
        <f>COUNTIF(tbFichas[PROFISSIONAL],LISTA_PROCED[[#This Row],[PROFISSIONAL]])</f>
        <v>0</v>
      </c>
    </row>
    <row r="26" spans="1:4" x14ac:dyDescent="0.35">
      <c r="A26" s="2"/>
      <c r="B26" s="3"/>
      <c r="C26" s="11"/>
      <c r="D26" s="12" t="str">
        <f>"TOTAL: " &amp; SUBTOTAL(109,LISTA_PROCED[TOTAL DE ATENDIMENTOS])</f>
        <v>TOTAL: 39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Dyn">
    <tabColor rgb="FF002060"/>
  </sheetPr>
  <dimension ref="A1:E7"/>
  <sheetViews>
    <sheetView workbookViewId="0">
      <selection activeCell="C11" sqref="C11"/>
    </sheetView>
  </sheetViews>
  <sheetFormatPr defaultRowHeight="14.5" x14ac:dyDescent="0.35"/>
  <cols>
    <col min="1" max="1" width="21.6328125" bestFit="1" customWidth="1"/>
    <col min="2" max="2" width="13.453125" bestFit="1" customWidth="1"/>
    <col min="3" max="3" width="8.90625" bestFit="1" customWidth="1"/>
    <col min="4" max="4" width="11.54296875" bestFit="1" customWidth="1"/>
    <col min="5" max="5" width="6.1796875" bestFit="1" customWidth="1"/>
    <col min="6" max="13" width="2.81640625" bestFit="1" customWidth="1"/>
    <col min="14" max="15" width="3.81640625" bestFit="1" customWidth="1"/>
    <col min="16" max="16" width="6.1796875" bestFit="1" customWidth="1"/>
    <col min="17" max="24" width="3" bestFit="1" customWidth="1"/>
    <col min="25" max="25" width="6.54296875" bestFit="1" customWidth="1"/>
  </cols>
  <sheetData>
    <row r="1" spans="1:5" x14ac:dyDescent="0.35">
      <c r="A1" s="4" t="s">
        <v>41</v>
      </c>
      <c r="B1" s="5">
        <v>2021</v>
      </c>
    </row>
    <row r="2" spans="1:5" x14ac:dyDescent="0.35">
      <c r="A2" s="4" t="s">
        <v>40</v>
      </c>
      <c r="B2" s="5" t="s">
        <v>43</v>
      </c>
    </row>
    <row r="4" spans="1:5" x14ac:dyDescent="0.35">
      <c r="A4" s="4" t="s">
        <v>38</v>
      </c>
      <c r="B4" s="5"/>
      <c r="C4" s="5"/>
      <c r="D4" s="4" t="s">
        <v>27</v>
      </c>
      <c r="E4" s="5"/>
    </row>
    <row r="5" spans="1:5" x14ac:dyDescent="0.35">
      <c r="A5" s="4" t="s">
        <v>36</v>
      </c>
      <c r="B5" s="4" t="s">
        <v>37</v>
      </c>
      <c r="C5" s="4" t="s">
        <v>26</v>
      </c>
      <c r="D5" s="5">
        <v>26</v>
      </c>
      <c r="E5" s="5" t="s">
        <v>39</v>
      </c>
    </row>
    <row r="6" spans="1:5" x14ac:dyDescent="0.35">
      <c r="A6" s="5" t="s">
        <v>3</v>
      </c>
      <c r="B6" s="6">
        <v>301010030</v>
      </c>
      <c r="C6" s="5">
        <v>223505</v>
      </c>
      <c r="D6" s="7">
        <v>1</v>
      </c>
      <c r="E6" s="7">
        <v>1</v>
      </c>
    </row>
    <row r="7" spans="1:5" x14ac:dyDescent="0.35">
      <c r="A7" s="5" t="s">
        <v>39</v>
      </c>
      <c r="B7" s="5"/>
      <c r="C7" s="5"/>
      <c r="D7" s="7">
        <v>1</v>
      </c>
      <c r="E7" s="7">
        <v>1</v>
      </c>
    </row>
  </sheetData>
  <dataConsolidate/>
  <printOptions horizontalCentered="1"/>
  <pageMargins left="0.51181102362204722" right="0.51181102362204722" top="0.78740157480314965" bottom="0.78740157480314965" header="0.31496062992125984" footer="0.31496062992125984"/>
  <pageSetup paperSize="9" orientation="landscape" r:id="rId2"/>
  <headerFooter>
    <oddHeader>&amp;L&amp;"Segoe UI,Normal"Página &amp;P de &amp;N&amp;C&amp;"Segoe UI,Normal"BPA Consultas Consolidado&amp;R&amp;"Segoe UI,Normal"&amp;D - &amp;T</oddHeader>
  </headerFooter>
</worksheet>
</file>

<file path=customUI/_rels/customUI.xml.rels><?xml version="1.0" encoding="UTF-8" standalone="yes"?>
<Relationships xmlns="http://schemas.openxmlformats.org/package/2006/relationships"><Relationship Id="btFscreen" Type="http://schemas.openxmlformats.org/officeDocument/2006/relationships/image" Target="images/btFscreen.png"/><Relationship Id="btreportfichas" Type="http://schemas.openxmlformats.org/officeDocument/2006/relationships/image" Target="images/btreportfichas.png"/><Relationship Id="btnewprof" Type="http://schemas.openxmlformats.org/officeDocument/2006/relationships/image" Target="images/btnewprof.png"/><Relationship Id="btHome" Type="http://schemas.openxmlformats.org/officeDocument/2006/relationships/image" Target="images/btHome.png"/><Relationship Id="btfichas" Type="http://schemas.openxmlformats.org/officeDocument/2006/relationships/image" Target="images/btfichas.png"/><Relationship Id="btbpalink" Type="http://schemas.openxmlformats.org/officeDocument/2006/relationships/image" Target="images/btbpalink.png"/><Relationship Id="btsialink" Type="http://schemas.openxmlformats.org/officeDocument/2006/relationships/image" Target="images/btsialink.png"/><Relationship Id="btAbout" Type="http://schemas.openxmlformats.org/officeDocument/2006/relationships/image" Target="images/btAbout.png"/><Relationship Id="btDados" Type="http://schemas.openxmlformats.org/officeDocument/2006/relationships/image" Target="images/btDados.png"/><Relationship Id="btFinish" Type="http://schemas.openxmlformats.org/officeDocument/2006/relationships/image" Target="images/btFinish.png"/><Relationship Id="btprint" Type="http://schemas.openxmlformats.org/officeDocument/2006/relationships/image" Target="images/btprint.png"/></Relationships>
</file>

<file path=customUI/customUI.xml><?xml version="1.0" encoding="utf-8"?>
<customUI xmlns="http://schemas.microsoft.com/office/2006/01/customui">
  <ribbon>
    <tabs>
      <tab id="customTab" label="BPA 4.0-1217" insertBeforeMso="TabHome">
        <group id="gGeneral" label="GERAL">
          <button id="btHome" label="INICIO" size="large" onAction="BTN_INICIO" image="btHome"/>
          <button id="btFinish" label="SALVAR E FECHAR" size="large" onAction="BTN_FINALIZAR" image="btFinish"/>
          <button id="btFscreen" label="MODO TELA CHEIA" size="large" onAction="BTN_FULLSCREEN" image="btFscreen"/>
          <button id="btAbout" label="SOBRE" size="large" onAction="BTN_ABOUT" image="btAbout"/>
        </group>
        <group id="gFichas" label="FICHAS DO ESUS">
          <button id="btreportfichas" label="RELATÓRIO" size="large" onAction="BTN_SHEETFICHAS" image="btreportfichas"/>
          <button id="btfichas" label="LANÇAMENTOS" size="large" onAction="BTN_LANCAMENTOS" image="btfichas"/>
          <button id="btprint" label="RELATÓRIO PDF " size="large" onAction="BTN_PRINT" image="btprint"/>
        </group>
        <group id="gProfissionais" label="PROFISSIONAIS">
          <button id="btDados" label="DADOS" size="large" onAction="BTN_PROFSHEET" image="btDados"/>
          <button id="btnewprof" label="NOVO PROFISSIONAL" size="large" onAction="BTN_NEWPROF" image="btnewprof"/>
        </group>
        <group id="gSistemas" label="SISTEMAS">
          <button id="btbpalink" label="ATUALIZAR BPA" size="large" onAction="BTN_BPALINK" image="btbpalink"/>
          <button id="btsialink" label="ATUALIZAR SIASUS" size="large" onAction="BTN_SIALINK" image="btsialin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5</vt:i4>
      </vt:variant>
    </vt:vector>
  </HeadingPairs>
  <TitlesOfParts>
    <vt:vector size="9" baseType="lpstr">
      <vt:lpstr>Apoio</vt:lpstr>
      <vt:lpstr>Fichas</vt:lpstr>
      <vt:lpstr>Listas</vt:lpstr>
      <vt:lpstr>RELATÓRIO</vt:lpstr>
      <vt:lpstr>ANO</vt:lpstr>
      <vt:lpstr>MÊS</vt:lpstr>
      <vt:lpstr>PROFISSIONAL</vt:lpstr>
      <vt:lpstr>TIPO_CONSULTA</vt:lpstr>
      <vt:lpstr>RELATÓRIO!Titulos_de_impressao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Junior&amp;Cris</dc:creator>
  <cp:lastModifiedBy>Ivanildo Barauna</cp:lastModifiedBy>
  <cp:lastPrinted>2021-09-23T02:08:53Z</cp:lastPrinted>
  <dcterms:created xsi:type="dcterms:W3CDTF">2016-11-20T21:24:54Z</dcterms:created>
  <dcterms:modified xsi:type="dcterms:W3CDTF">2021-09-23T02:16:32Z</dcterms:modified>
</cp:coreProperties>
</file>