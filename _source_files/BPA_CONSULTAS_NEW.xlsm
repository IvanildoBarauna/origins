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wbk"/>
  <mc:AlternateContent xmlns:mc="http://schemas.openxmlformats.org/markup-compatibility/2006">
    <mc:Choice Requires="x15">
      <x15ac:absPath xmlns:x15ac="http://schemas.microsoft.com/office/spreadsheetml/2010/11/ac" url="C:\Users\Junior&amp;Cris\Desktop\"/>
    </mc:Choice>
  </mc:AlternateContent>
  <bookViews>
    <workbookView xWindow="0" yWindow="0" windowWidth="15600" windowHeight="7620" firstSheet="1" activeTab="2" xr2:uid="{00000000-000D-0000-FFFF-FFFF00000000}"/>
  </bookViews>
  <sheets>
    <sheet name="RELATÓRIO" sheetId="6" state="hidden" r:id="rId1"/>
    <sheet name="Apoio" sheetId="9" r:id="rId2"/>
    <sheet name="DIGITAÇÃO" sheetId="1" r:id="rId3"/>
    <sheet name="LISTA_PROCED" sheetId="2" r:id="rId4"/>
  </sheets>
  <definedNames>
    <definedName name="_xlnm._FilterDatabase" localSheetId="2" hidden="1">DIGITAÇÃO!#REF!</definedName>
    <definedName name="ANO">RELATÓRIO!$B$1</definedName>
    <definedName name="MÊS">RELATÓRIO!$B$2</definedName>
    <definedName name="NOME_DO_PROCEDIMENTO">LISTA_PROCED!#REF!</definedName>
    <definedName name="PROFISSIONAL">LISTA_PROCED!$A$2:$A$31</definedName>
    <definedName name="TIPO_CONSULTA">LISTA_PROCED[PROFISSIONAL]</definedName>
    <definedName name="_xlnm.Print_Titles" localSheetId="2">DIGITAÇÃO!#REF!,DIGITAÇÃO!$2:$2</definedName>
    <definedName name="_xlnm.Print_Titles" localSheetId="0">RELATÓRIO!$A:$C,RELATÓRIO!$1:$5</definedName>
  </definedNames>
  <calcPr calcId="171027"/>
  <pivotCaches>
    <pivotCache cacheId="0" r:id="rId5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2" l="1"/>
  <c r="D30" i="2"/>
  <c r="D43" i="1" l="1"/>
  <c r="E43" i="1" s="1"/>
  <c r="G43" i="1"/>
  <c r="H43" i="1"/>
  <c r="I43" i="1"/>
  <c r="D42" i="1"/>
  <c r="E42" i="1" s="1"/>
  <c r="G42" i="1"/>
  <c r="H42" i="1"/>
  <c r="I42" i="1"/>
  <c r="F43" i="1" l="1"/>
  <c r="F42" i="1"/>
  <c r="D41" i="1"/>
  <c r="E41" i="1" s="1"/>
  <c r="G41" i="1"/>
  <c r="H41" i="1"/>
  <c r="I41" i="1"/>
  <c r="D40" i="1"/>
  <c r="E40" i="1" s="1"/>
  <c r="G40" i="1"/>
  <c r="H40" i="1"/>
  <c r="I40" i="1"/>
  <c r="D39" i="1"/>
  <c r="E39" i="1" s="1"/>
  <c r="G39" i="1"/>
  <c r="H39" i="1"/>
  <c r="I39" i="1"/>
  <c r="D38" i="1"/>
  <c r="F38" i="1" s="1"/>
  <c r="G38" i="1"/>
  <c r="H38" i="1"/>
  <c r="I38" i="1"/>
  <c r="D37" i="1"/>
  <c r="E37" i="1" s="1"/>
  <c r="G37" i="1"/>
  <c r="H37" i="1"/>
  <c r="I37" i="1"/>
  <c r="D36" i="1"/>
  <c r="E36" i="1" s="1"/>
  <c r="G36" i="1"/>
  <c r="H36" i="1"/>
  <c r="I36" i="1"/>
  <c r="D35" i="1"/>
  <c r="E35" i="1" s="1"/>
  <c r="G35" i="1"/>
  <c r="H35" i="1"/>
  <c r="I35" i="1"/>
  <c r="D34" i="1"/>
  <c r="E34" i="1" s="1"/>
  <c r="G34" i="1"/>
  <c r="H34" i="1"/>
  <c r="I34" i="1"/>
  <c r="F41" i="1" l="1"/>
  <c r="F40" i="1"/>
  <c r="F39" i="1"/>
  <c r="E38" i="1"/>
  <c r="F37" i="1"/>
  <c r="F36" i="1"/>
  <c r="F35" i="1"/>
  <c r="F34" i="1"/>
  <c r="D33" i="1"/>
  <c r="E33" i="1" s="1"/>
  <c r="G33" i="1"/>
  <c r="H33" i="1"/>
  <c r="I33" i="1"/>
  <c r="D32" i="1"/>
  <c r="E32" i="1" s="1"/>
  <c r="G32" i="1"/>
  <c r="H32" i="1"/>
  <c r="I32" i="1"/>
  <c r="D31" i="1"/>
  <c r="E31" i="1" s="1"/>
  <c r="G31" i="1"/>
  <c r="H31" i="1"/>
  <c r="I31" i="1"/>
  <c r="D30" i="1"/>
  <c r="E30" i="1" s="1"/>
  <c r="G30" i="1"/>
  <c r="H30" i="1"/>
  <c r="I30" i="1"/>
  <c r="D29" i="1"/>
  <c r="E29" i="1" s="1"/>
  <c r="G29" i="1"/>
  <c r="H29" i="1"/>
  <c r="I29" i="1"/>
  <c r="D29" i="2"/>
  <c r="D28" i="2"/>
  <c r="D27" i="2"/>
  <c r="D26" i="2"/>
  <c r="D28" i="1"/>
  <c r="E28" i="1" s="1"/>
  <c r="G28" i="1"/>
  <c r="H28" i="1"/>
  <c r="I28" i="1"/>
  <c r="D27" i="1"/>
  <c r="E27" i="1" s="1"/>
  <c r="G27" i="1"/>
  <c r="H27" i="1"/>
  <c r="I27" i="1"/>
  <c r="D26" i="1"/>
  <c r="E26" i="1" s="1"/>
  <c r="G26" i="1"/>
  <c r="H26" i="1"/>
  <c r="I26" i="1"/>
  <c r="D25" i="1"/>
  <c r="E25" i="1" s="1"/>
  <c r="G25" i="1"/>
  <c r="H25" i="1"/>
  <c r="I25" i="1"/>
  <c r="D24" i="1"/>
  <c r="E24" i="1" s="1"/>
  <c r="G24" i="1"/>
  <c r="H24" i="1"/>
  <c r="I24" i="1"/>
  <c r="D23" i="1"/>
  <c r="E23" i="1" s="1"/>
  <c r="G23" i="1"/>
  <c r="H23" i="1"/>
  <c r="I23" i="1"/>
  <c r="F33" i="1" l="1"/>
  <c r="F32" i="1"/>
  <c r="F31" i="1"/>
  <c r="F30" i="1"/>
  <c r="F29" i="1"/>
  <c r="F28" i="1"/>
  <c r="F27" i="1"/>
  <c r="F26" i="1"/>
  <c r="F25" i="1"/>
  <c r="F24" i="1"/>
  <c r="F23" i="1"/>
  <c r="D22" i="1"/>
  <c r="E22" i="1" s="1"/>
  <c r="G22" i="1"/>
  <c r="H22" i="1"/>
  <c r="I22" i="1"/>
  <c r="D21" i="1"/>
  <c r="E21" i="1" s="1"/>
  <c r="G21" i="1"/>
  <c r="H21" i="1"/>
  <c r="I21" i="1"/>
  <c r="D20" i="1"/>
  <c r="E20" i="1" s="1"/>
  <c r="G20" i="1"/>
  <c r="H20" i="1"/>
  <c r="I20" i="1"/>
  <c r="F22" i="1" l="1"/>
  <c r="F21" i="1"/>
  <c r="F20" i="1"/>
  <c r="D19" i="1"/>
  <c r="E19" i="1" s="1"/>
  <c r="G19" i="1"/>
  <c r="H19" i="1"/>
  <c r="I19" i="1"/>
  <c r="D18" i="1"/>
  <c r="E18" i="1" s="1"/>
  <c r="G18" i="1"/>
  <c r="H18" i="1"/>
  <c r="I18" i="1"/>
  <c r="D17" i="1"/>
  <c r="E17" i="1" s="1"/>
  <c r="G17" i="1"/>
  <c r="H17" i="1"/>
  <c r="I17" i="1"/>
  <c r="F19" i="1" l="1"/>
  <c r="F18" i="1"/>
  <c r="F17" i="1"/>
  <c r="D16" i="1"/>
  <c r="E16" i="1" s="1"/>
  <c r="G16" i="1"/>
  <c r="H16" i="1"/>
  <c r="I16" i="1"/>
  <c r="F16" i="1" l="1"/>
  <c r="D15" i="1"/>
  <c r="E15" i="1" s="1"/>
  <c r="G15" i="1"/>
  <c r="H15" i="1"/>
  <c r="I15" i="1"/>
  <c r="D14" i="1"/>
  <c r="E14" i="1" s="1"/>
  <c r="G14" i="1"/>
  <c r="H14" i="1"/>
  <c r="I14" i="1"/>
  <c r="D13" i="1"/>
  <c r="E13" i="1" s="1"/>
  <c r="G13" i="1"/>
  <c r="H13" i="1"/>
  <c r="I13" i="1"/>
  <c r="F15" i="1" l="1"/>
  <c r="F14" i="1"/>
  <c r="F13" i="1"/>
  <c r="D12" i="1"/>
  <c r="E12" i="1" s="1"/>
  <c r="G12" i="1"/>
  <c r="H12" i="1"/>
  <c r="I12" i="1"/>
  <c r="D11" i="1"/>
  <c r="E11" i="1" s="1"/>
  <c r="G11" i="1"/>
  <c r="H11" i="1"/>
  <c r="I11" i="1"/>
  <c r="D10" i="1"/>
  <c r="E10" i="1" s="1"/>
  <c r="G10" i="1"/>
  <c r="H10" i="1"/>
  <c r="I10" i="1"/>
  <c r="D9" i="1"/>
  <c r="E9" i="1" s="1"/>
  <c r="G9" i="1"/>
  <c r="H9" i="1"/>
  <c r="I9" i="1"/>
  <c r="D8" i="1"/>
  <c r="E8" i="1" s="1"/>
  <c r="G8" i="1"/>
  <c r="H8" i="1"/>
  <c r="I8" i="1"/>
  <c r="D7" i="1"/>
  <c r="E7" i="1" s="1"/>
  <c r="G7" i="1"/>
  <c r="H7" i="1"/>
  <c r="I7" i="1"/>
  <c r="D6" i="1"/>
  <c r="E6" i="1" s="1"/>
  <c r="G6" i="1"/>
  <c r="H6" i="1"/>
  <c r="I6" i="1"/>
  <c r="D5" i="1"/>
  <c r="E5" i="1" s="1"/>
  <c r="G5" i="1"/>
  <c r="H5" i="1"/>
  <c r="I5" i="1"/>
  <c r="D4" i="1"/>
  <c r="E4" i="1" s="1"/>
  <c r="G4" i="1"/>
  <c r="H4" i="1"/>
  <c r="I4" i="1"/>
  <c r="D3" i="1"/>
  <c r="E3" i="1" s="1"/>
  <c r="G3" i="1"/>
  <c r="H3" i="1"/>
  <c r="I3" i="1"/>
  <c r="F12" i="1" l="1"/>
  <c r="F11" i="1"/>
  <c r="F10" i="1"/>
  <c r="F9" i="1"/>
  <c r="F8" i="1"/>
  <c r="F7" i="1"/>
  <c r="F6" i="1"/>
  <c r="F5" i="1"/>
  <c r="F4" i="1"/>
  <c r="F3" i="1"/>
  <c r="D2" i="1"/>
  <c r="E2" i="1" s="1"/>
  <c r="F2" i="1" l="1"/>
  <c r="I2" i="1"/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H2" i="1" l="1"/>
  <c r="G2" i="1"/>
</calcChain>
</file>

<file path=xl/sharedStrings.xml><?xml version="1.0" encoding="utf-8"?>
<sst xmlns="http://schemas.openxmlformats.org/spreadsheetml/2006/main" count="105" uniqueCount="47">
  <si>
    <t>CÓD. DO PROCED.</t>
  </si>
  <si>
    <t>Nº DE CBO</t>
  </si>
  <si>
    <t>IDADE</t>
  </si>
  <si>
    <t>ENFERMAGEM</t>
  </si>
  <si>
    <t>ENFERMAGEM PACS</t>
  </si>
  <si>
    <t>PRÉ NATAL ENFERMAGEM</t>
  </si>
  <si>
    <t>PRÉ NATAL ENFERMAGEM PACS</t>
  </si>
  <si>
    <t>PUERPÉRIO ENFERMAGEM</t>
  </si>
  <si>
    <t>PUERPÉRIO ENFERMAGEM PACS</t>
  </si>
  <si>
    <t>PUERICULTURA ENFERMAGEM</t>
  </si>
  <si>
    <t>PUERICULTURA ENFERMAGEM PACS</t>
  </si>
  <si>
    <t xml:space="preserve">PSIQUIATRIA </t>
  </si>
  <si>
    <t>FONO</t>
  </si>
  <si>
    <t>PSICOLOGIA</t>
  </si>
  <si>
    <t>PEDIATRIA</t>
  </si>
  <si>
    <t>PUERICULTURA PEDIATRIA</t>
  </si>
  <si>
    <t>GINECOLOGIA</t>
  </si>
  <si>
    <t>PUERPÉRIO GO</t>
  </si>
  <si>
    <t>PRÉ NATAL</t>
  </si>
  <si>
    <t>CLÍNICO</t>
  </si>
  <si>
    <t>NUTRIÇÃO</t>
  </si>
  <si>
    <t>NEURO</t>
  </si>
  <si>
    <t>ODONTOLOGIA</t>
  </si>
  <si>
    <t>TOTAL DE ATENDIMENTOS</t>
  </si>
  <si>
    <t>PROFISSIONAL</t>
  </si>
  <si>
    <t>DATA DE NASC.</t>
  </si>
  <si>
    <t>CBO</t>
  </si>
  <si>
    <t>IDADES</t>
  </si>
  <si>
    <t>M.E.S.F. GO, CL, PED</t>
  </si>
  <si>
    <t>M.E.S.F. PRÉ NATAL</t>
  </si>
  <si>
    <t>M.E.S.F. PUERICULTURA</t>
  </si>
  <si>
    <t>M.E.S.F. PUERPÉRIO</t>
  </si>
  <si>
    <t>DATA INICIAL</t>
  </si>
  <si>
    <t>DATA FINAL</t>
  </si>
  <si>
    <t>ANO</t>
  </si>
  <si>
    <t>MÊS</t>
  </si>
  <si>
    <t>TIPO DE CONSULTA</t>
  </si>
  <si>
    <t>CÓDIGO</t>
  </si>
  <si>
    <t>Contagem de IDADE</t>
  </si>
  <si>
    <t>TOTAL</t>
  </si>
  <si>
    <t>Outubro</t>
  </si>
  <si>
    <t>TESTE2</t>
  </si>
  <si>
    <t>TESTE1</t>
  </si>
  <si>
    <t>TESTE3</t>
  </si>
  <si>
    <t>TESTE4</t>
  </si>
  <si>
    <t>2015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</si>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</sst>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0\/00\/0000"/>
    <numFmt numFmtId="165" formatCode="0000000000"/>
    <numFmt numFmtId="166" formatCode="m/d/yyyy"/>
    <numFmt numFmtId="167" formatCode="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3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2" borderId="0" xfId="0" applyFont="1" applyFill="1"/>
  </cellXfs>
  <cellStyles count="1">
    <cellStyle name="Normal" xfId="0" builtinId="0"/>
  </cellStyles>
  <dxfs count="59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000000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7" formatCode="000000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5" formatCode="000000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m/d/yyyy"/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64" formatCode="00\/00\/0000"/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64" formatCode="00\/00\/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  <dxf>
      <fill>
        <patternFill patternType="solid">
          <fgColor theme="8" tint="0.59999389629810485"/>
          <bgColor theme="8" tint="0.59999389629810485"/>
        </patternFill>
      </fill>
    </dxf>
    <dxf>
      <fill>
        <patternFill patternType="solid">
          <fgColor theme="8" tint="0.59999389629810485"/>
          <bgColor theme="8" tint="0.59999389629810485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8"/>
          <bgColor rgb="FF002060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8168889431442"/>
          <bgColor theme="8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2" defaultTableStyle="TableStyleMedium2" defaultPivotStyle="PivotStyleLight16">
    <tableStyle name="MINHA_TABELA" pivot="0" count="7" xr9:uid="{00000000-0011-0000-FFFF-FFFF00000000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firstColumnStripe" dxfId="52"/>
    </tableStyle>
    <tableStyle name="TBL_DIN_CUSTOM" table="0" count="10" xr9:uid="{00000000-0011-0000-FFFF-FFFF01000000}">
      <tableStyleElement type="wholeTable" dxfId="51"/>
      <tableStyleElement type="headerRow" dxfId="50"/>
      <tableStyleElement type="totalRow" dxfId="49"/>
      <tableStyleElement type="secondRowStripe" dxfId="48"/>
      <tableStyleElement type="secondColumnStripe" dxfId="47"/>
      <tableStyleElement type="firstSubtotalRow" dxfId="46"/>
      <tableStyleElement type="firstRowSubheading" dxfId="45"/>
      <tableStyleElement type="secondRowSubheading" dxfId="44"/>
      <tableStyleElement type="pageFieldLabels" dxfId="43"/>
      <tableStyleElement type="pageFieldValues" dxfId="42"/>
    </tableStyle>
  </tableStyles>
  <colors>
    <mruColors>
      <color rgb="FF0A0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ildo Junior" refreshedDate="43029.859568171298" createdVersion="6" refreshedVersion="6" minRefreshableVersion="3" recordCount="31" xr:uid="{AA94A7DA-4A26-4460-92FC-5CFD020220BE}">
  <cacheSource type="worksheet">
    <worksheetSource name="DIGITAÇÃO"/>
  </cacheSource>
  <cacheFields count="9">
    <cacheField name="PROFISSIONAL" numFmtId="0">
      <sharedItems count="19">
        <s v="CLÍNICO"/>
        <s v="PEDIATRIA"/>
        <s v="ENFERMAGEM"/>
        <s v="M.E.S.F. PUERPÉRIO"/>
        <s v="ENFERMAGEM PACS"/>
        <s v="FONO"/>
        <s v="M.E.S.F. PUERICULTURA"/>
        <s v="PUERPÉRIO GO"/>
        <s v="M.E.S.F. GO, CL, PED"/>
        <s v="TESTE1"/>
        <s v="TESTE2"/>
        <s v="TESTE3"/>
        <s v="NEURO" u="1"/>
        <s v="PRÉ NATAL ENFERMAGEM PACS" u="1"/>
        <s v="M.E.S.F. PRÉ NATAL" u="1"/>
        <s v="GINECOLOGIA" u="1"/>
        <s v="PSIQUIATRIA " u="1"/>
        <s v="TESTE" u="1"/>
        <s v="PSICOLOGIA" u="1"/>
      </sharedItems>
    </cacheField>
    <cacheField name="DATA DE NASC." numFmtId="164">
      <sharedItems containsSemiMixedTypes="0" containsString="0" containsNumber="1" containsInteger="1" minValue="15051995" maxValue="26061995"/>
    </cacheField>
    <cacheField name="DATA INICIAL" numFmtId="164">
      <sharedItems containsSemiMixedTypes="0" containsString="0" containsNumber="1" containsInteger="1" minValue="41903" maxValue="21092017"/>
    </cacheField>
    <cacheField name="DATA FINAL" numFmtId="0">
      <sharedItems containsDate="1" containsMixedTypes="1" minDate="2014-10-21T00:00:00" maxDate="2017-10-22T00:00:00"/>
    </cacheField>
    <cacheField name="ANO" numFmtId="0">
      <sharedItems containsMixedTypes="1" containsNumber="1" containsInteger="1" minValue="2014" maxValue="2017" count="5">
        <n v="2017"/>
        <n v="2016"/>
        <n v="2015"/>
        <n v="2014"/>
        <e v="#VALUE!"/>
      </sharedItems>
    </cacheField>
    <cacheField name="MÊS" numFmtId="0">
      <sharedItems count="3">
        <s v="Setembro"/>
        <s v="Outubro"/>
        <e v="#VALUE!"/>
      </sharedItems>
    </cacheField>
    <cacheField name="IDADE" numFmtId="0">
      <sharedItems containsSemiMixedTypes="0" containsString="0" containsNumber="1" containsInteger="1" minValue="13" maxValue="70" count="30">
        <n v="36"/>
        <n v="22"/>
        <n v="63"/>
        <n v="13"/>
        <n v="34" u="1"/>
        <n v="38" u="1"/>
        <n v="40" u="1"/>
        <n v="42" u="1"/>
        <n v="70" u="1"/>
        <n v="44" u="1"/>
        <n v="46" u="1"/>
        <n v="48" u="1"/>
        <n v="50" u="1"/>
        <n v="52" u="1"/>
        <n v="20" u="1"/>
        <n v="33" u="1"/>
        <n v="21" u="1"/>
        <n v="35" u="1"/>
        <n v="60" u="1"/>
        <n v="37" u="1"/>
        <n v="62" u="1"/>
        <n v="39" u="1"/>
        <n v="24" u="1"/>
        <n v="41" u="1"/>
        <n v="43" u="1"/>
        <n v="45" u="1"/>
        <n v="47" u="1"/>
        <n v="49" u="1"/>
        <n v="51" u="1"/>
        <n v="30" u="1"/>
      </sharedItems>
    </cacheField>
    <cacheField name="CÓD. DO PROCED." numFmtId="0">
      <sharedItems containsSemiMixedTypes="0" containsString="0" containsNumber="1" containsInteger="1" minValue="1" maxValue="301010129" count="10">
        <n v="301010064"/>
        <n v="301010030"/>
        <n v="301010129"/>
        <n v="301010048"/>
        <n v="301010080"/>
        <n v="1"/>
        <n v="2"/>
        <n v="3"/>
        <n v="301010072" u="1"/>
        <n v="301010110" u="1"/>
      </sharedItems>
    </cacheField>
    <cacheField name="Nº DE CBO" numFmtId="0">
      <sharedItems containsSemiMixedTypes="0" containsString="0" containsNumber="1" containsInteger="1" minValue="1" maxValue="251510" count="13">
        <n v="225125"/>
        <n v="225124"/>
        <n v="223505"/>
        <n v="225142"/>
        <n v="223565"/>
        <n v="223810"/>
        <n v="225250"/>
        <n v="1"/>
        <n v="2"/>
        <n v="3"/>
        <n v="225112" u="1"/>
        <n v="225133" u="1"/>
        <n v="2515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n v="18081981"/>
    <n v="21082017"/>
    <d v="2017-09-20T00:00:00"/>
    <x v="0"/>
    <x v="0"/>
    <x v="0"/>
    <x v="0"/>
    <x v="0"/>
  </r>
  <r>
    <x v="0"/>
    <n v="26061995"/>
    <n v="21092017"/>
    <d v="2017-10-21T00:00:00"/>
    <x v="0"/>
    <x v="1"/>
    <x v="1"/>
    <x v="0"/>
    <x v="0"/>
  </r>
  <r>
    <x v="0"/>
    <n v="26061995"/>
    <n v="21092017"/>
    <d v="2017-10-21T00:00:00"/>
    <x v="0"/>
    <x v="1"/>
    <x v="1"/>
    <x v="0"/>
    <x v="0"/>
  </r>
  <r>
    <x v="1"/>
    <n v="26061995"/>
    <n v="21092017"/>
    <d v="2017-10-21T00:00:00"/>
    <x v="0"/>
    <x v="1"/>
    <x v="1"/>
    <x v="0"/>
    <x v="1"/>
  </r>
  <r>
    <x v="2"/>
    <n v="26011954"/>
    <n v="21092017"/>
    <d v="2017-10-21T00:00:00"/>
    <x v="0"/>
    <x v="1"/>
    <x v="2"/>
    <x v="1"/>
    <x v="2"/>
  </r>
  <r>
    <x v="3"/>
    <n v="18081981"/>
    <n v="21092017"/>
    <d v="2017-10-21T00:00:00"/>
    <x v="0"/>
    <x v="1"/>
    <x v="0"/>
    <x v="2"/>
    <x v="3"/>
  </r>
  <r>
    <x v="2"/>
    <n v="18081981"/>
    <n v="21092017"/>
    <d v="2017-10-21T00:00:00"/>
    <x v="0"/>
    <x v="1"/>
    <x v="0"/>
    <x v="1"/>
    <x v="2"/>
  </r>
  <r>
    <x v="1"/>
    <n v="26061995"/>
    <n v="21092017"/>
    <d v="2017-10-21T00:00:00"/>
    <x v="0"/>
    <x v="1"/>
    <x v="1"/>
    <x v="0"/>
    <x v="1"/>
  </r>
  <r>
    <x v="2"/>
    <n v="16011954"/>
    <n v="21092017"/>
    <d v="2017-10-21T00:00:00"/>
    <x v="0"/>
    <x v="1"/>
    <x v="2"/>
    <x v="1"/>
    <x v="2"/>
  </r>
  <r>
    <x v="2"/>
    <n v="26011995"/>
    <n v="21092017"/>
    <d v="2017-10-21T00:00:00"/>
    <x v="0"/>
    <x v="1"/>
    <x v="1"/>
    <x v="1"/>
    <x v="2"/>
  </r>
  <r>
    <x v="2"/>
    <n v="26061995"/>
    <n v="21092017"/>
    <d v="2017-10-21T00:00:00"/>
    <x v="0"/>
    <x v="1"/>
    <x v="1"/>
    <x v="1"/>
    <x v="2"/>
  </r>
  <r>
    <x v="4"/>
    <n v="26061995"/>
    <n v="21092017"/>
    <d v="2017-10-21T00:00:00"/>
    <x v="0"/>
    <x v="1"/>
    <x v="1"/>
    <x v="1"/>
    <x v="4"/>
  </r>
  <r>
    <x v="5"/>
    <n v="26061995"/>
    <n v="21092017"/>
    <d v="2017-10-21T00:00:00"/>
    <x v="0"/>
    <x v="1"/>
    <x v="1"/>
    <x v="3"/>
    <x v="5"/>
  </r>
  <r>
    <x v="0"/>
    <n v="26061995"/>
    <n v="21092017"/>
    <d v="2017-10-21T00:00:00"/>
    <x v="0"/>
    <x v="1"/>
    <x v="1"/>
    <x v="0"/>
    <x v="0"/>
  </r>
  <r>
    <x v="1"/>
    <n v="26061995"/>
    <n v="21092017"/>
    <d v="2017-10-21T00:00:00"/>
    <x v="0"/>
    <x v="1"/>
    <x v="1"/>
    <x v="0"/>
    <x v="1"/>
  </r>
  <r>
    <x v="1"/>
    <n v="18081981"/>
    <n v="21092017"/>
    <d v="2017-10-21T00:00:00"/>
    <x v="0"/>
    <x v="1"/>
    <x v="0"/>
    <x v="0"/>
    <x v="1"/>
  </r>
  <r>
    <x v="5"/>
    <n v="15051995"/>
    <n v="21092017"/>
    <d v="2017-10-21T00:00:00"/>
    <x v="0"/>
    <x v="1"/>
    <x v="1"/>
    <x v="3"/>
    <x v="5"/>
  </r>
  <r>
    <x v="6"/>
    <n v="18081981"/>
    <n v="21092017"/>
    <d v="2017-10-21T00:00:00"/>
    <x v="0"/>
    <x v="1"/>
    <x v="0"/>
    <x v="4"/>
    <x v="3"/>
  </r>
  <r>
    <x v="2"/>
    <n v="18081981"/>
    <n v="21092017"/>
    <d v="2017-10-21T00:00:00"/>
    <x v="0"/>
    <x v="1"/>
    <x v="0"/>
    <x v="1"/>
    <x v="2"/>
  </r>
  <r>
    <x v="1"/>
    <n v="16012004"/>
    <n v="21092017"/>
    <d v="2017-10-21T00:00:00"/>
    <x v="0"/>
    <x v="1"/>
    <x v="3"/>
    <x v="0"/>
    <x v="1"/>
  </r>
  <r>
    <x v="7"/>
    <n v="26061995"/>
    <n v="21092017"/>
    <d v="2017-10-21T00:00:00"/>
    <x v="0"/>
    <x v="1"/>
    <x v="1"/>
    <x v="2"/>
    <x v="6"/>
  </r>
  <r>
    <x v="8"/>
    <n v="26061995"/>
    <n v="21092017"/>
    <d v="2017-10-21T00:00:00"/>
    <x v="0"/>
    <x v="1"/>
    <x v="1"/>
    <x v="0"/>
    <x v="3"/>
  </r>
  <r>
    <x v="5"/>
    <n v="26061995"/>
    <n v="21092017"/>
    <d v="2017-10-21T00:00:00"/>
    <x v="0"/>
    <x v="1"/>
    <x v="1"/>
    <x v="3"/>
    <x v="5"/>
  </r>
  <r>
    <x v="4"/>
    <n v="26061995"/>
    <n v="21092017"/>
    <d v="2017-10-21T00:00:00"/>
    <x v="0"/>
    <x v="1"/>
    <x v="1"/>
    <x v="1"/>
    <x v="4"/>
  </r>
  <r>
    <x v="0"/>
    <n v="18081981"/>
    <n v="21092017"/>
    <d v="2017-10-21T00:00:00"/>
    <x v="0"/>
    <x v="1"/>
    <x v="0"/>
    <x v="0"/>
    <x v="0"/>
  </r>
  <r>
    <x v="1"/>
    <n v="26061995"/>
    <n v="21092016"/>
    <d v="2016-10-21T00:00:00"/>
    <x v="1"/>
    <x v="1"/>
    <x v="1"/>
    <x v="0"/>
    <x v="1"/>
  </r>
  <r>
    <x v="2"/>
    <n v="26061995"/>
    <n v="21092016"/>
    <d v="2016-10-21T00:00:00"/>
    <x v="1"/>
    <x v="1"/>
    <x v="1"/>
    <x v="1"/>
    <x v="2"/>
  </r>
  <r>
    <x v="9"/>
    <n v="26061995"/>
    <n v="21092015"/>
    <d v="2015-10-21T00:00:00"/>
    <x v="2"/>
    <x v="1"/>
    <x v="1"/>
    <x v="5"/>
    <x v="7"/>
  </r>
  <r>
    <x v="10"/>
    <n v="26061995"/>
    <n v="21092016"/>
    <d v="2016-10-21T00:00:00"/>
    <x v="1"/>
    <x v="1"/>
    <x v="1"/>
    <x v="6"/>
    <x v="8"/>
  </r>
  <r>
    <x v="11"/>
    <n v="18081981"/>
    <n v="21092014"/>
    <d v="2014-10-21T00:00:00"/>
    <x v="3"/>
    <x v="1"/>
    <x v="0"/>
    <x v="7"/>
    <x v="9"/>
  </r>
  <r>
    <x v="9"/>
    <n v="26061995"/>
    <n v="41903"/>
    <e v="#VALUE!"/>
    <x v="4"/>
    <x v="2"/>
    <x v="1"/>
    <x v="5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CFC722-13A1-454E-A540-E101E2F6A7F1}" name="dyn_bpa" cacheId="0" applyNumberFormats="0" applyBorderFormats="0" applyFontFormats="0" applyPatternFormats="0" applyAlignmentFormats="0" applyWidthHeightFormats="1" dataCaption="Valores" grandTotalCaption="TOTAL" errorCaption="ERRO" showError="1" missingCaption="0" updatedVersion="6" minRefreshableVersion="3" showDrill="0" showDataTips="0" useAutoFormatting="1" fieldPrintTitles="1" createdVersion="6" indent="0" outline="1" outlineData="1" multipleFieldFilters="0" rowHeaderCaption="TIPO DE CONSULTA" colHeaderCaption="IDADES">
  <location ref="A4:H15" firstHeaderRow="1" firstDataRow="2" firstDataCol="3" rowPageCount="2" colPageCount="1"/>
  <pivotFields count="9">
    <pivotField axis="axisRow" outline="0" subtotalTop="0" showAll="0" defaultSubtotal="0">
      <items count="19">
        <item x="0"/>
        <item x="2"/>
        <item m="1" x="12"/>
        <item x="4"/>
        <item x="6"/>
        <item x="1"/>
        <item m="1" x="16"/>
        <item m="1" x="13"/>
        <item m="1" x="18"/>
        <item m="1" x="15"/>
        <item m="1" x="14"/>
        <item x="3"/>
        <item x="5"/>
        <item m="1" x="17"/>
        <item x="10"/>
        <item x="7"/>
        <item x="8"/>
        <item x="9"/>
        <item x="11"/>
      </items>
    </pivotField>
    <pivotField numFmtId="164" subtotalTop="0" showAll="0"/>
    <pivotField numFmtId="164" subtotalTop="0" showAll="0"/>
    <pivotField subtotalTop="0" showAll="0"/>
    <pivotField axis="axisPage" subtotalTop="0" showAll="0">
      <items count="6">
        <item x="1"/>
        <item n="2015" x="0"/>
        <item x="2"/>
        <item x="3"/>
        <item x="4"/>
        <item t="default"/>
      </items>
    </pivotField>
    <pivotField axis="axisPage" subtotalTop="0" showAll="0">
      <items count="4">
        <item x="0"/>
        <item x="1"/>
        <item x="2"/>
        <item t="default"/>
      </items>
    </pivotField>
    <pivotField axis="axisCol" dataField="1" subtotalTop="0" showAll="0" sortType="ascending">
      <items count="31">
        <item x="3"/>
        <item m="1" x="14"/>
        <item m="1" x="16"/>
        <item x="1"/>
        <item m="1" x="22"/>
        <item m="1" x="29"/>
        <item m="1" x="15"/>
        <item m="1" x="4"/>
        <item m="1" x="17"/>
        <item x="0"/>
        <item m="1" x="19"/>
        <item m="1" x="5"/>
        <item m="1" x="21"/>
        <item m="1" x="6"/>
        <item m="1" x="23"/>
        <item m="1" x="7"/>
        <item m="1" x="24"/>
        <item m="1" x="9"/>
        <item m="1" x="25"/>
        <item m="1" x="10"/>
        <item m="1" x="26"/>
        <item m="1" x="11"/>
        <item m="1" x="27"/>
        <item m="1" x="12"/>
        <item m="1" x="28"/>
        <item m="1" x="13"/>
        <item m="1" x="18"/>
        <item m="1" x="20"/>
        <item x="2"/>
        <item m="1" x="8"/>
        <item t="default"/>
      </items>
    </pivotField>
    <pivotField name="CÓDIGO" axis="axisRow" numFmtId="165" outline="0" subtotalTop="0" showAll="0" defaultSubtotal="0">
      <items count="10">
        <item x="1"/>
        <item x="0"/>
        <item m="1" x="8"/>
        <item x="4"/>
        <item m="1" x="9"/>
        <item x="3"/>
        <item x="2"/>
        <item x="5"/>
        <item x="6"/>
        <item x="7"/>
      </items>
    </pivotField>
    <pivotField name="CBO" axis="axisRow" outline="0" subtotalTop="0" showAll="0" defaultSubtotal="0">
      <items count="13">
        <item x="2"/>
        <item m="1" x="10"/>
        <item x="0"/>
        <item x="4"/>
        <item x="3"/>
        <item x="1"/>
        <item m="1" x="11"/>
        <item m="1" x="12"/>
        <item x="6"/>
        <item x="5"/>
        <item x="7"/>
        <item x="8"/>
        <item x="9"/>
      </items>
    </pivotField>
  </pivotFields>
  <rowFields count="3">
    <field x="0"/>
    <field x="7"/>
    <field x="8"/>
  </rowFields>
  <rowItems count="10">
    <i>
      <x/>
      <x v="1"/>
      <x v="2"/>
    </i>
    <i>
      <x v="1"/>
      <x/>
      <x/>
    </i>
    <i>
      <x v="3"/>
      <x/>
      <x v="3"/>
    </i>
    <i>
      <x v="4"/>
      <x v="3"/>
      <x v="4"/>
    </i>
    <i>
      <x v="5"/>
      <x v="1"/>
      <x v="5"/>
    </i>
    <i>
      <x v="11"/>
      <x v="6"/>
      <x v="4"/>
    </i>
    <i>
      <x v="12"/>
      <x v="5"/>
      <x v="9"/>
    </i>
    <i>
      <x v="15"/>
      <x v="6"/>
      <x v="8"/>
    </i>
    <i>
      <x v="16"/>
      <x v="1"/>
      <x v="4"/>
    </i>
    <i t="grand">
      <x/>
    </i>
  </rowItems>
  <colFields count="1">
    <field x="6"/>
  </colFields>
  <colItems count="5">
    <i>
      <x/>
    </i>
    <i>
      <x v="3"/>
    </i>
    <i>
      <x v="9"/>
    </i>
    <i>
      <x v="28"/>
    </i>
    <i t="grand">
      <x/>
    </i>
  </colItems>
  <pageFields count="2">
    <pageField fld="4" item="1" hier="-1"/>
    <pageField fld="5" item="1" hier="-1"/>
  </pageFields>
  <dataFields count="1">
    <dataField name="Contagem de IDADE" fld="6" subtotal="count" baseField="8" baseItem="2"/>
  </dataFields>
  <formats count="11">
    <format dxfId="41">
      <pivotArea type="all" dataOnly="0" outline="0" fieldPosition="0"/>
    </format>
    <format dxfId="40">
      <pivotArea field="0" type="button" dataOnly="0" labelOnly="1" outline="0" axis="axisRow" fieldPosition="0"/>
    </format>
    <format dxfId="39">
      <pivotArea field="7" type="button" dataOnly="0" labelOnly="1" outline="0" axis="axisRow" fieldPosition="1"/>
    </format>
    <format dxfId="38">
      <pivotArea field="8" type="button" dataOnly="0" labelOnly="1" outline="0" axis="axisRow" fieldPosition="2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fieldPosition="0">
        <references count="2">
          <reference field="0" count="1" selected="0">
            <x v="0"/>
          </reference>
          <reference field="7" count="1">
            <x v="1"/>
          </reference>
        </references>
      </pivotArea>
    </format>
    <format dxfId="35">
      <pivotArea dataOnly="0" labelOnly="1" fieldPosition="0">
        <references count="2">
          <reference field="0" count="1" selected="0">
            <x v="1"/>
          </reference>
          <reference field="7" count="1">
            <x v="0"/>
          </reference>
        </references>
      </pivotArea>
    </format>
    <format dxfId="34">
      <pivotArea dataOnly="0" labelOnly="1" fieldPosition="0">
        <references count="2">
          <reference field="0" count="1" selected="0">
            <x v="2"/>
          </reference>
          <reference field="7" count="1">
            <x v="2"/>
          </reference>
        </references>
      </pivotArea>
    </format>
    <format dxfId="33">
      <pivotArea dataOnly="0" labelOnly="1" fieldPosition="0">
        <references count="3">
          <reference field="0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2">
      <pivotArea dataOnly="0" labelOnly="1" fieldPosition="0">
        <references count="3">
          <reference field="0" count="1" selected="0">
            <x v="1"/>
          </reference>
          <reference field="7" count="1" selected="0">
            <x v="0"/>
          </reference>
          <reference field="8" count="1">
            <x v="0"/>
          </reference>
        </references>
      </pivotArea>
    </format>
    <format dxfId="31">
      <pivotArea dataOnly="0" labelOnly="1" fieldPosition="0">
        <references count="3">
          <reference field="0" count="1" selected="0">
            <x v="2"/>
          </reference>
          <reference field="7" count="1" selected="0">
            <x v="2"/>
          </reference>
          <reference field="8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GITAÇÃO" displayName="DIGITAÇÃO" ref="A1:I43" headerRowDxfId="30" dataDxfId="29" totalsRowDxfId="28">
  <tableColumns count="9">
    <tableColumn id="11" xr3:uid="{4A900F30-F9E5-473E-B619-511DBA2875F6}" name="PROFISSIONAL" dataDxfId="27" totalsRowDxfId="26"/>
    <tableColumn id="10" xr3:uid="{B431E24C-09B7-4D83-A289-E2256A00E8CB}" name="DATA DE NASC." dataDxfId="25" totalsRowDxfId="24"/>
    <tableColumn id="3" xr3:uid="{288398BE-11CF-4D0F-AF0B-60986555575C}" name="DATA INICIAL" totalsRowFunction="custom" dataDxfId="23" totalsRowDxfId="22">
      <totalsRowFormula array="1">"2108" &amp; ROW(INDIRECT("1964:2016"))</totalsRowFormula>
    </tableColumn>
    <tableColumn id="2" xr3:uid="{9B0B29BF-BEC9-4585-AE9A-4EA79E2FAAC9}" name="DATA FINAL" dataDxfId="21" totalsRowDxfId="20">
      <calculatedColumnFormula>IF(DIGITAÇÃO[[#This Row],[DATA INICIAL]]="","",TEXT(DIGITAÇÃO[DATA INICIAL],"00\/00\/0000")+30)</calculatedColumnFormula>
    </tableColumn>
    <tableColumn id="6" xr3:uid="{7329DF67-1302-4EA7-8A63-798B047A3070}" name="ANO" dataDxfId="19" totalsRowDxfId="18">
      <calculatedColumnFormula>IF(DIGITAÇÃO[[#This Row],[DATA FINAL]]="","",YEAR(DIGITAÇÃO[DATA FINAL]))</calculatedColumnFormula>
    </tableColumn>
    <tableColumn id="7" xr3:uid="{ACECB035-ADF6-4051-B21A-12348783B2E8}" name="MÊS" dataDxfId="17" totalsRowDxfId="16">
      <calculatedColumnFormula>PROPER(TEXT(DIGITAÇÃO[DATA FINAL],"mmmm"))</calculatedColumnFormula>
    </tableColumn>
    <tableColumn id="9" xr3:uid="{9BD2A0CE-6850-440F-8605-08954A56AB86}" name="IDADE" dataDxfId="15" totalsRowDxfId="14">
      <calculatedColumnFormula>IF(DIGITAÇÃO[DATA DE NASC.]="","",INT(( TODAY() - TEXT(DIGITAÇÃO[DATA DE NASC.],"00\/00\/0000")) /365.25))</calculatedColumnFormula>
    </tableColumn>
    <tableColumn id="4" xr3:uid="{00000000-0010-0000-0000-000004000000}" name="CÓD. DO PROCED." dataDxfId="13" totalsRowDxfId="12">
      <calculatedColumnFormula>IF(DIGITAÇÃO[PROFISSIONAL]="","",VLOOKUP(DIGITAÇÃO[PROFISSIONAL],LISTA_PROCED[],2,0))</calculatedColumnFormula>
    </tableColumn>
    <tableColumn id="5" xr3:uid="{00000000-0010-0000-0000-000005000000}" name="Nº DE CBO" dataDxfId="11" totalsRowDxfId="10">
      <calculatedColumnFormula>IF(DIGITAÇÃO[PROFISSIONAL]="","", VLOOKUP(DIGITAÇÃO[PROFISSIONAL],LISTA_PROCED[],3,0))</calculatedColumnFormula>
    </tableColumn>
  </tableColumns>
  <tableStyleInfo name="MINHA_TABEL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LISTA_PROCED" displayName="LISTA_PROCED" ref="A1:D31" totalsRowShown="0" headerRowDxfId="9" dataDxfId="8">
  <sortState ref="A2:D25">
    <sortCondition ref="A1:A25"/>
  </sortState>
  <tableColumns count="4">
    <tableColumn id="1" xr3:uid="{00000000-0010-0000-0100-000001000000}" name="PROFISSIONAL" dataDxfId="7" totalsRowDxfId="6"/>
    <tableColumn id="2" xr3:uid="{00000000-0010-0000-0100-000002000000}" name="CÓD. DO PROCED." dataDxfId="5" totalsRowDxfId="4"/>
    <tableColumn id="3" xr3:uid="{00000000-0010-0000-0100-000003000000}" name="Nº DE CBO" dataDxfId="3" totalsRowDxfId="2"/>
    <tableColumn id="4" xr3:uid="{00000000-0010-0000-0100-000004000000}" name="TOTAL DE ATENDIMENTOS" dataDxfId="1" totalsRowDxfId="0">
      <calculatedColumnFormula>COUNTIF(DIGITAÇÃO[PROFISSIONAL],LISTA_PROCED[[#This Row],[PROFISSIONAL]])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6DC6-674F-4077-A9FF-EE6054E79CA5}">
  <sheetPr codeName="shDyn"/>
  <dimension ref="A1:H15"/>
  <sheetViews>
    <sheetView showGridLines="0" workbookViewId="0">
      <selection activeCell="A13" sqref="A13"/>
    </sheetView>
  </sheetViews>
  <sheetFormatPr defaultRowHeight="15" x14ac:dyDescent="0.25"/>
  <cols>
    <col min="1" max="1" width="22.7109375" bestFit="1" customWidth="1"/>
    <col min="2" max="2" width="13" bestFit="1" customWidth="1"/>
    <col min="3" max="3" width="9.28515625" bestFit="1" customWidth="1"/>
    <col min="4" max="4" width="12" bestFit="1" customWidth="1"/>
    <col min="5" max="7" width="3" bestFit="1" customWidth="1"/>
    <col min="8" max="9" width="6.5703125" bestFit="1" customWidth="1"/>
    <col min="10" max="11" width="3" bestFit="1" customWidth="1"/>
    <col min="12" max="12" width="6.5703125" bestFit="1" customWidth="1"/>
    <col min="13" max="24" width="3" bestFit="1" customWidth="1"/>
    <col min="25" max="25" width="6.5703125" bestFit="1" customWidth="1"/>
  </cols>
  <sheetData>
    <row r="1" spans="1:8" x14ac:dyDescent="0.25">
      <c r="A1" s="6" t="s">
        <v>34</v>
      </c>
      <c r="B1" s="7" t="s">
        <v>45</v>
      </c>
    </row>
    <row r="2" spans="1:8" x14ac:dyDescent="0.25">
      <c r="A2" s="6" t="s">
        <v>35</v>
      </c>
      <c r="B2" s="7" t="s">
        <v>40</v>
      </c>
    </row>
    <row r="4" spans="1:8" x14ac:dyDescent="0.25">
      <c r="A4" s="6" t="s">
        <v>38</v>
      </c>
      <c r="B4" s="7"/>
      <c r="C4" s="7"/>
      <c r="D4" s="6" t="s">
        <v>27</v>
      </c>
      <c r="E4" s="7"/>
      <c r="F4" s="7"/>
      <c r="G4" s="7"/>
      <c r="H4" s="7"/>
    </row>
    <row r="5" spans="1:8" x14ac:dyDescent="0.25">
      <c r="A5" s="6" t="s">
        <v>36</v>
      </c>
      <c r="B5" s="6" t="s">
        <v>37</v>
      </c>
      <c r="C5" s="6" t="s">
        <v>26</v>
      </c>
      <c r="D5" s="7">
        <v>13</v>
      </c>
      <c r="E5" s="7">
        <v>22</v>
      </c>
      <c r="F5" s="7">
        <v>36</v>
      </c>
      <c r="G5" s="7">
        <v>63</v>
      </c>
      <c r="H5" s="7" t="s">
        <v>39</v>
      </c>
    </row>
    <row r="6" spans="1:8" x14ac:dyDescent="0.25">
      <c r="A6" s="7" t="s">
        <v>19</v>
      </c>
      <c r="B6" s="8">
        <v>301010064</v>
      </c>
      <c r="C6" s="7">
        <v>225125</v>
      </c>
      <c r="D6" s="9">
        <v>0</v>
      </c>
      <c r="E6" s="9">
        <v>3</v>
      </c>
      <c r="F6" s="9">
        <v>1</v>
      </c>
      <c r="G6" s="9">
        <v>0</v>
      </c>
      <c r="H6" s="9">
        <v>4</v>
      </c>
    </row>
    <row r="7" spans="1:8" x14ac:dyDescent="0.25">
      <c r="A7" s="7" t="s">
        <v>3</v>
      </c>
      <c r="B7" s="8">
        <v>301010030</v>
      </c>
      <c r="C7" s="7">
        <v>223505</v>
      </c>
      <c r="D7" s="9">
        <v>0</v>
      </c>
      <c r="E7" s="9">
        <v>2</v>
      </c>
      <c r="F7" s="9">
        <v>2</v>
      </c>
      <c r="G7" s="9">
        <v>2</v>
      </c>
      <c r="H7" s="9">
        <v>6</v>
      </c>
    </row>
    <row r="8" spans="1:8" x14ac:dyDescent="0.25">
      <c r="A8" s="7" t="s">
        <v>4</v>
      </c>
      <c r="B8" s="8">
        <v>301010030</v>
      </c>
      <c r="C8" s="7">
        <v>223565</v>
      </c>
      <c r="D8" s="9">
        <v>0</v>
      </c>
      <c r="E8" s="9">
        <v>2</v>
      </c>
      <c r="F8" s="9">
        <v>0</v>
      </c>
      <c r="G8" s="9">
        <v>0</v>
      </c>
      <c r="H8" s="9">
        <v>2</v>
      </c>
    </row>
    <row r="9" spans="1:8" x14ac:dyDescent="0.25">
      <c r="A9" s="7" t="s">
        <v>30</v>
      </c>
      <c r="B9" s="8">
        <v>301010080</v>
      </c>
      <c r="C9" s="7">
        <v>225142</v>
      </c>
      <c r="D9" s="9">
        <v>0</v>
      </c>
      <c r="E9" s="9">
        <v>0</v>
      </c>
      <c r="F9" s="9">
        <v>1</v>
      </c>
      <c r="G9" s="9">
        <v>0</v>
      </c>
      <c r="H9" s="9">
        <v>1</v>
      </c>
    </row>
    <row r="10" spans="1:8" x14ac:dyDescent="0.25">
      <c r="A10" s="7" t="s">
        <v>14</v>
      </c>
      <c r="B10" s="8">
        <v>301010064</v>
      </c>
      <c r="C10" s="7">
        <v>225124</v>
      </c>
      <c r="D10" s="9">
        <v>1</v>
      </c>
      <c r="E10" s="9">
        <v>3</v>
      </c>
      <c r="F10" s="9">
        <v>1</v>
      </c>
      <c r="G10" s="9">
        <v>0</v>
      </c>
      <c r="H10" s="9">
        <v>5</v>
      </c>
    </row>
    <row r="11" spans="1:8" x14ac:dyDescent="0.25">
      <c r="A11" s="7" t="s">
        <v>31</v>
      </c>
      <c r="B11" s="8">
        <v>301010129</v>
      </c>
      <c r="C11" s="7">
        <v>225142</v>
      </c>
      <c r="D11" s="9">
        <v>0</v>
      </c>
      <c r="E11" s="9">
        <v>0</v>
      </c>
      <c r="F11" s="9">
        <v>1</v>
      </c>
      <c r="G11" s="9">
        <v>0</v>
      </c>
      <c r="H11" s="9">
        <v>1</v>
      </c>
    </row>
    <row r="12" spans="1:8" x14ac:dyDescent="0.25">
      <c r="A12" s="7" t="s">
        <v>12</v>
      </c>
      <c r="B12" s="8">
        <v>301010048</v>
      </c>
      <c r="C12" s="7">
        <v>223810</v>
      </c>
      <c r="D12" s="9">
        <v>0</v>
      </c>
      <c r="E12" s="9">
        <v>3</v>
      </c>
      <c r="F12" s="9">
        <v>0</v>
      </c>
      <c r="G12" s="9">
        <v>0</v>
      </c>
      <c r="H12" s="9">
        <v>3</v>
      </c>
    </row>
    <row r="13" spans="1:8" x14ac:dyDescent="0.25">
      <c r="A13" s="7" t="s">
        <v>17</v>
      </c>
      <c r="B13" s="8">
        <v>301010129</v>
      </c>
      <c r="C13" s="7">
        <v>225250</v>
      </c>
      <c r="D13" s="9">
        <v>0</v>
      </c>
      <c r="E13" s="9">
        <v>1</v>
      </c>
      <c r="F13" s="9">
        <v>0</v>
      </c>
      <c r="G13" s="9">
        <v>0</v>
      </c>
      <c r="H13" s="9">
        <v>1</v>
      </c>
    </row>
    <row r="14" spans="1:8" x14ac:dyDescent="0.25">
      <c r="A14" s="7" t="s">
        <v>28</v>
      </c>
      <c r="B14" s="8">
        <v>301010064</v>
      </c>
      <c r="C14" s="7">
        <v>225142</v>
      </c>
      <c r="D14" s="9">
        <v>0</v>
      </c>
      <c r="E14" s="9">
        <v>1</v>
      </c>
      <c r="F14" s="9">
        <v>0</v>
      </c>
      <c r="G14" s="9">
        <v>0</v>
      </c>
      <c r="H14" s="9">
        <v>1</v>
      </c>
    </row>
    <row r="15" spans="1:8" x14ac:dyDescent="0.25">
      <c r="A15" s="7" t="s">
        <v>39</v>
      </c>
      <c r="B15" s="7"/>
      <c r="C15" s="7"/>
      <c r="D15" s="9">
        <v>1</v>
      </c>
      <c r="E15" s="9">
        <v>15</v>
      </c>
      <c r="F15" s="9">
        <v>6</v>
      </c>
      <c r="G15" s="9">
        <v>2</v>
      </c>
      <c r="H15" s="9">
        <v>24</v>
      </c>
    </row>
  </sheetData>
  <dataConsolidate/>
  <printOptions horizontalCentered="1"/>
  <pageMargins left="0.51181102362204722" right="0.51181102362204722" top="0.78740157480314965" bottom="0.78740157480314965" header="0.31496062992125984" footer="0.31496062992125984"/>
  <pageSetup paperSize="9" orientation="landscape" r:id="rId2"/>
  <headerFooter>
    <oddHeader>&amp;L&amp;"Segoe UI,Normal"Página &amp;P de &amp;N&amp;C&amp;"Segoe UI,Normal"BPA Consultas Consolidado&amp;R&amp;"Segoe UI,Normal"&amp;D - &amp;T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238F-5A70-4C63-8D18-EBECC7A70AD1}">
  <sheetPr codeName="shApoio"/>
  <dimension ref="A1"/>
  <sheetViews>
    <sheetView showGridLines="0" showRowColHeaders="0" workbookViewId="0">
      <selection activeCell="C6" sqref="C6"/>
    </sheetView>
  </sheetViews>
  <sheetFormatPr defaultRowHeight="15" x14ac:dyDescent="0.25"/>
  <cols>
    <col min="1" max="16384" width="9.140625" style="20"/>
  </cols>
  <sheetData/>
  <sheetProtection algorithmName="SHA-512" hashValue="lzgv0Bj4prBS4g/rz56B2qrGtxjVQPRIH+ORJB+1cSRBFOesoUj4qw+yZ3Ky3/mzk2mC+GmbPRtSWj/r7r8vAw==" saltValue="mGNBWuGnUYxMMZHYnNP5c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dos">
    <tabColor theme="8" tint="-0.499984740745262"/>
    <pageSetUpPr fitToPage="1"/>
  </sheetPr>
  <dimension ref="A1:I46"/>
  <sheetViews>
    <sheetView showGridLines="0" tabSelected="1" zoomScale="110" zoomScaleNormal="110" zoomScaleSheetLayoutView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32.42578125" style="11" customWidth="1"/>
    <col min="2" max="2" width="14.5703125" style="11" bestFit="1" customWidth="1"/>
    <col min="3" max="3" width="14.5703125" style="11" customWidth="1"/>
    <col min="4" max="4" width="22.140625" style="11" customWidth="1"/>
    <col min="5" max="5" width="22" style="11" customWidth="1"/>
    <col min="6" max="6" width="16.85546875" style="11" bestFit="1" customWidth="1"/>
    <col min="7" max="7" width="10.28515625" style="11" bestFit="1" customWidth="1"/>
    <col min="8" max="8" width="16.85546875" style="11" bestFit="1" customWidth="1"/>
    <col min="9" max="11" width="12.140625" style="11" bestFit="1" customWidth="1"/>
    <col min="12" max="12" width="12.5703125" style="11" bestFit="1" customWidth="1"/>
    <col min="13" max="13" width="12.7109375" style="11" bestFit="1" customWidth="1"/>
    <col min="14" max="16384" width="9.140625" style="11"/>
  </cols>
  <sheetData>
    <row r="1" spans="1:9" x14ac:dyDescent="0.25">
      <c r="A1" s="10" t="s">
        <v>24</v>
      </c>
      <c r="B1" s="10" t="s">
        <v>25</v>
      </c>
      <c r="C1" s="10" t="s">
        <v>32</v>
      </c>
      <c r="D1" s="10" t="s">
        <v>33</v>
      </c>
      <c r="E1" s="10" t="s">
        <v>34</v>
      </c>
      <c r="F1" s="19" t="s">
        <v>35</v>
      </c>
      <c r="G1" s="10" t="s">
        <v>2</v>
      </c>
      <c r="H1" s="10" t="s">
        <v>0</v>
      </c>
      <c r="I1" s="10" t="s">
        <v>1</v>
      </c>
    </row>
    <row r="2" spans="1:9" x14ac:dyDescent="0.25">
      <c r="A2" s="10" t="s">
        <v>19</v>
      </c>
      <c r="B2" s="12">
        <v>18081981</v>
      </c>
      <c r="C2" s="12">
        <v>21082017</v>
      </c>
      <c r="D2" s="13">
        <f>IF(DIGITAÇÃO[[#This Row],[DATA INICIAL]]="","",TEXT(DIGITAÇÃO[DATA INICIAL],"00\/00\/0000")+30)</f>
        <v>42998</v>
      </c>
      <c r="E2" s="10">
        <f>IF(DIGITAÇÃO[[#This Row],[DATA FINAL]]="","",YEAR(DIGITAÇÃO[DATA FINAL]))</f>
        <v>2017</v>
      </c>
      <c r="F2" s="10" t="str">
        <f>PROPER(TEXT(DIGITAÇÃO[DATA FINAL],"mmmm"))</f>
        <v>Setembro</v>
      </c>
      <c r="G2" s="10">
        <f ca="1">IF(DIGITAÇÃO[DATA DE NASC.]="","",INT(( TODAY() - TEXT(DIGITAÇÃO[DATA DE NASC.],"00\/00\/0000")) /365.25))</f>
        <v>36</v>
      </c>
      <c r="H2" s="5">
        <f>IF(DIGITAÇÃO[PROFISSIONAL]="","",VLOOKUP(DIGITAÇÃO[PROFISSIONAL],LISTA_PROCED[],2,0))</f>
        <v>301010064</v>
      </c>
      <c r="I2" s="17">
        <f>IF(DIGITAÇÃO[PROFISSIONAL]="","", VLOOKUP(DIGITAÇÃO[PROFISSIONAL],LISTA_PROCED[],3,0))</f>
        <v>225125</v>
      </c>
    </row>
    <row r="3" spans="1:9" x14ac:dyDescent="0.25">
      <c r="A3" s="10" t="s">
        <v>19</v>
      </c>
      <c r="B3" s="12">
        <v>26061995</v>
      </c>
      <c r="C3" s="12">
        <v>21092017</v>
      </c>
      <c r="D3" s="13">
        <f>IF(DIGITAÇÃO[[#This Row],[DATA INICIAL]]="","",TEXT(DIGITAÇÃO[DATA INICIAL],"00\/00\/0000")+30)</f>
        <v>43029</v>
      </c>
      <c r="E3" s="10">
        <f>IF(DIGITAÇÃO[[#This Row],[DATA FINAL]]="","",YEAR(DIGITAÇÃO[DATA FINAL]))</f>
        <v>2017</v>
      </c>
      <c r="F3" s="10" t="str">
        <f>PROPER(TEXT(DIGITAÇÃO[DATA FINAL],"mmmm"))</f>
        <v>Outubro</v>
      </c>
      <c r="G3" s="10">
        <f ca="1">IF(DIGITAÇÃO[DATA DE NASC.]="","",INT(( TODAY() - TEXT(DIGITAÇÃO[DATA DE NASC.],"00\/00\/0000")) /365.25))</f>
        <v>22</v>
      </c>
      <c r="H3" s="5">
        <f>IF(DIGITAÇÃO[PROFISSIONAL]="","",VLOOKUP(DIGITAÇÃO[PROFISSIONAL],LISTA_PROCED[],2,0))</f>
        <v>301010064</v>
      </c>
      <c r="I3" s="17">
        <f>IF(DIGITAÇÃO[PROFISSIONAL]="","", VLOOKUP(DIGITAÇÃO[PROFISSIONAL],LISTA_PROCED[],3,0))</f>
        <v>225125</v>
      </c>
    </row>
    <row r="4" spans="1:9" x14ac:dyDescent="0.25">
      <c r="A4" s="10" t="s">
        <v>19</v>
      </c>
      <c r="B4" s="12">
        <v>26061995</v>
      </c>
      <c r="C4" s="12">
        <v>21092017</v>
      </c>
      <c r="D4" s="13">
        <f>IF(DIGITAÇÃO[[#This Row],[DATA INICIAL]]="","",TEXT(DIGITAÇÃO[DATA INICIAL],"00\/00\/0000")+30)</f>
        <v>43029</v>
      </c>
      <c r="E4" s="10">
        <f>IF(DIGITAÇÃO[[#This Row],[DATA FINAL]]="","",YEAR(DIGITAÇÃO[DATA FINAL]))</f>
        <v>2017</v>
      </c>
      <c r="F4" s="10" t="str">
        <f>PROPER(TEXT(DIGITAÇÃO[DATA FINAL],"mmmm"))</f>
        <v>Outubro</v>
      </c>
      <c r="G4" s="10">
        <f ca="1">IF(DIGITAÇÃO[DATA DE NASC.]="","",INT(( TODAY() - TEXT(DIGITAÇÃO[DATA DE NASC.],"00\/00\/0000")) /365.25))</f>
        <v>22</v>
      </c>
      <c r="H4" s="5">
        <f>IF(DIGITAÇÃO[PROFISSIONAL]="","",VLOOKUP(DIGITAÇÃO[PROFISSIONAL],LISTA_PROCED[],2,0))</f>
        <v>301010064</v>
      </c>
      <c r="I4" s="17">
        <f>IF(DIGITAÇÃO[PROFISSIONAL]="","", VLOOKUP(DIGITAÇÃO[PROFISSIONAL],LISTA_PROCED[],3,0))</f>
        <v>225125</v>
      </c>
    </row>
    <row r="5" spans="1:9" x14ac:dyDescent="0.25">
      <c r="A5" s="10" t="s">
        <v>14</v>
      </c>
      <c r="B5" s="12">
        <v>26061995</v>
      </c>
      <c r="C5" s="12">
        <v>21092017</v>
      </c>
      <c r="D5" s="13">
        <f>IF(DIGITAÇÃO[[#This Row],[DATA INICIAL]]="","",TEXT(DIGITAÇÃO[DATA INICIAL],"00\/00\/0000")+30)</f>
        <v>43029</v>
      </c>
      <c r="E5" s="10">
        <f>IF(DIGITAÇÃO[[#This Row],[DATA FINAL]]="","",YEAR(DIGITAÇÃO[DATA FINAL]))</f>
        <v>2017</v>
      </c>
      <c r="F5" s="10" t="str">
        <f>PROPER(TEXT(DIGITAÇÃO[DATA FINAL],"mmmm"))</f>
        <v>Outubro</v>
      </c>
      <c r="G5" s="10">
        <f ca="1">IF(DIGITAÇÃO[DATA DE NASC.]="","",INT(( TODAY() - TEXT(DIGITAÇÃO[DATA DE NASC.],"00\/00\/0000")) /365.25))</f>
        <v>22</v>
      </c>
      <c r="H5" s="5">
        <f>IF(DIGITAÇÃO[PROFISSIONAL]="","",VLOOKUP(DIGITAÇÃO[PROFISSIONAL],LISTA_PROCED[],2,0))</f>
        <v>301010064</v>
      </c>
      <c r="I5" s="17">
        <f>IF(DIGITAÇÃO[PROFISSIONAL]="","", VLOOKUP(DIGITAÇÃO[PROFISSIONAL],LISTA_PROCED[],3,0))</f>
        <v>225124</v>
      </c>
    </row>
    <row r="6" spans="1:9" x14ac:dyDescent="0.25">
      <c r="A6" s="10" t="s">
        <v>3</v>
      </c>
      <c r="B6" s="12">
        <v>26011954</v>
      </c>
      <c r="C6" s="12">
        <v>21092017</v>
      </c>
      <c r="D6" s="13">
        <f>IF(DIGITAÇÃO[[#This Row],[DATA INICIAL]]="","",TEXT(DIGITAÇÃO[DATA INICIAL],"00\/00\/0000")+30)</f>
        <v>43029</v>
      </c>
      <c r="E6" s="10">
        <f>IF(DIGITAÇÃO[[#This Row],[DATA FINAL]]="","",YEAR(DIGITAÇÃO[DATA FINAL]))</f>
        <v>2017</v>
      </c>
      <c r="F6" s="10" t="str">
        <f>PROPER(TEXT(DIGITAÇÃO[DATA FINAL],"mmmm"))</f>
        <v>Outubro</v>
      </c>
      <c r="G6" s="10">
        <f ca="1">IF(DIGITAÇÃO[DATA DE NASC.]="","",INT(( TODAY() - TEXT(DIGITAÇÃO[DATA DE NASC.],"00\/00\/0000")) /365.25))</f>
        <v>63</v>
      </c>
      <c r="H6" s="5">
        <f>IF(DIGITAÇÃO[PROFISSIONAL]="","",VLOOKUP(DIGITAÇÃO[PROFISSIONAL],LISTA_PROCED[],2,0))</f>
        <v>301010030</v>
      </c>
      <c r="I6" s="17">
        <f>IF(DIGITAÇÃO[PROFISSIONAL]="","", VLOOKUP(DIGITAÇÃO[PROFISSIONAL],LISTA_PROCED[],3,0))</f>
        <v>223505</v>
      </c>
    </row>
    <row r="7" spans="1:9" x14ac:dyDescent="0.25">
      <c r="A7" s="10" t="s">
        <v>31</v>
      </c>
      <c r="B7" s="12">
        <v>18081981</v>
      </c>
      <c r="C7" s="12">
        <v>21092017</v>
      </c>
      <c r="D7" s="13">
        <f>IF(DIGITAÇÃO[[#This Row],[DATA INICIAL]]="","",TEXT(DIGITAÇÃO[DATA INICIAL],"00\/00\/0000")+30)</f>
        <v>43029</v>
      </c>
      <c r="E7" s="10">
        <f>IF(DIGITAÇÃO[[#This Row],[DATA FINAL]]="","",YEAR(DIGITAÇÃO[DATA FINAL]))</f>
        <v>2017</v>
      </c>
      <c r="F7" s="10" t="str">
        <f>PROPER(TEXT(DIGITAÇÃO[DATA FINAL],"mmmm"))</f>
        <v>Outubro</v>
      </c>
      <c r="G7" s="10">
        <f ca="1">IF(DIGITAÇÃO[DATA DE NASC.]="","",INT(( TODAY() - TEXT(DIGITAÇÃO[DATA DE NASC.],"00\/00\/0000")) /365.25))</f>
        <v>36</v>
      </c>
      <c r="H7" s="5">
        <f>IF(DIGITAÇÃO[PROFISSIONAL]="","",VLOOKUP(DIGITAÇÃO[PROFISSIONAL],LISTA_PROCED[],2,0))</f>
        <v>301010129</v>
      </c>
      <c r="I7" s="17">
        <f>IF(DIGITAÇÃO[PROFISSIONAL]="","", VLOOKUP(DIGITAÇÃO[PROFISSIONAL],LISTA_PROCED[],3,0))</f>
        <v>225142</v>
      </c>
    </row>
    <row r="8" spans="1:9" x14ac:dyDescent="0.25">
      <c r="A8" s="10" t="s">
        <v>3</v>
      </c>
      <c r="B8" s="12">
        <v>18081981</v>
      </c>
      <c r="C8" s="12">
        <v>21092017</v>
      </c>
      <c r="D8" s="13">
        <f>IF(DIGITAÇÃO[[#This Row],[DATA INICIAL]]="","",TEXT(DIGITAÇÃO[DATA INICIAL],"00\/00\/0000")+30)</f>
        <v>43029</v>
      </c>
      <c r="E8" s="10">
        <f>IF(DIGITAÇÃO[[#This Row],[DATA FINAL]]="","",YEAR(DIGITAÇÃO[DATA FINAL]))</f>
        <v>2017</v>
      </c>
      <c r="F8" s="10" t="str">
        <f>PROPER(TEXT(DIGITAÇÃO[DATA FINAL],"mmmm"))</f>
        <v>Outubro</v>
      </c>
      <c r="G8" s="10">
        <f ca="1">IF(DIGITAÇÃO[DATA DE NASC.]="","",INT(( TODAY() - TEXT(DIGITAÇÃO[DATA DE NASC.],"00\/00\/0000")) /365.25))</f>
        <v>36</v>
      </c>
      <c r="H8" s="5">
        <f>IF(DIGITAÇÃO[PROFISSIONAL]="","",VLOOKUP(DIGITAÇÃO[PROFISSIONAL],LISTA_PROCED[],2,0))</f>
        <v>301010030</v>
      </c>
      <c r="I8" s="17">
        <f>IF(DIGITAÇÃO[PROFISSIONAL]="","", VLOOKUP(DIGITAÇÃO[PROFISSIONAL],LISTA_PROCED[],3,0))</f>
        <v>223505</v>
      </c>
    </row>
    <row r="9" spans="1:9" x14ac:dyDescent="0.25">
      <c r="A9" s="10" t="s">
        <v>14</v>
      </c>
      <c r="B9" s="12">
        <v>26061995</v>
      </c>
      <c r="C9" s="12">
        <v>21092017</v>
      </c>
      <c r="D9" s="13">
        <f>IF(DIGITAÇÃO[[#This Row],[DATA INICIAL]]="","",TEXT(DIGITAÇÃO[DATA INICIAL],"00\/00\/0000")+30)</f>
        <v>43029</v>
      </c>
      <c r="E9" s="10">
        <f>IF(DIGITAÇÃO[[#This Row],[DATA FINAL]]="","",YEAR(DIGITAÇÃO[DATA FINAL]))</f>
        <v>2017</v>
      </c>
      <c r="F9" s="10" t="str">
        <f>PROPER(TEXT(DIGITAÇÃO[DATA FINAL],"mmmm"))</f>
        <v>Outubro</v>
      </c>
      <c r="G9" s="10">
        <f ca="1">IF(DIGITAÇÃO[DATA DE NASC.]="","",INT(( TODAY() - TEXT(DIGITAÇÃO[DATA DE NASC.],"00\/00\/0000")) /365.25))</f>
        <v>22</v>
      </c>
      <c r="H9" s="5">
        <f>IF(DIGITAÇÃO[PROFISSIONAL]="","",VLOOKUP(DIGITAÇÃO[PROFISSIONAL],LISTA_PROCED[],2,0))</f>
        <v>301010064</v>
      </c>
      <c r="I9" s="17">
        <f>IF(DIGITAÇÃO[PROFISSIONAL]="","", VLOOKUP(DIGITAÇÃO[PROFISSIONAL],LISTA_PROCED[],3,0))</f>
        <v>225124</v>
      </c>
    </row>
    <row r="10" spans="1:9" x14ac:dyDescent="0.25">
      <c r="A10" s="10" t="s">
        <v>3</v>
      </c>
      <c r="B10" s="12">
        <v>16011954</v>
      </c>
      <c r="C10" s="12">
        <v>21092017</v>
      </c>
      <c r="D10" s="13">
        <f>IF(DIGITAÇÃO[[#This Row],[DATA INICIAL]]="","",TEXT(DIGITAÇÃO[DATA INICIAL],"00\/00\/0000")+30)</f>
        <v>43029</v>
      </c>
      <c r="E10" s="10">
        <f>IF(DIGITAÇÃO[[#This Row],[DATA FINAL]]="","",YEAR(DIGITAÇÃO[DATA FINAL]))</f>
        <v>2017</v>
      </c>
      <c r="F10" s="10" t="str">
        <f>PROPER(TEXT(DIGITAÇÃO[DATA FINAL],"mmmm"))</f>
        <v>Outubro</v>
      </c>
      <c r="G10" s="10">
        <f ca="1">IF(DIGITAÇÃO[DATA DE NASC.]="","",INT(( TODAY() - TEXT(DIGITAÇÃO[DATA DE NASC.],"00\/00\/0000")) /365.25))</f>
        <v>63</v>
      </c>
      <c r="H10" s="5">
        <f>IF(DIGITAÇÃO[PROFISSIONAL]="","",VLOOKUP(DIGITAÇÃO[PROFISSIONAL],LISTA_PROCED[],2,0))</f>
        <v>301010030</v>
      </c>
      <c r="I10" s="17">
        <f>IF(DIGITAÇÃO[PROFISSIONAL]="","", VLOOKUP(DIGITAÇÃO[PROFISSIONAL],LISTA_PROCED[],3,0))</f>
        <v>223505</v>
      </c>
    </row>
    <row r="11" spans="1:9" x14ac:dyDescent="0.25">
      <c r="A11" s="10" t="s">
        <v>3</v>
      </c>
      <c r="B11" s="12">
        <v>26011995</v>
      </c>
      <c r="C11" s="12">
        <v>21092017</v>
      </c>
      <c r="D11" s="13">
        <f>IF(DIGITAÇÃO[[#This Row],[DATA INICIAL]]="","",TEXT(DIGITAÇÃO[DATA INICIAL],"00\/00\/0000")+30)</f>
        <v>43029</v>
      </c>
      <c r="E11" s="10">
        <f>IF(DIGITAÇÃO[[#This Row],[DATA FINAL]]="","",YEAR(DIGITAÇÃO[DATA FINAL]))</f>
        <v>2017</v>
      </c>
      <c r="F11" s="10" t="str">
        <f>PROPER(TEXT(DIGITAÇÃO[DATA FINAL],"mmmm"))</f>
        <v>Outubro</v>
      </c>
      <c r="G11" s="10">
        <f ca="1">IF(DIGITAÇÃO[DATA DE NASC.]="","",INT(( TODAY() - TEXT(DIGITAÇÃO[DATA DE NASC.],"00\/00\/0000")) /365.25))</f>
        <v>22</v>
      </c>
      <c r="H11" s="5">
        <f>IF(DIGITAÇÃO[PROFISSIONAL]="","",VLOOKUP(DIGITAÇÃO[PROFISSIONAL],LISTA_PROCED[],2,0))</f>
        <v>301010030</v>
      </c>
      <c r="I11" s="17">
        <f>IF(DIGITAÇÃO[PROFISSIONAL]="","", VLOOKUP(DIGITAÇÃO[PROFISSIONAL],LISTA_PROCED[],3,0))</f>
        <v>223505</v>
      </c>
    </row>
    <row r="12" spans="1:9" x14ac:dyDescent="0.25">
      <c r="A12" s="10" t="s">
        <v>3</v>
      </c>
      <c r="B12" s="12">
        <v>26061995</v>
      </c>
      <c r="C12" s="12">
        <v>21092017</v>
      </c>
      <c r="D12" s="13">
        <f>IF(DIGITAÇÃO[[#This Row],[DATA INICIAL]]="","",TEXT(DIGITAÇÃO[DATA INICIAL],"00\/00\/0000")+30)</f>
        <v>43029</v>
      </c>
      <c r="E12" s="10">
        <f>IF(DIGITAÇÃO[[#This Row],[DATA FINAL]]="","",YEAR(DIGITAÇÃO[DATA FINAL]))</f>
        <v>2017</v>
      </c>
      <c r="F12" s="10" t="str">
        <f>PROPER(TEXT(DIGITAÇÃO[DATA FINAL],"mmmm"))</f>
        <v>Outubro</v>
      </c>
      <c r="G12" s="10">
        <f ca="1">IF(DIGITAÇÃO[DATA DE NASC.]="","",INT(( TODAY() - TEXT(DIGITAÇÃO[DATA DE NASC.],"00\/00\/0000")) /365.25))</f>
        <v>22</v>
      </c>
      <c r="H12" s="5">
        <f>IF(DIGITAÇÃO[PROFISSIONAL]="","",VLOOKUP(DIGITAÇÃO[PROFISSIONAL],LISTA_PROCED[],2,0))</f>
        <v>301010030</v>
      </c>
      <c r="I12" s="17">
        <f>IF(DIGITAÇÃO[PROFISSIONAL]="","", VLOOKUP(DIGITAÇÃO[PROFISSIONAL],LISTA_PROCED[],3,0))</f>
        <v>223505</v>
      </c>
    </row>
    <row r="13" spans="1:9" x14ac:dyDescent="0.25">
      <c r="A13" s="10" t="s">
        <v>4</v>
      </c>
      <c r="B13" s="12">
        <v>26061995</v>
      </c>
      <c r="C13" s="12">
        <v>21092017</v>
      </c>
      <c r="D13" s="15">
        <f>IF(DIGITAÇÃO[[#This Row],[DATA INICIAL]]="","",TEXT(DIGITAÇÃO[DATA INICIAL],"00\/00\/0000")+30)</f>
        <v>43029</v>
      </c>
      <c r="E13" s="10">
        <f>IF(DIGITAÇÃO[[#This Row],[DATA FINAL]]="","",YEAR(DIGITAÇÃO[DATA FINAL]))</f>
        <v>2017</v>
      </c>
      <c r="F13" s="10" t="str">
        <f>PROPER(TEXT(DIGITAÇÃO[DATA FINAL],"mmmm"))</f>
        <v>Outubro</v>
      </c>
      <c r="G13" s="10">
        <f ca="1">IF(DIGITAÇÃO[DATA DE NASC.]="","",INT(( TODAY() - TEXT(DIGITAÇÃO[DATA DE NASC.],"00\/00\/0000")) /365.25))</f>
        <v>22</v>
      </c>
      <c r="H13" s="5">
        <f>IF(DIGITAÇÃO[PROFISSIONAL]="","",VLOOKUP(DIGITAÇÃO[PROFISSIONAL],LISTA_PROCED[],2,0))</f>
        <v>301010030</v>
      </c>
      <c r="I13" s="17">
        <f>IF(DIGITAÇÃO[PROFISSIONAL]="","", VLOOKUP(DIGITAÇÃO[PROFISSIONAL],LISTA_PROCED[],3,0))</f>
        <v>223565</v>
      </c>
    </row>
    <row r="14" spans="1:9" x14ac:dyDescent="0.25">
      <c r="A14" s="10" t="s">
        <v>12</v>
      </c>
      <c r="B14" s="12">
        <v>26061995</v>
      </c>
      <c r="C14" s="12">
        <v>21092017</v>
      </c>
      <c r="D14" s="15">
        <f>IF(DIGITAÇÃO[[#This Row],[DATA INICIAL]]="","",TEXT(DIGITAÇÃO[DATA INICIAL],"00\/00\/0000")+30)</f>
        <v>43029</v>
      </c>
      <c r="E14" s="10">
        <f>IF(DIGITAÇÃO[[#This Row],[DATA FINAL]]="","",YEAR(DIGITAÇÃO[DATA FINAL]))</f>
        <v>2017</v>
      </c>
      <c r="F14" s="10" t="str">
        <f>PROPER(TEXT(DIGITAÇÃO[DATA FINAL],"mmmm"))</f>
        <v>Outubro</v>
      </c>
      <c r="G14" s="10">
        <f ca="1">IF(DIGITAÇÃO[DATA DE NASC.]="","",INT(( TODAY() - TEXT(DIGITAÇÃO[DATA DE NASC.],"00\/00\/0000")) /365.25))</f>
        <v>22</v>
      </c>
      <c r="H14" s="5">
        <f>IF(DIGITAÇÃO[PROFISSIONAL]="","",VLOOKUP(DIGITAÇÃO[PROFISSIONAL],LISTA_PROCED[],2,0))</f>
        <v>301010048</v>
      </c>
      <c r="I14" s="17">
        <f>IF(DIGITAÇÃO[PROFISSIONAL]="","", VLOOKUP(DIGITAÇÃO[PROFISSIONAL],LISTA_PROCED[],3,0))</f>
        <v>223810</v>
      </c>
    </row>
    <row r="15" spans="1:9" x14ac:dyDescent="0.25">
      <c r="A15" s="10" t="s">
        <v>19</v>
      </c>
      <c r="B15" s="12">
        <v>26061995</v>
      </c>
      <c r="C15" s="12">
        <v>21092017</v>
      </c>
      <c r="D15" s="15">
        <f>IF(DIGITAÇÃO[[#This Row],[DATA INICIAL]]="","",TEXT(DIGITAÇÃO[DATA INICIAL],"00\/00\/0000")+30)</f>
        <v>43029</v>
      </c>
      <c r="E15" s="10">
        <f>IF(DIGITAÇÃO[[#This Row],[DATA FINAL]]="","",YEAR(DIGITAÇÃO[DATA FINAL]))</f>
        <v>2017</v>
      </c>
      <c r="F15" s="10" t="str">
        <f>PROPER(TEXT(DIGITAÇÃO[DATA FINAL],"mmmm"))</f>
        <v>Outubro</v>
      </c>
      <c r="G15" s="10">
        <f ca="1">IF(DIGITAÇÃO[DATA DE NASC.]="","",INT(( TODAY() - TEXT(DIGITAÇÃO[DATA DE NASC.],"00\/00\/0000")) /365.25))</f>
        <v>22</v>
      </c>
      <c r="H15" s="5">
        <f>IF(DIGITAÇÃO[PROFISSIONAL]="","",VLOOKUP(DIGITAÇÃO[PROFISSIONAL],LISTA_PROCED[],2,0))</f>
        <v>301010064</v>
      </c>
      <c r="I15" s="17">
        <f>IF(DIGITAÇÃO[PROFISSIONAL]="","", VLOOKUP(DIGITAÇÃO[PROFISSIONAL],LISTA_PROCED[],3,0))</f>
        <v>225125</v>
      </c>
    </row>
    <row r="16" spans="1:9" x14ac:dyDescent="0.25">
      <c r="A16" s="10" t="s">
        <v>14</v>
      </c>
      <c r="B16" s="12">
        <v>26061995</v>
      </c>
      <c r="C16" s="12">
        <v>21092017</v>
      </c>
      <c r="D16" s="15">
        <f>IF(DIGITAÇÃO[[#This Row],[DATA INICIAL]]="","",TEXT(DIGITAÇÃO[DATA INICIAL],"00\/00\/0000")+30)</f>
        <v>43029</v>
      </c>
      <c r="E16" s="10">
        <f>IF(DIGITAÇÃO[[#This Row],[DATA FINAL]]="","",YEAR(DIGITAÇÃO[DATA FINAL]))</f>
        <v>2017</v>
      </c>
      <c r="F16" s="10" t="str">
        <f>PROPER(TEXT(DIGITAÇÃO[DATA FINAL],"mmmm"))</f>
        <v>Outubro</v>
      </c>
      <c r="G16" s="10">
        <f ca="1">IF(DIGITAÇÃO[DATA DE NASC.]="","",INT(( TODAY() - TEXT(DIGITAÇÃO[DATA DE NASC.],"00\/00\/0000")) /365.25))</f>
        <v>22</v>
      </c>
      <c r="H16" s="5">
        <f>IF(DIGITAÇÃO[PROFISSIONAL]="","",VLOOKUP(DIGITAÇÃO[PROFISSIONAL],LISTA_PROCED[],2,0))</f>
        <v>301010064</v>
      </c>
      <c r="I16" s="17">
        <f>IF(DIGITAÇÃO[PROFISSIONAL]="","", VLOOKUP(DIGITAÇÃO[PROFISSIONAL],LISTA_PROCED[],3,0))</f>
        <v>225124</v>
      </c>
    </row>
    <row r="17" spans="1:9" x14ac:dyDescent="0.25">
      <c r="A17" s="10" t="s">
        <v>14</v>
      </c>
      <c r="B17" s="12">
        <v>18081981</v>
      </c>
      <c r="C17" s="12">
        <v>21092017</v>
      </c>
      <c r="D17" s="15">
        <f>IF(DIGITAÇÃO[[#This Row],[DATA INICIAL]]="","",TEXT(DIGITAÇÃO[DATA INICIAL],"00\/00\/0000")+30)</f>
        <v>43029</v>
      </c>
      <c r="E17" s="10">
        <f>IF(DIGITAÇÃO[[#This Row],[DATA FINAL]]="","",YEAR(DIGITAÇÃO[DATA FINAL]))</f>
        <v>2017</v>
      </c>
      <c r="F17" s="10" t="str">
        <f>PROPER(TEXT(DIGITAÇÃO[DATA FINAL],"mmmm"))</f>
        <v>Outubro</v>
      </c>
      <c r="G17" s="10">
        <f ca="1">IF(DIGITAÇÃO[DATA DE NASC.]="","",INT(( TODAY() - TEXT(DIGITAÇÃO[DATA DE NASC.],"00\/00\/0000")) /365.25))</f>
        <v>36</v>
      </c>
      <c r="H17" s="5">
        <f>IF(DIGITAÇÃO[PROFISSIONAL]="","",VLOOKUP(DIGITAÇÃO[PROFISSIONAL],LISTA_PROCED[],2,0))</f>
        <v>301010064</v>
      </c>
      <c r="I17" s="17">
        <f>IF(DIGITAÇÃO[PROFISSIONAL]="","", VLOOKUP(DIGITAÇÃO[PROFISSIONAL],LISTA_PROCED[],3,0))</f>
        <v>225124</v>
      </c>
    </row>
    <row r="18" spans="1:9" x14ac:dyDescent="0.25">
      <c r="A18" s="10" t="s">
        <v>12</v>
      </c>
      <c r="B18" s="12">
        <v>15051995</v>
      </c>
      <c r="C18" s="12">
        <v>21092017</v>
      </c>
      <c r="D18" s="15">
        <f>IF(DIGITAÇÃO[[#This Row],[DATA INICIAL]]="","",TEXT(DIGITAÇÃO[DATA INICIAL],"00\/00\/0000")+30)</f>
        <v>43029</v>
      </c>
      <c r="E18" s="10">
        <f>IF(DIGITAÇÃO[[#This Row],[DATA FINAL]]="","",YEAR(DIGITAÇÃO[DATA FINAL]))</f>
        <v>2017</v>
      </c>
      <c r="F18" s="10" t="str">
        <f>PROPER(TEXT(DIGITAÇÃO[DATA FINAL],"mmmm"))</f>
        <v>Outubro</v>
      </c>
      <c r="G18" s="10">
        <f ca="1">IF(DIGITAÇÃO[DATA DE NASC.]="","",INT(( TODAY() - TEXT(DIGITAÇÃO[DATA DE NASC.],"00\/00\/0000")) /365.25))</f>
        <v>22</v>
      </c>
      <c r="H18" s="5">
        <f>IF(DIGITAÇÃO[PROFISSIONAL]="","",VLOOKUP(DIGITAÇÃO[PROFISSIONAL],LISTA_PROCED[],2,0))</f>
        <v>301010048</v>
      </c>
      <c r="I18" s="17">
        <f>IF(DIGITAÇÃO[PROFISSIONAL]="","", VLOOKUP(DIGITAÇÃO[PROFISSIONAL],LISTA_PROCED[],3,0))</f>
        <v>223810</v>
      </c>
    </row>
    <row r="19" spans="1:9" x14ac:dyDescent="0.25">
      <c r="A19" s="10" t="s">
        <v>30</v>
      </c>
      <c r="B19" s="12">
        <v>18081981</v>
      </c>
      <c r="C19" s="12">
        <v>21092017</v>
      </c>
      <c r="D19" s="15">
        <f>IF(DIGITAÇÃO[[#This Row],[DATA INICIAL]]="","",TEXT(DIGITAÇÃO[DATA INICIAL],"00\/00\/0000")+30)</f>
        <v>43029</v>
      </c>
      <c r="E19" s="10">
        <f>IF(DIGITAÇÃO[[#This Row],[DATA FINAL]]="","",YEAR(DIGITAÇÃO[DATA FINAL]))</f>
        <v>2017</v>
      </c>
      <c r="F19" s="10" t="str">
        <f>PROPER(TEXT(DIGITAÇÃO[DATA FINAL],"mmmm"))</f>
        <v>Outubro</v>
      </c>
      <c r="G19" s="10">
        <f ca="1">IF(DIGITAÇÃO[DATA DE NASC.]="","",INT(( TODAY() - TEXT(DIGITAÇÃO[DATA DE NASC.],"00\/00\/0000")) /365.25))</f>
        <v>36</v>
      </c>
      <c r="H19" s="5">
        <f>IF(DIGITAÇÃO[PROFISSIONAL]="","",VLOOKUP(DIGITAÇÃO[PROFISSIONAL],LISTA_PROCED[],2,0))</f>
        <v>301010080</v>
      </c>
      <c r="I19" s="17">
        <f>IF(DIGITAÇÃO[PROFISSIONAL]="","", VLOOKUP(DIGITAÇÃO[PROFISSIONAL],LISTA_PROCED[],3,0))</f>
        <v>225142</v>
      </c>
    </row>
    <row r="20" spans="1:9" x14ac:dyDescent="0.25">
      <c r="A20" s="10" t="s">
        <v>3</v>
      </c>
      <c r="B20" s="12">
        <v>18081981</v>
      </c>
      <c r="C20" s="12">
        <v>21092017</v>
      </c>
      <c r="D20" s="15">
        <f>IF(DIGITAÇÃO[[#This Row],[DATA INICIAL]]="","",TEXT(DIGITAÇÃO[DATA INICIAL],"00\/00\/0000")+30)</f>
        <v>43029</v>
      </c>
      <c r="E20" s="10">
        <f>IF(DIGITAÇÃO[[#This Row],[DATA FINAL]]="","",YEAR(DIGITAÇÃO[DATA FINAL]))</f>
        <v>2017</v>
      </c>
      <c r="F20" s="10" t="str">
        <f>PROPER(TEXT(DIGITAÇÃO[DATA FINAL],"mmmm"))</f>
        <v>Outubro</v>
      </c>
      <c r="G20" s="10">
        <f ca="1">IF(DIGITAÇÃO[DATA DE NASC.]="","",INT(( TODAY() - TEXT(DIGITAÇÃO[DATA DE NASC.],"00\/00\/0000")) /365.25))</f>
        <v>36</v>
      </c>
      <c r="H20" s="5">
        <f>IF(DIGITAÇÃO[PROFISSIONAL]="","",VLOOKUP(DIGITAÇÃO[PROFISSIONAL],LISTA_PROCED[],2,0))</f>
        <v>301010030</v>
      </c>
      <c r="I20" s="17">
        <f>IF(DIGITAÇÃO[PROFISSIONAL]="","", VLOOKUP(DIGITAÇÃO[PROFISSIONAL],LISTA_PROCED[],3,0))</f>
        <v>223505</v>
      </c>
    </row>
    <row r="21" spans="1:9" x14ac:dyDescent="0.25">
      <c r="A21" s="10" t="s">
        <v>14</v>
      </c>
      <c r="B21" s="12">
        <v>16012004</v>
      </c>
      <c r="C21" s="12">
        <v>21092017</v>
      </c>
      <c r="D21" s="15">
        <f>IF(DIGITAÇÃO[[#This Row],[DATA INICIAL]]="","",TEXT(DIGITAÇÃO[DATA INICIAL],"00\/00\/0000")+30)</f>
        <v>43029</v>
      </c>
      <c r="E21" s="10">
        <f>IF(DIGITAÇÃO[[#This Row],[DATA FINAL]]="","",YEAR(DIGITAÇÃO[DATA FINAL]))</f>
        <v>2017</v>
      </c>
      <c r="F21" s="10" t="str">
        <f>PROPER(TEXT(DIGITAÇÃO[DATA FINAL],"mmmm"))</f>
        <v>Outubro</v>
      </c>
      <c r="G21" s="10">
        <f ca="1">IF(DIGITAÇÃO[DATA DE NASC.]="","",INT(( TODAY() - TEXT(DIGITAÇÃO[DATA DE NASC.],"00\/00\/0000")) /365.25))</f>
        <v>13</v>
      </c>
      <c r="H21" s="5">
        <f>IF(DIGITAÇÃO[PROFISSIONAL]="","",VLOOKUP(DIGITAÇÃO[PROFISSIONAL],LISTA_PROCED[],2,0))</f>
        <v>301010064</v>
      </c>
      <c r="I21" s="17">
        <f>IF(DIGITAÇÃO[PROFISSIONAL]="","", VLOOKUP(DIGITAÇÃO[PROFISSIONAL],LISTA_PROCED[],3,0))</f>
        <v>225124</v>
      </c>
    </row>
    <row r="22" spans="1:9" x14ac:dyDescent="0.25">
      <c r="A22" s="10" t="s">
        <v>17</v>
      </c>
      <c r="B22" s="12">
        <v>26061995</v>
      </c>
      <c r="C22" s="12">
        <v>21092017</v>
      </c>
      <c r="D22" s="15">
        <f>IF(DIGITAÇÃO[[#This Row],[DATA INICIAL]]="","",TEXT(DIGITAÇÃO[DATA INICIAL],"00\/00\/0000")+30)</f>
        <v>43029</v>
      </c>
      <c r="E22" s="10">
        <f>IF(DIGITAÇÃO[[#This Row],[DATA FINAL]]="","",YEAR(DIGITAÇÃO[DATA FINAL]))</f>
        <v>2017</v>
      </c>
      <c r="F22" s="10" t="str">
        <f>PROPER(TEXT(DIGITAÇÃO[DATA FINAL],"mmmm"))</f>
        <v>Outubro</v>
      </c>
      <c r="G22" s="10">
        <f ca="1">IF(DIGITAÇÃO[DATA DE NASC.]="","",INT(( TODAY() - TEXT(DIGITAÇÃO[DATA DE NASC.],"00\/00\/0000")) /365.25))</f>
        <v>22</v>
      </c>
      <c r="H22" s="5">
        <f>IF(DIGITAÇÃO[PROFISSIONAL]="","",VLOOKUP(DIGITAÇÃO[PROFISSIONAL],LISTA_PROCED[],2,0))</f>
        <v>301010129</v>
      </c>
      <c r="I22" s="17">
        <f>IF(DIGITAÇÃO[PROFISSIONAL]="","", VLOOKUP(DIGITAÇÃO[PROFISSIONAL],LISTA_PROCED[],3,0))</f>
        <v>225250</v>
      </c>
    </row>
    <row r="23" spans="1:9" x14ac:dyDescent="0.25">
      <c r="A23" s="10" t="s">
        <v>28</v>
      </c>
      <c r="B23" s="12">
        <v>26061995</v>
      </c>
      <c r="C23" s="12">
        <v>21092017</v>
      </c>
      <c r="D23" s="15">
        <f>IF(DIGITAÇÃO[[#This Row],[DATA INICIAL]]="","",TEXT(DIGITAÇÃO[DATA INICIAL],"00\/00\/0000")+30)</f>
        <v>43029</v>
      </c>
      <c r="E23" s="10">
        <f>IF(DIGITAÇÃO[[#This Row],[DATA FINAL]]="","",YEAR(DIGITAÇÃO[DATA FINAL]))</f>
        <v>2017</v>
      </c>
      <c r="F23" s="10" t="str">
        <f>PROPER(TEXT(DIGITAÇÃO[DATA FINAL],"mmmm"))</f>
        <v>Outubro</v>
      </c>
      <c r="G23" s="10">
        <f ca="1">IF(DIGITAÇÃO[DATA DE NASC.]="","",INT(( TODAY() - TEXT(DIGITAÇÃO[DATA DE NASC.],"00\/00\/0000")) /365.25))</f>
        <v>22</v>
      </c>
      <c r="H23" s="5">
        <f>IF(DIGITAÇÃO[PROFISSIONAL]="","",VLOOKUP(DIGITAÇÃO[PROFISSIONAL],LISTA_PROCED[],2,0))</f>
        <v>301010064</v>
      </c>
      <c r="I23" s="17">
        <f>IF(DIGITAÇÃO[PROFISSIONAL]="","", VLOOKUP(DIGITAÇÃO[PROFISSIONAL],LISTA_PROCED[],3,0))</f>
        <v>225142</v>
      </c>
    </row>
    <row r="24" spans="1:9" x14ac:dyDescent="0.25">
      <c r="A24" s="10" t="s">
        <v>12</v>
      </c>
      <c r="B24" s="12">
        <v>26061995</v>
      </c>
      <c r="C24" s="12">
        <v>21092017</v>
      </c>
      <c r="D24" s="15">
        <f>IF(DIGITAÇÃO[[#This Row],[DATA INICIAL]]="","",TEXT(DIGITAÇÃO[DATA INICIAL],"00\/00\/0000")+30)</f>
        <v>43029</v>
      </c>
      <c r="E24" s="10">
        <f>IF(DIGITAÇÃO[[#This Row],[DATA FINAL]]="","",YEAR(DIGITAÇÃO[DATA FINAL]))</f>
        <v>2017</v>
      </c>
      <c r="F24" s="10" t="str">
        <f>PROPER(TEXT(DIGITAÇÃO[DATA FINAL],"mmmm"))</f>
        <v>Outubro</v>
      </c>
      <c r="G24" s="10">
        <f ca="1">IF(DIGITAÇÃO[DATA DE NASC.]="","",INT(( TODAY() - TEXT(DIGITAÇÃO[DATA DE NASC.],"00\/00\/0000")) /365.25))</f>
        <v>22</v>
      </c>
      <c r="H24" s="5">
        <f>IF(DIGITAÇÃO[PROFISSIONAL]="","",VLOOKUP(DIGITAÇÃO[PROFISSIONAL],LISTA_PROCED[],2,0))</f>
        <v>301010048</v>
      </c>
      <c r="I24" s="17">
        <f>IF(DIGITAÇÃO[PROFISSIONAL]="","", VLOOKUP(DIGITAÇÃO[PROFISSIONAL],LISTA_PROCED[],3,0))</f>
        <v>223810</v>
      </c>
    </row>
    <row r="25" spans="1:9" x14ac:dyDescent="0.25">
      <c r="A25" s="10" t="s">
        <v>4</v>
      </c>
      <c r="B25" s="12">
        <v>26061995</v>
      </c>
      <c r="C25" s="12">
        <v>21092017</v>
      </c>
      <c r="D25" s="15">
        <f>IF(DIGITAÇÃO[[#This Row],[DATA INICIAL]]="","",TEXT(DIGITAÇÃO[DATA INICIAL],"00\/00\/0000")+30)</f>
        <v>43029</v>
      </c>
      <c r="E25" s="10">
        <f>IF(DIGITAÇÃO[[#This Row],[DATA FINAL]]="","",YEAR(DIGITAÇÃO[DATA FINAL]))</f>
        <v>2017</v>
      </c>
      <c r="F25" s="10" t="str">
        <f>PROPER(TEXT(DIGITAÇÃO[DATA FINAL],"mmmm"))</f>
        <v>Outubro</v>
      </c>
      <c r="G25" s="10">
        <f ca="1">IF(DIGITAÇÃO[DATA DE NASC.]="","",INT(( TODAY() - TEXT(DIGITAÇÃO[DATA DE NASC.],"00\/00\/0000")) /365.25))</f>
        <v>22</v>
      </c>
      <c r="H25" s="5">
        <f>IF(DIGITAÇÃO[PROFISSIONAL]="","",VLOOKUP(DIGITAÇÃO[PROFISSIONAL],LISTA_PROCED[],2,0))</f>
        <v>301010030</v>
      </c>
      <c r="I25" s="17">
        <f>IF(DIGITAÇÃO[PROFISSIONAL]="","", VLOOKUP(DIGITAÇÃO[PROFISSIONAL],LISTA_PROCED[],3,0))</f>
        <v>223565</v>
      </c>
    </row>
    <row r="26" spans="1:9" x14ac:dyDescent="0.25">
      <c r="A26" s="10" t="s">
        <v>19</v>
      </c>
      <c r="B26" s="12">
        <v>18081981</v>
      </c>
      <c r="C26" s="12">
        <v>21092017</v>
      </c>
      <c r="D26" s="15">
        <f>IF(DIGITAÇÃO[[#This Row],[DATA INICIAL]]="","",TEXT(DIGITAÇÃO[DATA INICIAL],"00\/00\/0000")+30)</f>
        <v>43029</v>
      </c>
      <c r="E26" s="10">
        <f>IF(DIGITAÇÃO[[#This Row],[DATA FINAL]]="","",YEAR(DIGITAÇÃO[DATA FINAL]))</f>
        <v>2017</v>
      </c>
      <c r="F26" s="10" t="str">
        <f>PROPER(TEXT(DIGITAÇÃO[DATA FINAL],"mmmm"))</f>
        <v>Outubro</v>
      </c>
      <c r="G26" s="10">
        <f ca="1">IF(DIGITAÇÃO[DATA DE NASC.]="","",INT(( TODAY() - TEXT(DIGITAÇÃO[DATA DE NASC.],"00\/00\/0000")) /365.25))</f>
        <v>36</v>
      </c>
      <c r="H26" s="5">
        <f>IF(DIGITAÇÃO[PROFISSIONAL]="","",VLOOKUP(DIGITAÇÃO[PROFISSIONAL],LISTA_PROCED[],2,0))</f>
        <v>301010064</v>
      </c>
      <c r="I26" s="17">
        <f>IF(DIGITAÇÃO[PROFISSIONAL]="","", VLOOKUP(DIGITAÇÃO[PROFISSIONAL],LISTA_PROCED[],3,0))</f>
        <v>225125</v>
      </c>
    </row>
    <row r="27" spans="1:9" x14ac:dyDescent="0.25">
      <c r="A27" s="10" t="s">
        <v>14</v>
      </c>
      <c r="B27" s="12">
        <v>26061995</v>
      </c>
      <c r="C27" s="12">
        <v>21092016</v>
      </c>
      <c r="D27" s="15">
        <f>IF(DIGITAÇÃO[[#This Row],[DATA INICIAL]]="","",TEXT(DIGITAÇÃO[DATA INICIAL],"00\/00\/0000")+30)</f>
        <v>42664</v>
      </c>
      <c r="E27" s="10">
        <f>IF(DIGITAÇÃO[[#This Row],[DATA FINAL]]="","",YEAR(DIGITAÇÃO[DATA FINAL]))</f>
        <v>2016</v>
      </c>
      <c r="F27" s="10" t="str">
        <f>PROPER(TEXT(DIGITAÇÃO[DATA FINAL],"mmmm"))</f>
        <v>Outubro</v>
      </c>
      <c r="G27" s="10">
        <f ca="1">IF(DIGITAÇÃO[DATA DE NASC.]="","",INT(( TODAY() - TEXT(DIGITAÇÃO[DATA DE NASC.],"00\/00\/0000")) /365.25))</f>
        <v>22</v>
      </c>
      <c r="H27" s="5">
        <f>IF(DIGITAÇÃO[PROFISSIONAL]="","",VLOOKUP(DIGITAÇÃO[PROFISSIONAL],LISTA_PROCED[],2,0))</f>
        <v>301010064</v>
      </c>
      <c r="I27" s="17">
        <f>IF(DIGITAÇÃO[PROFISSIONAL]="","", VLOOKUP(DIGITAÇÃO[PROFISSIONAL],LISTA_PROCED[],3,0))</f>
        <v>225124</v>
      </c>
    </row>
    <row r="28" spans="1:9" x14ac:dyDescent="0.25">
      <c r="A28" s="10" t="s">
        <v>3</v>
      </c>
      <c r="B28" s="12">
        <v>26061995</v>
      </c>
      <c r="C28" s="12">
        <v>21092016</v>
      </c>
      <c r="D28" s="15">
        <f>IF(DIGITAÇÃO[[#This Row],[DATA INICIAL]]="","",TEXT(DIGITAÇÃO[DATA INICIAL],"00\/00\/0000")+30)</f>
        <v>42664</v>
      </c>
      <c r="E28" s="10">
        <f>IF(DIGITAÇÃO[[#This Row],[DATA FINAL]]="","",YEAR(DIGITAÇÃO[DATA FINAL]))</f>
        <v>2016</v>
      </c>
      <c r="F28" s="10" t="str">
        <f>PROPER(TEXT(DIGITAÇÃO[DATA FINAL],"mmmm"))</f>
        <v>Outubro</v>
      </c>
      <c r="G28" s="10">
        <f ca="1">IF(DIGITAÇÃO[DATA DE NASC.]="","",INT(( TODAY() - TEXT(DIGITAÇÃO[DATA DE NASC.],"00\/00\/0000")) /365.25))</f>
        <v>22</v>
      </c>
      <c r="H28" s="5">
        <f>IF(DIGITAÇÃO[PROFISSIONAL]="","",VLOOKUP(DIGITAÇÃO[PROFISSIONAL],LISTA_PROCED[],2,0))</f>
        <v>301010030</v>
      </c>
      <c r="I28" s="17">
        <f>IF(DIGITAÇÃO[PROFISSIONAL]="","", VLOOKUP(DIGITAÇÃO[PROFISSIONAL],LISTA_PROCED[],3,0))</f>
        <v>223505</v>
      </c>
    </row>
    <row r="29" spans="1:9" x14ac:dyDescent="0.25">
      <c r="A29" s="10" t="s">
        <v>42</v>
      </c>
      <c r="B29" s="12">
        <v>26061995</v>
      </c>
      <c r="C29" s="12">
        <v>21092015</v>
      </c>
      <c r="D29" s="15">
        <f>IF(DIGITAÇÃO[[#This Row],[DATA INICIAL]]="","",TEXT(DIGITAÇÃO[DATA INICIAL],"00\/00\/0000")+30)</f>
        <v>42298</v>
      </c>
      <c r="E29" s="10">
        <f>IF(DIGITAÇÃO[[#This Row],[DATA FINAL]]="","",YEAR(DIGITAÇÃO[DATA FINAL]))</f>
        <v>2015</v>
      </c>
      <c r="F29" s="10" t="str">
        <f>PROPER(TEXT(DIGITAÇÃO[DATA FINAL],"mmmm"))</f>
        <v>Outubro</v>
      </c>
      <c r="G29" s="10">
        <f ca="1">IF(DIGITAÇÃO[DATA DE NASC.]="","",INT(( TODAY() - TEXT(DIGITAÇÃO[DATA DE NASC.],"00\/00\/0000")) /365.25))</f>
        <v>22</v>
      </c>
      <c r="H29" s="5">
        <f>IF(DIGITAÇÃO[PROFISSIONAL]="","",VLOOKUP(DIGITAÇÃO[PROFISSIONAL],LISTA_PROCED[],2,0))</f>
        <v>1</v>
      </c>
      <c r="I29" s="17">
        <f>IF(DIGITAÇÃO[PROFISSIONAL]="","", VLOOKUP(DIGITAÇÃO[PROFISSIONAL],LISTA_PROCED[],3,0))</f>
        <v>1</v>
      </c>
    </row>
    <row r="30" spans="1:9" x14ac:dyDescent="0.25">
      <c r="A30" s="10" t="s">
        <v>41</v>
      </c>
      <c r="B30" s="12">
        <v>26061995</v>
      </c>
      <c r="C30" s="12">
        <v>21092016</v>
      </c>
      <c r="D30" s="15">
        <f>IF(DIGITAÇÃO[[#This Row],[DATA INICIAL]]="","",TEXT(DIGITAÇÃO[DATA INICIAL],"00\/00\/0000")+30)</f>
        <v>42664</v>
      </c>
      <c r="E30" s="10">
        <f>IF(DIGITAÇÃO[[#This Row],[DATA FINAL]]="","",YEAR(DIGITAÇÃO[DATA FINAL]))</f>
        <v>2016</v>
      </c>
      <c r="F30" s="10" t="str">
        <f>PROPER(TEXT(DIGITAÇÃO[DATA FINAL],"mmmm"))</f>
        <v>Outubro</v>
      </c>
      <c r="G30" s="10">
        <f ca="1">IF(DIGITAÇÃO[DATA DE NASC.]="","",INT(( TODAY() - TEXT(DIGITAÇÃO[DATA DE NASC.],"00\/00\/0000")) /365.25))</f>
        <v>22</v>
      </c>
      <c r="H30" s="5">
        <f>IF(DIGITAÇÃO[PROFISSIONAL]="","",VLOOKUP(DIGITAÇÃO[PROFISSIONAL],LISTA_PROCED[],2,0))</f>
        <v>2</v>
      </c>
      <c r="I30" s="17">
        <f>IF(DIGITAÇÃO[PROFISSIONAL]="","", VLOOKUP(DIGITAÇÃO[PROFISSIONAL],LISTA_PROCED[],3,0))</f>
        <v>2</v>
      </c>
    </row>
    <row r="31" spans="1:9" x14ac:dyDescent="0.25">
      <c r="A31" s="10" t="s">
        <v>43</v>
      </c>
      <c r="B31" s="12">
        <v>18081981</v>
      </c>
      <c r="C31" s="12">
        <v>21092014</v>
      </c>
      <c r="D31" s="15">
        <f>IF(DIGITAÇÃO[[#This Row],[DATA INICIAL]]="","",TEXT(DIGITAÇÃO[DATA INICIAL],"00\/00\/0000")+30)</f>
        <v>41933</v>
      </c>
      <c r="E31" s="10">
        <f>IF(DIGITAÇÃO[[#This Row],[DATA FINAL]]="","",YEAR(DIGITAÇÃO[DATA FINAL]))</f>
        <v>2014</v>
      </c>
      <c r="F31" s="10" t="str">
        <f>PROPER(TEXT(DIGITAÇÃO[DATA FINAL],"mmmm"))</f>
        <v>Outubro</v>
      </c>
      <c r="G31" s="10">
        <f ca="1">IF(DIGITAÇÃO[DATA DE NASC.]="","",INT(( TODAY() - TEXT(DIGITAÇÃO[DATA DE NASC.],"00\/00\/0000")) /365.25))</f>
        <v>36</v>
      </c>
      <c r="H31" s="5">
        <f>IF(DIGITAÇÃO[PROFISSIONAL]="","",VLOOKUP(DIGITAÇÃO[PROFISSIONAL],LISTA_PROCED[],2,0))</f>
        <v>3</v>
      </c>
      <c r="I31" s="17">
        <f>IF(DIGITAÇÃO[PROFISSIONAL]="","", VLOOKUP(DIGITAÇÃO[PROFISSIONAL],LISTA_PROCED[],3,0))</f>
        <v>3</v>
      </c>
    </row>
    <row r="32" spans="1:9" x14ac:dyDescent="0.25">
      <c r="A32" s="10" t="s">
        <v>3</v>
      </c>
      <c r="B32" s="12">
        <v>22021995</v>
      </c>
      <c r="C32" s="12">
        <v>21092017</v>
      </c>
      <c r="D32" s="15">
        <f>IF(DIGITAÇÃO[[#This Row],[DATA INICIAL]]="","",TEXT(DIGITAÇÃO[DATA INICIAL],"00\/00\/0000")+30)</f>
        <v>43029</v>
      </c>
      <c r="E32" s="10">
        <f>IF(DIGITAÇÃO[[#This Row],[DATA FINAL]]="","",YEAR(DIGITAÇÃO[DATA FINAL]))</f>
        <v>2017</v>
      </c>
      <c r="F32" s="10" t="str">
        <f>PROPER(TEXT(DIGITAÇÃO[DATA FINAL],"mmmm"))</f>
        <v>Outubro</v>
      </c>
      <c r="G32" s="10">
        <f ca="1">IF(DIGITAÇÃO[DATA DE NASC.]="","",INT(( TODAY() - TEXT(DIGITAÇÃO[DATA DE NASC.],"00\/00\/0000")) /365.25))</f>
        <v>22</v>
      </c>
      <c r="H32" s="5">
        <f>IF(DIGITAÇÃO[PROFISSIONAL]="","",VLOOKUP(DIGITAÇÃO[PROFISSIONAL],LISTA_PROCED[],2,0))</f>
        <v>301010030</v>
      </c>
      <c r="I32" s="17">
        <f>IF(DIGITAÇÃO[PROFISSIONAL]="","", VLOOKUP(DIGITAÇÃO[PROFISSIONAL],LISTA_PROCED[],3,0))</f>
        <v>223505</v>
      </c>
    </row>
    <row r="33" spans="1:9" x14ac:dyDescent="0.25">
      <c r="A33" s="10" t="s">
        <v>42</v>
      </c>
      <c r="B33" s="12">
        <v>26051995</v>
      </c>
      <c r="C33" s="12">
        <v>21082016</v>
      </c>
      <c r="D33" s="15">
        <f>IF(DIGITAÇÃO[[#This Row],[DATA INICIAL]]="","",TEXT(DIGITAÇÃO[DATA INICIAL],"00\/00\/0000")+30)</f>
        <v>42633</v>
      </c>
      <c r="E33" s="10">
        <f>IF(DIGITAÇÃO[[#This Row],[DATA FINAL]]="","",YEAR(DIGITAÇÃO[DATA FINAL]))</f>
        <v>2016</v>
      </c>
      <c r="F33" s="10" t="str">
        <f>PROPER(TEXT(DIGITAÇÃO[DATA FINAL],"mmmm"))</f>
        <v>Setembro</v>
      </c>
      <c r="G33" s="10">
        <f ca="1">IF(DIGITAÇÃO[DATA DE NASC.]="","",INT(( TODAY() - TEXT(DIGITAÇÃO[DATA DE NASC.],"00\/00\/0000")) /365.25))</f>
        <v>22</v>
      </c>
      <c r="H33" s="5">
        <f>IF(DIGITAÇÃO[PROFISSIONAL]="","",VLOOKUP(DIGITAÇÃO[PROFISSIONAL],LISTA_PROCED[],2,0))</f>
        <v>1</v>
      </c>
      <c r="I33" s="17">
        <f>IF(DIGITAÇÃO[PROFISSIONAL]="","", VLOOKUP(DIGITAÇÃO[PROFISSIONAL],LISTA_PROCED[],3,0))</f>
        <v>1</v>
      </c>
    </row>
    <row r="34" spans="1:9" x14ac:dyDescent="0.25">
      <c r="A34" s="10" t="s">
        <v>42</v>
      </c>
      <c r="B34" s="12">
        <v>26061995</v>
      </c>
      <c r="C34" s="12">
        <v>21092017</v>
      </c>
      <c r="D34" s="15">
        <f>IF(DIGITAÇÃO[[#This Row],[DATA INICIAL]]="","",TEXT(DIGITAÇÃO[DATA INICIAL],"00\/00\/0000")+30)</f>
        <v>43029</v>
      </c>
      <c r="E34" s="10">
        <f>IF(DIGITAÇÃO[[#This Row],[DATA FINAL]]="","",YEAR(DIGITAÇÃO[DATA FINAL]))</f>
        <v>2017</v>
      </c>
      <c r="F34" s="10" t="str">
        <f>PROPER(TEXT(DIGITAÇÃO[DATA FINAL],"mmmm"))</f>
        <v>Outubro</v>
      </c>
      <c r="G34" s="10">
        <f ca="1">IF(DIGITAÇÃO[DATA DE NASC.]="","",INT(( TODAY() - TEXT(DIGITAÇÃO[DATA DE NASC.],"00\/00\/0000")) /365.25))</f>
        <v>22</v>
      </c>
      <c r="H34" s="5">
        <f>IF(DIGITAÇÃO[PROFISSIONAL]="","",VLOOKUP(DIGITAÇÃO[PROFISSIONAL],LISTA_PROCED[],2,0))</f>
        <v>1</v>
      </c>
      <c r="I34" s="17">
        <f>IF(DIGITAÇÃO[PROFISSIONAL]="","", VLOOKUP(DIGITAÇÃO[PROFISSIONAL],LISTA_PROCED[],3,0))</f>
        <v>1</v>
      </c>
    </row>
    <row r="35" spans="1:9" x14ac:dyDescent="0.25">
      <c r="A35" s="10" t="s">
        <v>42</v>
      </c>
      <c r="B35" s="12">
        <v>18081981</v>
      </c>
      <c r="C35" s="12">
        <v>21092017</v>
      </c>
      <c r="D35" s="15">
        <f>IF(DIGITAÇÃO[[#This Row],[DATA INICIAL]]="","",TEXT(DIGITAÇÃO[DATA INICIAL],"00\/00\/0000")+30)</f>
        <v>43029</v>
      </c>
      <c r="E35" s="10">
        <f>IF(DIGITAÇÃO[[#This Row],[DATA FINAL]]="","",YEAR(DIGITAÇÃO[DATA FINAL]))</f>
        <v>2017</v>
      </c>
      <c r="F35" s="10" t="str">
        <f>PROPER(TEXT(DIGITAÇÃO[DATA FINAL],"mmmm"))</f>
        <v>Outubro</v>
      </c>
      <c r="G35" s="10">
        <f ca="1">IF(DIGITAÇÃO[DATA DE NASC.]="","",INT(( TODAY() - TEXT(DIGITAÇÃO[DATA DE NASC.],"00\/00\/0000")) /365.25))</f>
        <v>36</v>
      </c>
      <c r="H35" s="5">
        <f>IF(DIGITAÇÃO[PROFISSIONAL]="","",VLOOKUP(DIGITAÇÃO[PROFISSIONAL],LISTA_PROCED[],2,0))</f>
        <v>1</v>
      </c>
      <c r="I35" s="17">
        <f>IF(DIGITAÇÃO[PROFISSIONAL]="","", VLOOKUP(DIGITAÇÃO[PROFISSIONAL],LISTA_PROCED[],3,0))</f>
        <v>1</v>
      </c>
    </row>
    <row r="36" spans="1:9" x14ac:dyDescent="0.25">
      <c r="A36" s="10" t="s">
        <v>42</v>
      </c>
      <c r="B36" s="12">
        <v>26061995</v>
      </c>
      <c r="C36" s="12">
        <v>21092016</v>
      </c>
      <c r="D36" s="15">
        <f>IF(DIGITAÇÃO[[#This Row],[DATA INICIAL]]="","",TEXT(DIGITAÇÃO[DATA INICIAL],"00\/00\/0000")+30)</f>
        <v>42664</v>
      </c>
      <c r="E36" s="10">
        <f>IF(DIGITAÇÃO[[#This Row],[DATA FINAL]]="","",YEAR(DIGITAÇÃO[DATA FINAL]))</f>
        <v>2016</v>
      </c>
      <c r="F36" s="10" t="str">
        <f>PROPER(TEXT(DIGITAÇÃO[DATA FINAL],"mmmm"))</f>
        <v>Outubro</v>
      </c>
      <c r="G36" s="10">
        <f ca="1">IF(DIGITAÇÃO[DATA DE NASC.]="","",INT(( TODAY() - TEXT(DIGITAÇÃO[DATA DE NASC.],"00\/00\/0000")) /365.25))</f>
        <v>22</v>
      </c>
      <c r="H36" s="5">
        <f>IF(DIGITAÇÃO[PROFISSIONAL]="","",VLOOKUP(DIGITAÇÃO[PROFISSIONAL],LISTA_PROCED[],2,0))</f>
        <v>1</v>
      </c>
      <c r="I36" s="17">
        <f>IF(DIGITAÇÃO[PROFISSIONAL]="","", VLOOKUP(DIGITAÇÃO[PROFISSIONAL],LISTA_PROCED[],3,0))</f>
        <v>1</v>
      </c>
    </row>
    <row r="37" spans="1:9" x14ac:dyDescent="0.25">
      <c r="A37" s="10" t="s">
        <v>3</v>
      </c>
      <c r="B37" s="12">
        <v>26061995</v>
      </c>
      <c r="C37" s="12">
        <v>21092017</v>
      </c>
      <c r="D37" s="15">
        <f>IF(DIGITAÇÃO[[#This Row],[DATA INICIAL]]="","",TEXT(DIGITAÇÃO[DATA INICIAL],"00\/00\/0000")+30)</f>
        <v>43029</v>
      </c>
      <c r="E37" s="10">
        <f>IF(DIGITAÇÃO[[#This Row],[DATA FINAL]]="","",YEAR(DIGITAÇÃO[DATA FINAL]))</f>
        <v>2017</v>
      </c>
      <c r="F37" s="10" t="str">
        <f>PROPER(TEXT(DIGITAÇÃO[DATA FINAL],"mmmm"))</f>
        <v>Outubro</v>
      </c>
      <c r="G37" s="10">
        <f ca="1">IF(DIGITAÇÃO[DATA DE NASC.]="","",INT(( TODAY() - TEXT(DIGITAÇÃO[DATA DE NASC.],"00\/00\/0000")) /365.25))</f>
        <v>22</v>
      </c>
      <c r="H37" s="5">
        <f>IF(DIGITAÇÃO[PROFISSIONAL]="","",VLOOKUP(DIGITAÇÃO[PROFISSIONAL],LISTA_PROCED[],2,0))</f>
        <v>301010030</v>
      </c>
      <c r="I37" s="17">
        <f>IF(DIGITAÇÃO[PROFISSIONAL]="","", VLOOKUP(DIGITAÇÃO[PROFISSIONAL],LISTA_PROCED[],3,0))</f>
        <v>223505</v>
      </c>
    </row>
    <row r="38" spans="1:9" x14ac:dyDescent="0.25">
      <c r="A38" s="10" t="s">
        <v>4</v>
      </c>
      <c r="B38" s="12">
        <v>26061995</v>
      </c>
      <c r="C38" s="12">
        <v>21092016</v>
      </c>
      <c r="D38" s="15">
        <f>IF(DIGITAÇÃO[[#This Row],[DATA INICIAL]]="","",TEXT(DIGITAÇÃO[DATA INICIAL],"00\/00\/0000")+30)</f>
        <v>42664</v>
      </c>
      <c r="E38" s="10">
        <f>IF(DIGITAÇÃO[[#This Row],[DATA FINAL]]="","",YEAR(DIGITAÇÃO[DATA FINAL]))</f>
        <v>2016</v>
      </c>
      <c r="F38" s="10" t="str">
        <f>PROPER(TEXT(DIGITAÇÃO[DATA FINAL],"mmmm"))</f>
        <v>Outubro</v>
      </c>
      <c r="G38" s="10">
        <f ca="1">IF(DIGITAÇÃO[DATA DE NASC.]="","",INT(( TODAY() - TEXT(DIGITAÇÃO[DATA DE NASC.],"00\/00\/0000")) /365.25))</f>
        <v>22</v>
      </c>
      <c r="H38" s="5">
        <f>IF(DIGITAÇÃO[PROFISSIONAL]="","",VLOOKUP(DIGITAÇÃO[PROFISSIONAL],LISTA_PROCED[],2,0))</f>
        <v>301010030</v>
      </c>
      <c r="I38" s="17">
        <f>IF(DIGITAÇÃO[PROFISSIONAL]="","", VLOOKUP(DIGITAÇÃO[PROFISSIONAL],LISTA_PROCED[],3,0))</f>
        <v>223565</v>
      </c>
    </row>
    <row r="39" spans="1:9" x14ac:dyDescent="0.25">
      <c r="A39" s="10" t="s">
        <v>42</v>
      </c>
      <c r="B39" s="12">
        <v>26061995</v>
      </c>
      <c r="C39" s="12">
        <v>21092017</v>
      </c>
      <c r="D39" s="15">
        <f>IF(DIGITAÇÃO[[#This Row],[DATA INICIAL]]="","",TEXT(DIGITAÇÃO[DATA INICIAL],"00\/00\/0000")+30)</f>
        <v>43029</v>
      </c>
      <c r="E39" s="10">
        <f>IF(DIGITAÇÃO[[#This Row],[DATA FINAL]]="","",YEAR(DIGITAÇÃO[DATA FINAL]))</f>
        <v>2017</v>
      </c>
      <c r="F39" s="10" t="str">
        <f>PROPER(TEXT(DIGITAÇÃO[DATA FINAL],"mmmm"))</f>
        <v>Outubro</v>
      </c>
      <c r="G39" s="10">
        <f ca="1">IF(DIGITAÇÃO[DATA DE NASC.]="","",INT(( TODAY() - TEXT(DIGITAÇÃO[DATA DE NASC.],"00\/00\/0000")) /365.25))</f>
        <v>22</v>
      </c>
      <c r="H39" s="5">
        <f>IF(DIGITAÇÃO[PROFISSIONAL]="","",VLOOKUP(DIGITAÇÃO[PROFISSIONAL],LISTA_PROCED[],2,0))</f>
        <v>1</v>
      </c>
      <c r="I39" s="17">
        <f>IF(DIGITAÇÃO[PROFISSIONAL]="","", VLOOKUP(DIGITAÇÃO[PROFISSIONAL],LISTA_PROCED[],3,0))</f>
        <v>1</v>
      </c>
    </row>
    <row r="40" spans="1:9" x14ac:dyDescent="0.25">
      <c r="A40" s="10" t="s">
        <v>3</v>
      </c>
      <c r="B40" s="12">
        <v>26061995</v>
      </c>
      <c r="C40" s="12">
        <v>21092017</v>
      </c>
      <c r="D40" s="15">
        <f>IF(DIGITAÇÃO[[#This Row],[DATA INICIAL]]="","",TEXT(DIGITAÇÃO[DATA INICIAL],"00\/00\/0000")+30)</f>
        <v>43029</v>
      </c>
      <c r="E40" s="10">
        <f>IF(DIGITAÇÃO[[#This Row],[DATA FINAL]]="","",YEAR(DIGITAÇÃO[DATA FINAL]))</f>
        <v>2017</v>
      </c>
      <c r="F40" s="10" t="str">
        <f>PROPER(TEXT(DIGITAÇÃO[DATA FINAL],"mmmm"))</f>
        <v>Outubro</v>
      </c>
      <c r="G40" s="10">
        <f ca="1">IF(DIGITAÇÃO[DATA DE NASC.]="","",INT(( TODAY() - TEXT(DIGITAÇÃO[DATA DE NASC.],"00\/00\/0000")) /365.25))</f>
        <v>22</v>
      </c>
      <c r="H40" s="5">
        <f>IF(DIGITAÇÃO[PROFISSIONAL]="","",VLOOKUP(DIGITAÇÃO[PROFISSIONAL],LISTA_PROCED[],2,0))</f>
        <v>301010030</v>
      </c>
      <c r="I40" s="17">
        <f>IF(DIGITAÇÃO[PROFISSIONAL]="","", VLOOKUP(DIGITAÇÃO[PROFISSIONAL],LISTA_PROCED[],3,0))</f>
        <v>223505</v>
      </c>
    </row>
    <row r="41" spans="1:9" x14ac:dyDescent="0.25">
      <c r="A41" s="10" t="s">
        <v>3</v>
      </c>
      <c r="B41" s="12">
        <v>26061995</v>
      </c>
      <c r="C41" s="12">
        <v>21092017</v>
      </c>
      <c r="D41" s="15">
        <f>IF(DIGITAÇÃO[[#This Row],[DATA INICIAL]]="","",TEXT(DIGITAÇÃO[DATA INICIAL],"00\/00\/0000")+30)</f>
        <v>43029</v>
      </c>
      <c r="E41" s="10">
        <f>IF(DIGITAÇÃO[[#This Row],[DATA FINAL]]="","",YEAR(DIGITAÇÃO[DATA FINAL]))</f>
        <v>2017</v>
      </c>
      <c r="F41" s="10" t="str">
        <f>PROPER(TEXT(DIGITAÇÃO[DATA FINAL],"mmmm"))</f>
        <v>Outubro</v>
      </c>
      <c r="G41" s="10">
        <f ca="1">IF(DIGITAÇÃO[DATA DE NASC.]="","",INT(( TODAY() - TEXT(DIGITAÇÃO[DATA DE NASC.],"00\/00\/0000")) /365.25))</f>
        <v>22</v>
      </c>
      <c r="H41" s="5">
        <f>IF(DIGITAÇÃO[PROFISSIONAL]="","",VLOOKUP(DIGITAÇÃO[PROFISSIONAL],LISTA_PROCED[],2,0))</f>
        <v>301010030</v>
      </c>
      <c r="I41" s="17">
        <f>IF(DIGITAÇÃO[PROFISSIONAL]="","", VLOOKUP(DIGITAÇÃO[PROFISSIONAL],LISTA_PROCED[],3,0))</f>
        <v>223505</v>
      </c>
    </row>
    <row r="42" spans="1:9" x14ac:dyDescent="0.25">
      <c r="A42" s="10" t="s">
        <v>16</v>
      </c>
      <c r="B42" s="12">
        <v>26061996</v>
      </c>
      <c r="C42" s="12">
        <v>21092016</v>
      </c>
      <c r="D42" s="15">
        <f>IF(DIGITAÇÃO[[#This Row],[DATA INICIAL]]="","",TEXT(DIGITAÇÃO[DATA INICIAL],"00\/00\/0000")+30)</f>
        <v>42664</v>
      </c>
      <c r="E42" s="10">
        <f>IF(DIGITAÇÃO[[#This Row],[DATA FINAL]]="","",YEAR(DIGITAÇÃO[DATA FINAL]))</f>
        <v>2016</v>
      </c>
      <c r="F42" s="10" t="str">
        <f>PROPER(TEXT(DIGITAÇÃO[DATA FINAL],"mmmm"))</f>
        <v>Outubro</v>
      </c>
      <c r="G42" s="10">
        <f ca="1">IF(DIGITAÇÃO[DATA DE NASC.]="","",INT(( TODAY() - TEXT(DIGITAÇÃO[DATA DE NASC.],"00\/00\/0000")) /365.25))</f>
        <v>21</v>
      </c>
      <c r="H42" s="5">
        <f>IF(DIGITAÇÃO[PROFISSIONAL]="","",VLOOKUP(DIGITAÇÃO[PROFISSIONAL],LISTA_PROCED[],2,0))</f>
        <v>301010064</v>
      </c>
      <c r="I42" s="17">
        <f>IF(DIGITAÇÃO[PROFISSIONAL]="","", VLOOKUP(DIGITAÇÃO[PROFISSIONAL],LISTA_PROCED[],3,0))</f>
        <v>225250</v>
      </c>
    </row>
    <row r="43" spans="1:9" x14ac:dyDescent="0.25">
      <c r="A43" s="10" t="s">
        <v>3</v>
      </c>
      <c r="B43" s="12">
        <v>26061995</v>
      </c>
      <c r="C43" s="12">
        <v>21092017</v>
      </c>
      <c r="D43" s="15">
        <f>IF(DIGITAÇÃO[[#This Row],[DATA INICIAL]]="","",TEXT(DIGITAÇÃO[DATA INICIAL],"00\/00\/0000")+30)</f>
        <v>43029</v>
      </c>
      <c r="E43" s="10">
        <f>IF(DIGITAÇÃO[[#This Row],[DATA FINAL]]="","",YEAR(DIGITAÇÃO[DATA FINAL]))</f>
        <v>2017</v>
      </c>
      <c r="F43" s="10" t="str">
        <f>PROPER(TEXT(DIGITAÇÃO[DATA FINAL],"mmmm"))</f>
        <v>Outubro</v>
      </c>
      <c r="G43" s="10">
        <f ca="1">IF(DIGITAÇÃO[DATA DE NASC.]="","",INT(( TODAY() - TEXT(DIGITAÇÃO[DATA DE NASC.],"00\/00\/0000")) /365.25))</f>
        <v>22</v>
      </c>
      <c r="H43" s="5">
        <f>IF(DIGITAÇÃO[PROFISSIONAL]="","",VLOOKUP(DIGITAÇÃO[PROFISSIONAL],LISTA_PROCED[],2,0))</f>
        <v>301010030</v>
      </c>
      <c r="I43" s="17">
        <f>IF(DIGITAÇÃO[PROFISSIONAL]="","", VLOOKUP(DIGITAÇÃO[PROFISSIONAL],LISTA_PROCED[],3,0))</f>
        <v>223505</v>
      </c>
    </row>
    <row r="45" spans="1:9" x14ac:dyDescent="0.25">
      <c r="E45" s="16"/>
    </row>
    <row r="46" spans="1:9" x14ac:dyDescent="0.25">
      <c r="B46" s="14"/>
    </row>
  </sheetData>
  <dataValidations count="1">
    <dataValidation type="list" allowBlank="1" showInputMessage="1" showErrorMessage="1" sqref="A2:A43" xr:uid="{AAF515D0-F8AB-4D8C-8333-1B52FC1ECEA1}">
      <formula1>PROFISSIONAL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Listas">
    <tabColor theme="4" tint="-0.499984740745262"/>
  </sheetPr>
  <dimension ref="A1:D31"/>
  <sheetViews>
    <sheetView showGridLines="0" workbookViewId="0"/>
  </sheetViews>
  <sheetFormatPr defaultRowHeight="15" x14ac:dyDescent="0.25"/>
  <cols>
    <col min="1" max="1" width="43.28515625" style="1" bestFit="1" customWidth="1"/>
    <col min="2" max="2" width="16.85546875" style="1" bestFit="1" customWidth="1"/>
    <col min="3" max="3" width="32.85546875" style="1" bestFit="1" customWidth="1"/>
    <col min="4" max="4" width="29" style="1" bestFit="1" customWidth="1"/>
    <col min="5" max="5" width="24.42578125" style="1" bestFit="1" customWidth="1"/>
    <col min="6" max="16384" width="9.140625" style="1"/>
  </cols>
  <sheetData>
    <row r="1" spans="1:4" x14ac:dyDescent="0.25">
      <c r="A1" s="4" t="s">
        <v>24</v>
      </c>
      <c r="B1" s="2" t="s">
        <v>0</v>
      </c>
      <c r="C1" s="2" t="s">
        <v>1</v>
      </c>
      <c r="D1" s="2" t="s">
        <v>23</v>
      </c>
    </row>
    <row r="2" spans="1:4" x14ac:dyDescent="0.25">
      <c r="A2" s="3" t="s">
        <v>19</v>
      </c>
      <c r="B2" s="5">
        <v>301010064</v>
      </c>
      <c r="C2" s="17">
        <v>225125</v>
      </c>
      <c r="D2" s="1">
        <f>COUNTIF(DIGITAÇÃO[PROFISSIONAL],LISTA_PROCED[[#This Row],[PROFISSIONAL]])</f>
        <v>5</v>
      </c>
    </row>
    <row r="3" spans="1:4" x14ac:dyDescent="0.25">
      <c r="A3" s="3" t="s">
        <v>3</v>
      </c>
      <c r="B3" s="5">
        <v>301010030</v>
      </c>
      <c r="C3" s="17">
        <v>223505</v>
      </c>
      <c r="D3" s="1">
        <f>COUNTIF(DIGITAÇÃO[PROFISSIONAL],LISTA_PROCED[[#This Row],[PROFISSIONAL]])</f>
        <v>12</v>
      </c>
    </row>
    <row r="4" spans="1:4" x14ac:dyDescent="0.25">
      <c r="A4" s="3" t="s">
        <v>4</v>
      </c>
      <c r="B4" s="5">
        <v>301010030</v>
      </c>
      <c r="C4" s="17">
        <v>223565</v>
      </c>
      <c r="D4" s="1">
        <f>COUNTIF(DIGITAÇÃO[PROFISSIONAL],LISTA_PROCED[[#This Row],[PROFISSIONAL]])</f>
        <v>3</v>
      </c>
    </row>
    <row r="5" spans="1:4" x14ac:dyDescent="0.25">
      <c r="A5" s="3" t="s">
        <v>12</v>
      </c>
      <c r="B5" s="5">
        <v>301010048</v>
      </c>
      <c r="C5" s="17">
        <v>223810</v>
      </c>
      <c r="D5" s="1">
        <f>COUNTIF(DIGITAÇÃO[PROFISSIONAL],LISTA_PROCED[[#This Row],[PROFISSIONAL]])</f>
        <v>3</v>
      </c>
    </row>
    <row r="6" spans="1:4" x14ac:dyDescent="0.25">
      <c r="A6" s="3" t="s">
        <v>16</v>
      </c>
      <c r="B6" s="5">
        <v>301010064</v>
      </c>
      <c r="C6" s="17">
        <v>225250</v>
      </c>
      <c r="D6" s="1">
        <f>COUNTIF(DIGITAÇÃO[PROFISSIONAL],LISTA_PROCED[[#This Row],[PROFISSIONAL]])</f>
        <v>1</v>
      </c>
    </row>
    <row r="7" spans="1:4" x14ac:dyDescent="0.25">
      <c r="A7" s="3" t="s">
        <v>28</v>
      </c>
      <c r="B7" s="5">
        <v>301010064</v>
      </c>
      <c r="C7" s="17">
        <v>225142</v>
      </c>
      <c r="D7" s="1">
        <f>COUNTIF(DIGITAÇÃO[PROFISSIONAL],LISTA_PROCED[[#This Row],[PROFISSIONAL]])</f>
        <v>1</v>
      </c>
    </row>
    <row r="8" spans="1:4" x14ac:dyDescent="0.25">
      <c r="A8" s="3" t="s">
        <v>29</v>
      </c>
      <c r="B8" s="5">
        <v>301010110</v>
      </c>
      <c r="C8" s="17">
        <v>225142</v>
      </c>
      <c r="D8" s="1">
        <f>COUNTIF(DIGITAÇÃO[PROFISSIONAL],LISTA_PROCED[[#This Row],[PROFISSIONAL]])</f>
        <v>0</v>
      </c>
    </row>
    <row r="9" spans="1:4" x14ac:dyDescent="0.25">
      <c r="A9" s="3" t="s">
        <v>30</v>
      </c>
      <c r="B9" s="5">
        <v>301010080</v>
      </c>
      <c r="C9" s="17">
        <v>225142</v>
      </c>
      <c r="D9" s="1">
        <f>COUNTIF(DIGITAÇÃO[PROFISSIONAL],LISTA_PROCED[[#This Row],[PROFISSIONAL]])</f>
        <v>1</v>
      </c>
    </row>
    <row r="10" spans="1:4" x14ac:dyDescent="0.25">
      <c r="A10" s="3" t="s">
        <v>31</v>
      </c>
      <c r="B10" s="5">
        <v>301010129</v>
      </c>
      <c r="C10" s="17">
        <v>225142</v>
      </c>
      <c r="D10" s="1">
        <f>COUNTIF(DIGITAÇÃO[PROFISSIONAL],LISTA_PROCED[[#This Row],[PROFISSIONAL]])</f>
        <v>1</v>
      </c>
    </row>
    <row r="11" spans="1:4" x14ac:dyDescent="0.25">
      <c r="A11" s="3" t="s">
        <v>21</v>
      </c>
      <c r="B11" s="5">
        <v>301010072</v>
      </c>
      <c r="C11" s="17">
        <v>225112</v>
      </c>
      <c r="D11" s="1">
        <f>COUNTIF(DIGITAÇÃO[PROFISSIONAL],LISTA_PROCED[[#This Row],[PROFISSIONAL]])</f>
        <v>0</v>
      </c>
    </row>
    <row r="12" spans="1:4" x14ac:dyDescent="0.25">
      <c r="A12" s="3" t="s">
        <v>20</v>
      </c>
      <c r="B12" s="5">
        <v>301010030</v>
      </c>
      <c r="C12" s="17">
        <v>223710</v>
      </c>
      <c r="D12" s="1">
        <f>COUNTIF(DIGITAÇÃO[PROFISSIONAL],LISTA_PROCED[[#This Row],[PROFISSIONAL]])</f>
        <v>0</v>
      </c>
    </row>
    <row r="13" spans="1:4" x14ac:dyDescent="0.25">
      <c r="A13" s="3" t="s">
        <v>22</v>
      </c>
      <c r="B13" s="5">
        <v>301020500</v>
      </c>
      <c r="C13" s="17">
        <v>223208</v>
      </c>
      <c r="D13" s="1">
        <f>COUNTIF(DIGITAÇÃO[PROFISSIONAL],LISTA_PROCED[[#This Row],[PROFISSIONAL]])</f>
        <v>0</v>
      </c>
    </row>
    <row r="14" spans="1:4" x14ac:dyDescent="0.25">
      <c r="A14" s="3" t="s">
        <v>14</v>
      </c>
      <c r="B14" s="5">
        <v>301010064</v>
      </c>
      <c r="C14" s="17">
        <v>225124</v>
      </c>
      <c r="D14" s="1">
        <f>COUNTIF(DIGITAÇÃO[PROFISSIONAL],LISTA_PROCED[[#This Row],[PROFISSIONAL]])</f>
        <v>6</v>
      </c>
    </row>
    <row r="15" spans="1:4" x14ac:dyDescent="0.25">
      <c r="A15" s="3" t="s">
        <v>18</v>
      </c>
      <c r="B15" s="5">
        <v>301010110</v>
      </c>
      <c r="C15" s="17">
        <v>225250</v>
      </c>
      <c r="D15" s="1">
        <f>COUNTIF(DIGITAÇÃO[PROFISSIONAL],LISTA_PROCED[[#This Row],[PROFISSIONAL]])</f>
        <v>0</v>
      </c>
    </row>
    <row r="16" spans="1:4" x14ac:dyDescent="0.25">
      <c r="A16" s="3" t="s">
        <v>5</v>
      </c>
      <c r="B16" s="5">
        <v>301010110</v>
      </c>
      <c r="C16" s="17">
        <v>223505</v>
      </c>
      <c r="D16" s="1">
        <f>COUNTIF(DIGITAÇÃO[PROFISSIONAL],LISTA_PROCED[[#This Row],[PROFISSIONAL]])</f>
        <v>0</v>
      </c>
    </row>
    <row r="17" spans="1:4" x14ac:dyDescent="0.25">
      <c r="A17" s="3" t="s">
        <v>6</v>
      </c>
      <c r="B17" s="5">
        <v>301010110</v>
      </c>
      <c r="C17" s="17">
        <v>223565</v>
      </c>
      <c r="D17" s="1">
        <f>COUNTIF(DIGITAÇÃO[PROFISSIONAL],LISTA_PROCED[[#This Row],[PROFISSIONAL]])</f>
        <v>0</v>
      </c>
    </row>
    <row r="18" spans="1:4" x14ac:dyDescent="0.25">
      <c r="A18" s="3" t="s">
        <v>13</v>
      </c>
      <c r="B18" s="5">
        <v>301010048</v>
      </c>
      <c r="C18" s="17">
        <v>251510</v>
      </c>
      <c r="D18" s="1">
        <f>COUNTIF(DIGITAÇÃO[PROFISSIONAL],LISTA_PROCED[[#This Row],[PROFISSIONAL]])</f>
        <v>0</v>
      </c>
    </row>
    <row r="19" spans="1:4" x14ac:dyDescent="0.25">
      <c r="A19" s="3" t="s">
        <v>11</v>
      </c>
      <c r="B19" s="5">
        <v>301010072</v>
      </c>
      <c r="C19" s="17">
        <v>225133</v>
      </c>
      <c r="D19" s="1">
        <f>COUNTIF(DIGITAÇÃO[PROFISSIONAL],LISTA_PROCED[[#This Row],[PROFISSIONAL]])</f>
        <v>0</v>
      </c>
    </row>
    <row r="20" spans="1:4" x14ac:dyDescent="0.25">
      <c r="A20" s="3" t="s">
        <v>9</v>
      </c>
      <c r="B20" s="5">
        <v>301010080</v>
      </c>
      <c r="C20" s="17">
        <v>223505</v>
      </c>
      <c r="D20" s="1">
        <f>COUNTIF(DIGITAÇÃO[PROFISSIONAL],LISTA_PROCED[[#This Row],[PROFISSIONAL]])</f>
        <v>0</v>
      </c>
    </row>
    <row r="21" spans="1:4" x14ac:dyDescent="0.25">
      <c r="A21" s="3" t="s">
        <v>10</v>
      </c>
      <c r="B21" s="5">
        <v>301010080</v>
      </c>
      <c r="C21" s="17">
        <v>223565</v>
      </c>
      <c r="D21" s="1">
        <f>COUNTIF(DIGITAÇÃO[PROFISSIONAL],LISTA_PROCED[[#This Row],[PROFISSIONAL]])</f>
        <v>0</v>
      </c>
    </row>
    <row r="22" spans="1:4" x14ac:dyDescent="0.25">
      <c r="A22" s="3" t="s">
        <v>15</v>
      </c>
      <c r="B22" s="5">
        <v>301010080</v>
      </c>
      <c r="C22" s="17">
        <v>225124</v>
      </c>
      <c r="D22" s="1">
        <f>COUNTIF(DIGITAÇÃO[PROFISSIONAL],LISTA_PROCED[[#This Row],[PROFISSIONAL]])</f>
        <v>0</v>
      </c>
    </row>
    <row r="23" spans="1:4" x14ac:dyDescent="0.25">
      <c r="A23" s="3" t="s">
        <v>7</v>
      </c>
      <c r="B23" s="5">
        <v>301010129</v>
      </c>
      <c r="C23" s="17">
        <v>223505</v>
      </c>
      <c r="D23" s="1">
        <f>COUNTIF(DIGITAÇÃO[PROFISSIONAL],LISTA_PROCED[[#This Row],[PROFISSIONAL]])</f>
        <v>0</v>
      </c>
    </row>
    <row r="24" spans="1:4" x14ac:dyDescent="0.25">
      <c r="A24" s="3" t="s">
        <v>8</v>
      </c>
      <c r="B24" s="5">
        <v>301010129</v>
      </c>
      <c r="C24" s="17">
        <v>223565</v>
      </c>
      <c r="D24" s="1">
        <f>COUNTIF(DIGITAÇÃO[PROFISSIONAL],LISTA_PROCED[[#This Row],[PROFISSIONAL]])</f>
        <v>0</v>
      </c>
    </row>
    <row r="25" spans="1:4" x14ac:dyDescent="0.25">
      <c r="A25" s="3" t="s">
        <v>17</v>
      </c>
      <c r="B25" s="5">
        <v>301010129</v>
      </c>
      <c r="C25" s="17">
        <v>225250</v>
      </c>
      <c r="D25" s="1">
        <f>COUNTIF(DIGITAÇÃO[PROFISSIONAL],LISTA_PROCED[[#This Row],[PROFISSIONAL]])</f>
        <v>1</v>
      </c>
    </row>
    <row r="26" spans="1:4" x14ac:dyDescent="0.25">
      <c r="A26" s="3" t="s">
        <v>42</v>
      </c>
      <c r="B26" s="5">
        <v>1</v>
      </c>
      <c r="C26" s="17">
        <v>1</v>
      </c>
      <c r="D26" s="18">
        <f>COUNTIF(DIGITAÇÃO[PROFISSIONAL],LISTA_PROCED[[#This Row],[PROFISSIONAL]])</f>
        <v>6</v>
      </c>
    </row>
    <row r="27" spans="1:4" x14ac:dyDescent="0.25">
      <c r="A27" s="3" t="s">
        <v>41</v>
      </c>
      <c r="B27" s="5">
        <v>2</v>
      </c>
      <c r="C27" s="17">
        <v>2</v>
      </c>
      <c r="D27" s="18">
        <f>COUNTIF(DIGITAÇÃO[PROFISSIONAL],LISTA_PROCED[[#This Row],[PROFISSIONAL]])</f>
        <v>1</v>
      </c>
    </row>
    <row r="28" spans="1:4" x14ac:dyDescent="0.25">
      <c r="A28" s="3" t="s">
        <v>43</v>
      </c>
      <c r="B28" s="5">
        <v>3</v>
      </c>
      <c r="C28" s="17">
        <v>3</v>
      </c>
      <c r="D28" s="18">
        <f>COUNTIF(DIGITAÇÃO[PROFISSIONAL],LISTA_PROCED[[#This Row],[PROFISSIONAL]])</f>
        <v>1</v>
      </c>
    </row>
    <row r="29" spans="1:4" x14ac:dyDescent="0.25">
      <c r="A29" s="3" t="s">
        <v>44</v>
      </c>
      <c r="B29" s="5">
        <v>4</v>
      </c>
      <c r="C29" s="17">
        <v>4</v>
      </c>
      <c r="D29" s="18">
        <f>COUNTIF(DIGITAÇÃO[PROFISSIONAL],LISTA_PROCED[[#This Row],[PROFISSIONAL]])</f>
        <v>0</v>
      </c>
    </row>
    <row r="30" spans="1:4" x14ac:dyDescent="0.25">
      <c r="A30" s="3" t="s">
        <v>46</v>
      </c>
      <c r="B30" s="5">
        <v>1</v>
      </c>
      <c r="C30" s="17">
        <v>1</v>
      </c>
      <c r="D30" s="18">
        <f>COUNTIF(DIGITAÇÃO[PROFISSIONAL],LISTA_PROCED[[#This Row],[PROFISSIONAL]])</f>
        <v>0</v>
      </c>
    </row>
    <row r="31" spans="1:4" x14ac:dyDescent="0.25">
      <c r="A31" s="3" t="s">
        <v>46</v>
      </c>
      <c r="B31" s="5">
        <v>1</v>
      </c>
      <c r="C31" s="17">
        <v>2</v>
      </c>
      <c r="D31" s="18">
        <f>COUNTIF(DIGITAÇÃO[PROFISSIONAL],LISTA_PROCED[[#This Row],[PROFISSIONAL]])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RELATÓRIO</vt:lpstr>
      <vt:lpstr>Apoio</vt:lpstr>
      <vt:lpstr>DIGITAÇÃO</vt:lpstr>
      <vt:lpstr>LISTA_PROCED</vt:lpstr>
      <vt:lpstr>ANO</vt:lpstr>
      <vt:lpstr>MÊS</vt:lpstr>
      <vt:lpstr>PROFISSIONAL</vt:lpstr>
      <vt:lpstr>TIPO_CONSULTA</vt:lpstr>
      <vt:lpstr>RELATÓRIO!Titulos_de_impressao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Junior</cp:lastModifiedBy>
  <cp:lastPrinted>2017-10-21T22:37:56Z</cp:lastPrinted>
  <dcterms:created xsi:type="dcterms:W3CDTF">2016-11-20T21:24:54Z</dcterms:created>
  <dcterms:modified xsi:type="dcterms:W3CDTF">2017-10-22T20:32:34Z</dcterms:modified>
</cp:coreProperties>
</file>