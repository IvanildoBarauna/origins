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240" yWindow="360" windowWidth="18060" windowHeight="6810" xr2:uid="{00000000-000D-0000-FFFF-FFFF00000000}"/>
  </bookViews>
  <sheets>
    <sheet name="Consolidado" sheetId="2" r:id="rId1"/>
    <sheet name="Gráficos" sheetId="5" r:id="rId2"/>
  </sheets>
  <definedNames>
    <definedName name="Absenteísmo">OFFSET(Consolidado!$D$5,0,0,COUNT(Consolidado!$D$5:$D$25),1)</definedName>
    <definedName name="Agentes">OFFSET(Gráficos!$F$5,0,0,COUNT(Gráficos!$F$5:$F$25),1)</definedName>
    <definedName name="Data">OFFSET(Gráficos!$B$5,0,0,COUNT(Gráficos!$B$5:$B$25),1)</definedName>
    <definedName name="Data_ABS">OFFSET(Consolidado!$B$5,0,0,COUNT(Consolidado!$B$5:$B$25),1)</definedName>
    <definedName name="Estrutura">OFFSET(Gráficos!$C$5,0,0,COUNT(Gráficos!$C$5:$C$25),1)</definedName>
    <definedName name="Feriados">#REF!</definedName>
    <definedName name="Logada">OFFSET(Gráficos!$D$5,0,0,COUNT(Gráficos!$D$5:$D$25),1)</definedName>
    <definedName name="Média_ABS">OFFSET(Consolidado!$E$5,0,0,COUNT(Consolidado!$E$5:$E$25),1)</definedName>
    <definedName name="Meta">0.08</definedName>
    <definedName name="Meta_ABS">OFFSET(Consolidado!$F$5,0,0,COUNT(Consolidado!$F$5:$F$25),1)</definedName>
    <definedName name="Operação">OFFSET(Gráficos!$E$5,0,0,COUNT(Gráficos!$E$5:$E$25),1)</definedName>
  </definedNames>
  <calcPr calcId="171026"/>
</workbook>
</file>

<file path=xl/calcChain.xml><?xml version="1.0" encoding="utf-8"?>
<calcChain xmlns="http://schemas.openxmlformats.org/spreadsheetml/2006/main">
  <c r="E18" i="2" l="1"/>
  <c r="E17" i="2"/>
  <c r="E16" i="2"/>
  <c r="E15" i="2"/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5" i="2"/>
  <c r="E6" i="2"/>
  <c r="E7" i="2"/>
  <c r="E8" i="2"/>
  <c r="E9" i="2"/>
  <c r="E10" i="2"/>
  <c r="E11" i="2"/>
  <c r="E12" i="2"/>
  <c r="E13" i="2"/>
  <c r="E14" i="2"/>
  <c r="E19" i="2"/>
  <c r="E20" i="2"/>
  <c r="E21" i="2"/>
  <c r="E22" i="2"/>
  <c r="E23" i="2"/>
  <c r="E5" i="2"/>
  <c r="B2" i="5"/>
  <c r="B16" i="5"/>
  <c r="F16" i="5"/>
  <c r="B17" i="5"/>
  <c r="F17" i="5"/>
  <c r="B18" i="5"/>
  <c r="F18" i="5"/>
  <c r="B19" i="5"/>
  <c r="F19" i="5"/>
  <c r="B20" i="5"/>
  <c r="F20" i="5"/>
  <c r="B21" i="5"/>
  <c r="F21" i="5"/>
  <c r="B22" i="5"/>
  <c r="F22" i="5"/>
  <c r="B23" i="5"/>
  <c r="F23" i="5"/>
  <c r="B24" i="5"/>
  <c r="F24" i="5"/>
  <c r="B15" i="5"/>
  <c r="F15" i="5"/>
  <c r="E21" i="5"/>
  <c r="D21" i="5"/>
  <c r="E17" i="5"/>
  <c r="D17" i="5"/>
  <c r="E23" i="5"/>
  <c r="D23" i="5"/>
  <c r="E19" i="5"/>
  <c r="D19" i="5"/>
  <c r="E22" i="5"/>
  <c r="D22" i="5"/>
  <c r="E18" i="5"/>
  <c r="D18" i="5"/>
  <c r="E24" i="5"/>
  <c r="D24" i="5"/>
  <c r="E20" i="5"/>
  <c r="D20" i="5"/>
  <c r="E16" i="5"/>
  <c r="D16" i="5"/>
  <c r="C22" i="5"/>
  <c r="C18" i="5"/>
  <c r="C21" i="5"/>
  <c r="C17" i="5"/>
  <c r="C24" i="5"/>
  <c r="C20" i="5"/>
  <c r="C16" i="5"/>
  <c r="C23" i="5"/>
  <c r="C19" i="5"/>
  <c r="B13" i="5"/>
  <c r="F13" i="5"/>
  <c r="B12" i="5"/>
  <c r="F12" i="5"/>
  <c r="E15" i="5"/>
  <c r="C15" i="5"/>
  <c r="E13" i="5"/>
  <c r="E12" i="5"/>
  <c r="C12" i="5"/>
  <c r="C13" i="5"/>
  <c r="B5" i="5"/>
  <c r="F5" i="5"/>
  <c r="E5" i="5"/>
  <c r="C5" i="5"/>
  <c r="B14" i="5"/>
  <c r="F14" i="5"/>
  <c r="E14" i="5"/>
  <c r="C14" i="5"/>
  <c r="B6" i="5"/>
  <c r="F6" i="5"/>
  <c r="E6" i="5"/>
  <c r="C6" i="5"/>
  <c r="B7" i="5"/>
  <c r="F7" i="5"/>
  <c r="E7" i="5"/>
  <c r="C7" i="5"/>
  <c r="B8" i="5"/>
  <c r="F8" i="5"/>
  <c r="E8" i="5"/>
  <c r="C8" i="5"/>
  <c r="B9" i="5"/>
  <c r="F9" i="5"/>
  <c r="E9" i="5"/>
  <c r="C9" i="5"/>
  <c r="B10" i="5"/>
  <c r="F10" i="5"/>
  <c r="E10" i="5"/>
  <c r="C10" i="5"/>
  <c r="B11" i="5"/>
  <c r="F11" i="5"/>
  <c r="D15" i="5"/>
  <c r="E11" i="5"/>
  <c r="C11" i="5"/>
  <c r="D11" i="5"/>
  <c r="D7" i="5"/>
  <c r="D12" i="5"/>
  <c r="D14" i="5"/>
  <c r="D13" i="5"/>
  <c r="D5" i="5"/>
  <c r="D9" i="5"/>
  <c r="D8" i="5"/>
  <c r="D6" i="5"/>
  <c r="D10" i="5"/>
</calcChain>
</file>

<file path=xl/sharedStrings.xml><?xml version="1.0" encoding="utf-8"?>
<sst xmlns="http://schemas.openxmlformats.org/spreadsheetml/2006/main" count="28" uniqueCount="13">
  <si>
    <t>seg</t>
  </si>
  <si>
    <t>ter</t>
  </si>
  <si>
    <t>qua</t>
  </si>
  <si>
    <t>qui</t>
  </si>
  <si>
    <t>sex</t>
  </si>
  <si>
    <t>Estrutura Ativa</t>
  </si>
  <si>
    <t>Data</t>
  </si>
  <si>
    <t>Média Logada</t>
  </si>
  <si>
    <t>Abs</t>
  </si>
  <si>
    <t>Média da operação</t>
  </si>
  <si>
    <t>Agentes Logados</t>
  </si>
  <si>
    <t>Media</t>
  </si>
  <si>
    <t>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</si>
</sst>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rgb="FF37659D"/>
      </patternFill>
    </fill>
  </fills>
  <borders count="3">
    <border>
      <left/>
      <right/>
      <top/>
      <bottom/>
      <diagonal/>
    </border>
    <border>
      <left style="thin">
        <color rgb="FF37659D"/>
      </left>
      <right/>
      <top/>
      <bottom/>
      <diagonal/>
    </border>
    <border>
      <left style="medium">
        <color theme="0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6" fillId="0" borderId="0"/>
  </cellStyleXfs>
  <cellXfs count="27"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3" fillId="0" borderId="0" xfId="0" applyFont="1" applyFill="1" applyBorder="1"/>
    <xf numFmtId="14" fontId="1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10" fontId="1" fillId="0" borderId="0" xfId="1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10" fontId="1" fillId="0" borderId="0" xfId="1" applyNumberFormat="1" applyFont="1" applyFill="1" applyBorder="1" applyAlignment="1" applyProtection="1">
      <alignment vertical="center"/>
      <protection locked="0"/>
    </xf>
    <xf numFmtId="0" fontId="4" fillId="4" borderId="2" xfId="0" applyNumberFormat="1" applyFont="1" applyFill="1" applyBorder="1" applyAlignment="1" applyProtection="1">
      <alignment horizontal="center" vertical="top" wrapText="1" readingOrder="1"/>
      <protection locked="0"/>
    </xf>
    <xf numFmtId="16" fontId="5" fillId="2" borderId="0" xfId="0" applyNumberFormat="1" applyFont="1" applyFill="1" applyBorder="1" applyAlignment="1" applyProtection="1">
      <alignment horizontal="center"/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10" fontId="1" fillId="0" borderId="0" xfId="1" applyNumberFormat="1" applyFont="1" applyFill="1" applyBorder="1" applyAlignment="1" applyProtection="1">
      <alignment vertical="center"/>
      <protection hidden="1"/>
    </xf>
    <xf numFmtId="16" fontId="5" fillId="3" borderId="0" xfId="0" applyNumberFormat="1" applyFont="1" applyFill="1" applyBorder="1" applyAlignment="1" applyProtection="1">
      <alignment horizontal="center"/>
      <protection hidden="1"/>
    </xf>
    <xf numFmtId="0" fontId="5" fillId="3" borderId="0" xfId="0" applyFont="1" applyFill="1" applyBorder="1" applyAlignment="1" applyProtection="1">
      <alignment horizontal="center"/>
      <protection hidden="1"/>
    </xf>
    <xf numFmtId="16" fontId="5" fillId="3" borderId="0" xfId="0" applyNumberFormat="1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Border="1" applyAlignment="1" applyProtection="1">
      <alignment horizontal="center" vertical="center"/>
      <protection hidden="1"/>
    </xf>
    <xf numFmtId="16" fontId="5" fillId="0" borderId="0" xfId="0" applyNumberFormat="1" applyFont="1" applyFill="1" applyBorder="1" applyAlignment="1" applyProtection="1">
      <alignment horizontal="center"/>
      <protection hidden="1"/>
    </xf>
    <xf numFmtId="10" fontId="1" fillId="0" borderId="0" xfId="0" applyNumberFormat="1" applyFont="1" applyFill="1" applyBorder="1" applyProtection="1">
      <protection locked="0"/>
    </xf>
    <xf numFmtId="14" fontId="1" fillId="0" borderId="0" xfId="0" applyNumberFormat="1" applyFont="1" applyFill="1" applyBorder="1" applyProtection="1">
      <protection locked="0"/>
    </xf>
    <xf numFmtId="0" fontId="4" fillId="4" borderId="1" xfId="0" applyNumberFormat="1" applyFont="1" applyFill="1" applyBorder="1" applyAlignment="1" applyProtection="1">
      <alignment horizontal="center" vertical="top" wrapText="1" readingOrder="1"/>
      <protection locked="0"/>
    </xf>
    <xf numFmtId="0" fontId="4" fillId="4" borderId="0" xfId="0" applyNumberFormat="1" applyFont="1" applyFill="1" applyBorder="1" applyAlignment="1" applyProtection="1">
      <alignment horizontal="center" vertical="top" wrapText="1" readingOrder="1"/>
      <protection locked="0"/>
    </xf>
  </cellXfs>
  <cellStyles count="3">
    <cellStyle name="Normal" xfId="0" builtinId="0"/>
    <cellStyle name="Normal 2" xfId="2" xr:uid="{00000000-0005-0000-0000-000001000000}"/>
    <cellStyle name="Porcentagem" xfId="1" builtinId="5"/>
  </cellStyles>
  <dxfs count="6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191970"/>
      <rgbColor rgb="00D3D3D3"/>
      <rgbColor rgb="0037659D"/>
      <rgbColor rgb="00FFFFFF"/>
      <rgbColor rgb="004F9300"/>
      <rgbColor rgb="00189FA7"/>
      <rgbColor rgb="00340C4B"/>
      <rgbColor rgb="00FF0000"/>
      <rgbColor rgb="00CDCACA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Absenteísmo Operacional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Absenteísmo</c:v>
          </c:tx>
          <c:spPr>
            <a:ln w="22225"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[0]!Data_ABS</c:f>
              <c:numCache>
                <c:formatCode>d\-mmm</c:formatCode>
                <c:ptCount val="19"/>
                <c:pt idx="0">
                  <c:v>42646</c:v>
                </c:pt>
                <c:pt idx="1">
                  <c:v>42647</c:v>
                </c:pt>
                <c:pt idx="2">
                  <c:v>42648</c:v>
                </c:pt>
                <c:pt idx="3">
                  <c:v>42649</c:v>
                </c:pt>
                <c:pt idx="4">
                  <c:v>42650</c:v>
                </c:pt>
                <c:pt idx="5">
                  <c:v>42653</c:v>
                </c:pt>
                <c:pt idx="6">
                  <c:v>42654</c:v>
                </c:pt>
                <c:pt idx="7">
                  <c:v>42656</c:v>
                </c:pt>
                <c:pt idx="8">
                  <c:v>42660</c:v>
                </c:pt>
                <c:pt idx="9">
                  <c:v>42661</c:v>
                </c:pt>
                <c:pt idx="10">
                  <c:v>42662</c:v>
                </c:pt>
                <c:pt idx="11">
                  <c:v>42663</c:v>
                </c:pt>
                <c:pt idx="12">
                  <c:v>42664</c:v>
                </c:pt>
                <c:pt idx="13">
                  <c:v>42667</c:v>
                </c:pt>
                <c:pt idx="14">
                  <c:v>42668</c:v>
                </c:pt>
                <c:pt idx="15">
                  <c:v>42669</c:v>
                </c:pt>
                <c:pt idx="16">
                  <c:v>42670</c:v>
                </c:pt>
                <c:pt idx="17">
                  <c:v>42671</c:v>
                </c:pt>
                <c:pt idx="18">
                  <c:v>42674</c:v>
                </c:pt>
              </c:numCache>
            </c:numRef>
          </c:cat>
          <c:val>
            <c:numRef>
              <c:f>[0]!Absenteísmo</c:f>
              <c:numCache>
                <c:formatCode>0.00%</c:formatCode>
                <c:ptCount val="19"/>
                <c:pt idx="0">
                  <c:v>0.110334358653311</c:v>
                </c:pt>
                <c:pt idx="1">
                  <c:v>0.106625191554809</c:v>
                </c:pt>
                <c:pt idx="2">
                  <c:v>8.5054810989319607E-2</c:v>
                </c:pt>
                <c:pt idx="3">
                  <c:v>0.10081741357504199</c:v>
                </c:pt>
                <c:pt idx="4">
                  <c:v>0.103119124293785</c:v>
                </c:pt>
                <c:pt idx="5">
                  <c:v>8.4741157013060495E-2</c:v>
                </c:pt>
                <c:pt idx="6">
                  <c:v>8.8112823679727198E-2</c:v>
                </c:pt>
                <c:pt idx="7">
                  <c:v>0.107431860448608</c:v>
                </c:pt>
                <c:pt idx="8">
                  <c:v>0.127862962805224</c:v>
                </c:pt>
                <c:pt idx="9">
                  <c:v>0.13932662123793199</c:v>
                </c:pt>
                <c:pt idx="10">
                  <c:v>0.13932662123793199</c:v>
                </c:pt>
                <c:pt idx="11">
                  <c:v>0.13932662123793199</c:v>
                </c:pt>
                <c:pt idx="12">
                  <c:v>0.13932662123793199</c:v>
                </c:pt>
                <c:pt idx="13">
                  <c:v>0.13932662123793199</c:v>
                </c:pt>
                <c:pt idx="14">
                  <c:v>0.13932662123793199</c:v>
                </c:pt>
                <c:pt idx="15">
                  <c:v>0.13932662123793199</c:v>
                </c:pt>
                <c:pt idx="16">
                  <c:v>0.13932662123793199</c:v>
                </c:pt>
                <c:pt idx="17">
                  <c:v>0.13932662123793199</c:v>
                </c:pt>
                <c:pt idx="18">
                  <c:v>0.13932662123793199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109-3047-9DB5-F342026DCF85}"/>
            </c:ext>
          </c:extLst>
        </c:ser>
        <c:ser>
          <c:idx val="0"/>
          <c:order val="1"/>
          <c:tx>
            <c:v>Média</c:v>
          </c:tx>
          <c:spPr>
            <a:ln w="22225">
              <a:solidFill>
                <a:schemeClr val="accent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92-46BE-9E42-E9AF1058283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92-46BE-9E42-E9AF105828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92-46BE-9E42-E9AF1058283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92-46BE-9E42-E9AF1058283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92-46BE-9E42-E9AF1058283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C92-46BE-9E42-E9AF1058283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92-46BE-9E42-E9AF1058283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92-46BE-9E42-E9AF1058283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92-46BE-9E42-E9AF10582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[0]!Média_ABS</c:f>
              <c:numCache>
                <c:formatCode>0.00%</c:formatCode>
                <c:ptCount val="19"/>
                <c:pt idx="0">
                  <c:v>0.12144031133643192</c:v>
                </c:pt>
                <c:pt idx="1">
                  <c:v>0.12144031133643192</c:v>
                </c:pt>
                <c:pt idx="2">
                  <c:v>0.12144031133643192</c:v>
                </c:pt>
                <c:pt idx="3">
                  <c:v>0.12144031133643192</c:v>
                </c:pt>
                <c:pt idx="4">
                  <c:v>0.12144031133643192</c:v>
                </c:pt>
                <c:pt idx="5">
                  <c:v>0.12144031133643192</c:v>
                </c:pt>
                <c:pt idx="6">
                  <c:v>0.12144031133643192</c:v>
                </c:pt>
                <c:pt idx="7">
                  <c:v>0.12144031133643192</c:v>
                </c:pt>
                <c:pt idx="8">
                  <c:v>0.12144031133643192</c:v>
                </c:pt>
                <c:pt idx="9">
                  <c:v>0.12144031133643192</c:v>
                </c:pt>
                <c:pt idx="10">
                  <c:v>0.12144031133643192</c:v>
                </c:pt>
                <c:pt idx="11">
                  <c:v>0.12144031133643192</c:v>
                </c:pt>
                <c:pt idx="12">
                  <c:v>0.12144031133643192</c:v>
                </c:pt>
                <c:pt idx="13">
                  <c:v>0.12144031133643192</c:v>
                </c:pt>
                <c:pt idx="14">
                  <c:v>0.12144031133643192</c:v>
                </c:pt>
                <c:pt idx="15">
                  <c:v>0.12144031133643192</c:v>
                </c:pt>
                <c:pt idx="16">
                  <c:v>0.12144031133643192</c:v>
                </c:pt>
                <c:pt idx="17">
                  <c:v>0.12144031133643192</c:v>
                </c:pt>
                <c:pt idx="18">
                  <c:v>0.12144031133643192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9-3047-9DB5-F342026DCF85}"/>
            </c:ext>
          </c:extLst>
        </c:ser>
        <c:ser>
          <c:idx val="2"/>
          <c:order val="2"/>
          <c:tx>
            <c:v>Meta</c:v>
          </c:tx>
          <c:spPr>
            <a:ln w="22225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C92-46BE-9E42-E9AF1058283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92-46BE-9E42-E9AF105828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92-46BE-9E42-E9AF1058283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92-46BE-9E42-E9AF1058283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C92-46BE-9E42-E9AF1058283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C92-46BE-9E42-E9AF1058283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C92-46BE-9E42-E9AF1058283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C92-46BE-9E42-E9AF1058283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C92-46BE-9E42-E9AF1058283E}"/>
                </c:ext>
              </c:extLst>
            </c:dLbl>
            <c:dLbl>
              <c:idx val="9"/>
              <c:layout>
                <c:manualLayout>
                  <c:x val="-1.8099547511312218E-3"/>
                  <c:y val="-1.35211243613398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C92-46BE-9E42-E9AF10582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[0]!Meta_ABS</c:f>
              <c:numCache>
                <c:formatCode>0.00%</c:formatCode>
                <c:ptCount val="19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9-3047-9DB5-F342026D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65152"/>
        <c:axId val="73447616"/>
      </c:lineChart>
      <c:dateAx>
        <c:axId val="7326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pt-BR"/>
          </a:p>
        </c:txPr>
        <c:crossAx val="73447616"/>
        <c:crosses val="autoZero"/>
        <c:auto val="1"/>
        <c:lblOffset val="100"/>
        <c:baseTimeUnit val="days"/>
      </c:dateAx>
      <c:valAx>
        <c:axId val="734476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pt-BR"/>
          </a:p>
        </c:txPr>
        <c:crossAx val="73265152"/>
        <c:crosses val="autoZero"/>
        <c:crossBetween val="between"/>
        <c:majorUnit val="1.0000000000000002E-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570735075350054"/>
          <c:y val="0.59068149947315218"/>
          <c:w val="0.14060654861581218"/>
          <c:h val="0.17112792793560111"/>
        </c:manualLayout>
      </c:layout>
      <c:overlay val="0"/>
      <c:txPr>
        <a:bodyPr/>
        <a:lstStyle/>
        <a:p>
          <a:pPr>
            <a:defRPr sz="900"/>
          </a:pPr>
          <a:endParaRPr lang="pt-BR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222250</xdr:colOff>
      <xdr:row>2</xdr:row>
      <xdr:rowOff>179916</xdr:rowOff>
    </xdr:from>
    <xdr:to>
      <xdr:col>17</xdr:col>
      <xdr:colOff>169333</xdr:colOff>
      <xdr:row>22</xdr:row>
      <xdr:rowOff>127000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B2:T23"/>
  <sheetViews>
    <sheetView showGridLines="0" tabSelected="1" zoomScale="90" zoomScaleNormal="90" workbookViewId="0">
      <selection activeCell="C1" sqref="C1"/>
    </sheetView>
  </sheetViews>
  <sheetFormatPr defaultRowHeight="15" x14ac:dyDescent="0.25"/>
  <cols>
    <col min="1" max="1" width="7.28515625" style="8" customWidth="1"/>
    <col min="2" max="2" width="7" style="9" bestFit="1" customWidth="1"/>
    <col min="3" max="3" width="4.28515625" style="8" bestFit="1" customWidth="1"/>
    <col min="4" max="4" width="9.140625" style="10"/>
    <col min="5" max="5" width="9.140625" style="8" customWidth="1"/>
    <col min="6" max="9" width="10.7109375" style="8" bestFit="1" customWidth="1"/>
    <col min="10" max="18" width="9.140625" style="8"/>
    <col min="19" max="19" width="11.5703125" style="8" bestFit="1" customWidth="1"/>
    <col min="20" max="16384" width="9.140625" style="8"/>
  </cols>
  <sheetData>
    <row r="2" spans="2:20" s="12" customFormat="1" ht="20.100000000000001" customHeight="1" x14ac:dyDescent="0.25">
      <c r="B2" s="11"/>
      <c r="D2" s="13"/>
    </row>
    <row r="3" spans="2:20" s="12" customFormat="1" ht="15" customHeight="1" x14ac:dyDescent="0.25">
      <c r="B3" s="11"/>
      <c r="D3" s="13"/>
    </row>
    <row r="4" spans="2:20" ht="15" customHeight="1" x14ac:dyDescent="0.25">
      <c r="B4" s="25" t="s">
        <v>6</v>
      </c>
      <c r="C4" s="26"/>
      <c r="D4" s="14" t="s">
        <v>8</v>
      </c>
      <c r="E4" s="14" t="s">
        <v>11</v>
      </c>
      <c r="F4" s="14" t="s">
        <v>12</v>
      </c>
    </row>
    <row r="5" spans="2:20" s="12" customFormat="1" x14ac:dyDescent="0.25">
      <c r="B5" s="15">
        <v>42646</v>
      </c>
      <c r="C5" s="16" t="s">
        <v>0</v>
      </c>
      <c r="D5" s="17">
        <v>0.110334358653311</v>
      </c>
      <c r="E5" s="17">
        <f>IF(D5="","",AVERAGE($D$5:$D$23))</f>
        <v>0.12144031133643192</v>
      </c>
      <c r="F5" s="17">
        <f>IF(D5="","",Meta)</f>
        <v>0.08</v>
      </c>
    </row>
    <row r="6" spans="2:20" x14ac:dyDescent="0.25">
      <c r="B6" s="18">
        <v>42647</v>
      </c>
      <c r="C6" s="19" t="s">
        <v>1</v>
      </c>
      <c r="D6" s="17">
        <v>0.106625191554809</v>
      </c>
      <c r="E6" s="17">
        <f t="shared" ref="E6:E23" si="0">IF(D6="","",AVERAGE($D$5:$D$23))</f>
        <v>0.12144031133643192</v>
      </c>
      <c r="F6" s="17">
        <f t="shared" ref="F6:F23" si="1">IF(D6="","",Meta)</f>
        <v>0.08</v>
      </c>
    </row>
    <row r="7" spans="2:20" x14ac:dyDescent="0.25">
      <c r="B7" s="15">
        <v>42648</v>
      </c>
      <c r="C7" s="16" t="s">
        <v>2</v>
      </c>
      <c r="D7" s="17">
        <v>8.5054810989319607E-2</v>
      </c>
      <c r="E7" s="17">
        <f t="shared" si="0"/>
        <v>0.12144031133643192</v>
      </c>
      <c r="F7" s="17">
        <f t="shared" si="1"/>
        <v>0.08</v>
      </c>
      <c r="S7" s="24"/>
      <c r="T7" s="23"/>
    </row>
    <row r="8" spans="2:20" x14ac:dyDescent="0.25">
      <c r="B8" s="18">
        <v>42649</v>
      </c>
      <c r="C8" s="19" t="s">
        <v>3</v>
      </c>
      <c r="D8" s="17">
        <v>0.10081741357504199</v>
      </c>
      <c r="E8" s="17">
        <f t="shared" si="0"/>
        <v>0.12144031133643192</v>
      </c>
      <c r="F8" s="17">
        <f t="shared" si="1"/>
        <v>0.08</v>
      </c>
      <c r="T8" s="23"/>
    </row>
    <row r="9" spans="2:20" x14ac:dyDescent="0.25">
      <c r="B9" s="15">
        <v>42650</v>
      </c>
      <c r="C9" s="16" t="s">
        <v>4</v>
      </c>
      <c r="D9" s="17">
        <v>0.103119124293785</v>
      </c>
      <c r="E9" s="17">
        <f t="shared" si="0"/>
        <v>0.12144031133643192</v>
      </c>
      <c r="F9" s="17">
        <f t="shared" si="1"/>
        <v>0.08</v>
      </c>
    </row>
    <row r="10" spans="2:20" x14ac:dyDescent="0.25">
      <c r="B10" s="18">
        <v>42653</v>
      </c>
      <c r="C10" s="19" t="s">
        <v>0</v>
      </c>
      <c r="D10" s="17">
        <v>8.4741157013060495E-2</v>
      </c>
      <c r="E10" s="17">
        <f t="shared" si="0"/>
        <v>0.12144031133643192</v>
      </c>
      <c r="F10" s="17">
        <f t="shared" si="1"/>
        <v>0.08</v>
      </c>
    </row>
    <row r="11" spans="2:20" x14ac:dyDescent="0.25">
      <c r="B11" s="15">
        <v>42654</v>
      </c>
      <c r="C11" s="16" t="s">
        <v>1</v>
      </c>
      <c r="D11" s="17">
        <v>8.8112823679727198E-2</v>
      </c>
      <c r="E11" s="17">
        <f t="shared" si="0"/>
        <v>0.12144031133643192</v>
      </c>
      <c r="F11" s="17">
        <f t="shared" si="1"/>
        <v>0.08</v>
      </c>
    </row>
    <row r="12" spans="2:20" x14ac:dyDescent="0.25">
      <c r="B12" s="15">
        <v>42656</v>
      </c>
      <c r="C12" s="19" t="s">
        <v>3</v>
      </c>
      <c r="D12" s="17">
        <v>0.107431860448608</v>
      </c>
      <c r="E12" s="17">
        <f t="shared" si="0"/>
        <v>0.12144031133643192</v>
      </c>
      <c r="F12" s="17">
        <f t="shared" si="1"/>
        <v>0.08</v>
      </c>
    </row>
    <row r="13" spans="2:20" s="12" customFormat="1" ht="15" customHeight="1" x14ac:dyDescent="0.25">
      <c r="B13" s="20">
        <v>42660</v>
      </c>
      <c r="C13" s="21" t="s">
        <v>0</v>
      </c>
      <c r="D13" s="17">
        <v>0.127862962805224</v>
      </c>
      <c r="E13" s="17">
        <f t="shared" si="0"/>
        <v>0.12144031133643192</v>
      </c>
      <c r="F13" s="17">
        <f t="shared" si="1"/>
        <v>0.08</v>
      </c>
    </row>
    <row r="14" spans="2:20" x14ac:dyDescent="0.25">
      <c r="B14" s="22">
        <v>42661</v>
      </c>
      <c r="C14" s="19" t="s">
        <v>1</v>
      </c>
      <c r="D14" s="17">
        <v>0.13932662123793199</v>
      </c>
      <c r="E14" s="17">
        <f t="shared" si="0"/>
        <v>0.12144031133643192</v>
      </c>
      <c r="F14" s="17">
        <f t="shared" si="1"/>
        <v>0.08</v>
      </c>
    </row>
    <row r="15" spans="2:20" x14ac:dyDescent="0.25">
      <c r="B15" s="22">
        <v>42662</v>
      </c>
      <c r="C15" s="19" t="s">
        <v>2</v>
      </c>
      <c r="D15" s="17">
        <v>0.13932662123793199</v>
      </c>
      <c r="E15" s="17">
        <f t="shared" si="0"/>
        <v>0.12144031133643192</v>
      </c>
      <c r="F15" s="17">
        <f t="shared" si="1"/>
        <v>0.08</v>
      </c>
    </row>
    <row r="16" spans="2:20" x14ac:dyDescent="0.25">
      <c r="B16" s="22">
        <v>42663</v>
      </c>
      <c r="C16" s="19" t="s">
        <v>3</v>
      </c>
      <c r="D16" s="17">
        <v>0.13932662123793199</v>
      </c>
      <c r="E16" s="17">
        <f t="shared" si="0"/>
        <v>0.12144031133643192</v>
      </c>
      <c r="F16" s="17">
        <f t="shared" si="1"/>
        <v>0.08</v>
      </c>
    </row>
    <row r="17" spans="2:6" x14ac:dyDescent="0.25">
      <c r="B17" s="22">
        <v>42664</v>
      </c>
      <c r="C17" s="19" t="s">
        <v>4</v>
      </c>
      <c r="D17" s="17">
        <v>0.13932662123793199</v>
      </c>
      <c r="E17" s="17">
        <f t="shared" si="0"/>
        <v>0.12144031133643192</v>
      </c>
      <c r="F17" s="17">
        <f t="shared" si="1"/>
        <v>0.08</v>
      </c>
    </row>
    <row r="18" spans="2:6" x14ac:dyDescent="0.25">
      <c r="B18" s="22">
        <v>42667</v>
      </c>
      <c r="C18" s="19" t="s">
        <v>0</v>
      </c>
      <c r="D18" s="17">
        <v>0.13932662123793199</v>
      </c>
      <c r="E18" s="17">
        <f t="shared" si="0"/>
        <v>0.12144031133643192</v>
      </c>
      <c r="F18" s="17">
        <f t="shared" si="1"/>
        <v>0.08</v>
      </c>
    </row>
    <row r="19" spans="2:6" x14ac:dyDescent="0.25">
      <c r="B19" s="22">
        <v>42668</v>
      </c>
      <c r="C19" s="19" t="s">
        <v>1</v>
      </c>
      <c r="D19" s="17">
        <v>0.13932662123793199</v>
      </c>
      <c r="E19" s="17">
        <f t="shared" si="0"/>
        <v>0.12144031133643192</v>
      </c>
      <c r="F19" s="17">
        <f t="shared" si="1"/>
        <v>0.08</v>
      </c>
    </row>
    <row r="20" spans="2:6" x14ac:dyDescent="0.25">
      <c r="B20" s="22">
        <v>42669</v>
      </c>
      <c r="C20" s="19" t="s">
        <v>2</v>
      </c>
      <c r="D20" s="17">
        <v>0.13932662123793199</v>
      </c>
      <c r="E20" s="17">
        <f t="shared" si="0"/>
        <v>0.12144031133643192</v>
      </c>
      <c r="F20" s="17">
        <f t="shared" si="1"/>
        <v>0.08</v>
      </c>
    </row>
    <row r="21" spans="2:6" x14ac:dyDescent="0.25">
      <c r="B21" s="22">
        <v>42670</v>
      </c>
      <c r="C21" s="19" t="s">
        <v>3</v>
      </c>
      <c r="D21" s="17">
        <v>0.13932662123793199</v>
      </c>
      <c r="E21" s="17">
        <f t="shared" si="0"/>
        <v>0.12144031133643192</v>
      </c>
      <c r="F21" s="17">
        <f t="shared" si="1"/>
        <v>0.08</v>
      </c>
    </row>
    <row r="22" spans="2:6" x14ac:dyDescent="0.25">
      <c r="B22" s="22">
        <v>42671</v>
      </c>
      <c r="C22" s="19" t="s">
        <v>4</v>
      </c>
      <c r="D22" s="17">
        <v>0.13932662123793199</v>
      </c>
      <c r="E22" s="17">
        <f t="shared" si="0"/>
        <v>0.12144031133643192</v>
      </c>
      <c r="F22" s="17">
        <f t="shared" si="1"/>
        <v>0.08</v>
      </c>
    </row>
    <row r="23" spans="2:6" x14ac:dyDescent="0.25">
      <c r="B23" s="22">
        <v>42674</v>
      </c>
      <c r="C23" s="19" t="s">
        <v>0</v>
      </c>
      <c r="D23" s="17">
        <v>0.13932662123793199</v>
      </c>
      <c r="E23" s="17">
        <f t="shared" si="0"/>
        <v>0.12144031133643192</v>
      </c>
      <c r="F23" s="17">
        <f t="shared" si="1"/>
        <v>0.08</v>
      </c>
    </row>
  </sheetData>
  <mergeCells count="1">
    <mergeCell ref="B4:C4"/>
  </mergeCells>
  <conditionalFormatting sqref="B5:D23">
    <cfRule type="expression" dxfId="5" priority="5">
      <formula>MOD(ROW(),2)=0</formula>
    </cfRule>
    <cfRule type="expression" dxfId="4" priority="6">
      <formula>MOD(ROW(),2)=1</formula>
    </cfRule>
  </conditionalFormatting>
  <conditionalFormatting sqref="E5:E23">
    <cfRule type="expression" dxfId="3" priority="3">
      <formula>MOD(ROW(),2)=0</formula>
    </cfRule>
    <cfRule type="expression" dxfId="2" priority="4">
      <formula>MOD(ROW(),2)=1</formula>
    </cfRule>
  </conditionalFormatting>
  <conditionalFormatting sqref="F5:F23">
    <cfRule type="expression" dxfId="1" priority="1">
      <formula>MOD(ROW(),2)=0</formula>
    </cfRule>
    <cfRule type="expression" dxfId="0" priority="2">
      <formula>MOD(ROW(),2)=1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2:F25"/>
  <sheetViews>
    <sheetView showGridLines="0" workbookViewId="0">
      <selection activeCell="F5" sqref="F5"/>
    </sheetView>
  </sheetViews>
  <sheetFormatPr defaultRowHeight="15" x14ac:dyDescent="0.25"/>
  <cols>
    <col min="2" max="2" width="38.140625" bestFit="1" customWidth="1"/>
    <col min="3" max="3" width="14.140625" style="1" bestFit="1" customWidth="1"/>
    <col min="4" max="4" width="13.28515625" style="1" bestFit="1" customWidth="1"/>
    <col min="5" max="5" width="18" style="1" bestFit="1" customWidth="1"/>
    <col min="6" max="6" width="16" style="1" bestFit="1" customWidth="1"/>
  </cols>
  <sheetData>
    <row r="2" spans="1:6" x14ac:dyDescent="0.25">
      <c r="B2" s="3" t="e">
        <f>Consolidado!#REF!</f>
        <v>#REF!</v>
      </c>
    </row>
    <row r="4" spans="1:6" s="2" customFormat="1" x14ac:dyDescent="0.25">
      <c r="B4" s="5" t="s">
        <v>6</v>
      </c>
      <c r="C4" s="1" t="s">
        <v>5</v>
      </c>
      <c r="D4" s="1" t="s">
        <v>7</v>
      </c>
      <c r="E4" s="1" t="s">
        <v>9</v>
      </c>
      <c r="F4" s="1" t="s">
        <v>10</v>
      </c>
    </row>
    <row r="5" spans="1:6" x14ac:dyDescent="0.25">
      <c r="B5" s="4" t="e">
        <f>IF(Consolidado!#REF!="","",Consolidado!#REF!)</f>
        <v>#REF!</v>
      </c>
      <c r="C5" s="6" t="e">
        <f>IF(B5="","",COUNTIFS(#REF!,$B$2,#REF!,"ATIVO"))</f>
        <v>#REF!</v>
      </c>
      <c r="D5" s="6" t="e">
        <f t="shared" ref="D5:D24" si="0">IF(B5="","",ROUNDDOWN(AVERAGE($F$5:$F$24),0))</f>
        <v>#REF!</v>
      </c>
      <c r="E5" s="6" t="e">
        <f>IF(B5="","",ROUNDDOWN(AVERAGE(Consolidado!#REF!),0))</f>
        <v>#REF!</v>
      </c>
      <c r="F5" s="1" t="e">
        <f>IF(B5="","",VLOOKUP($B$2,Consolidado!#REF!,6,FALSE))</f>
        <v>#REF!</v>
      </c>
    </row>
    <row r="6" spans="1:6" x14ac:dyDescent="0.25">
      <c r="B6" s="4" t="e">
        <f>IF(Consolidado!#REF!="","",Consolidado!#REF!)</f>
        <v>#REF!</v>
      </c>
      <c r="C6" s="6" t="e">
        <f>IF(B6="","",COUNTIFS(#REF!,$B$2,#REF!,"ATIVO"))</f>
        <v>#REF!</v>
      </c>
      <c r="D6" s="6" t="e">
        <f t="shared" si="0"/>
        <v>#REF!</v>
      </c>
      <c r="E6" s="6" t="e">
        <f>IF(B6="","",ROUNDDOWN(AVERAGE(Consolidado!#REF!),0))</f>
        <v>#REF!</v>
      </c>
      <c r="F6" s="1" t="e">
        <f>IF(B6="","",VLOOKUP($B$2,Consolidado!#REF!,7,FALSE))</f>
        <v>#REF!</v>
      </c>
    </row>
    <row r="7" spans="1:6" x14ac:dyDescent="0.25">
      <c r="A7" s="7"/>
      <c r="B7" s="4" t="e">
        <f>IF(Consolidado!#REF!="","",Consolidado!#REF!)</f>
        <v>#REF!</v>
      </c>
      <c r="C7" s="6" t="e">
        <f>IF(B7="","",COUNTIFS(#REF!,$B$2,#REF!,"ATIVO"))</f>
        <v>#REF!</v>
      </c>
      <c r="D7" s="6" t="e">
        <f t="shared" si="0"/>
        <v>#REF!</v>
      </c>
      <c r="E7" s="6" t="e">
        <f>IF(B7="","",ROUNDDOWN(AVERAGE(Consolidado!#REF!),0))</f>
        <v>#REF!</v>
      </c>
      <c r="F7" s="1" t="e">
        <f>IF(B7="","",VLOOKUP($B$2,Consolidado!#REF!,8,FALSE))</f>
        <v>#REF!</v>
      </c>
    </row>
    <row r="8" spans="1:6" x14ac:dyDescent="0.25">
      <c r="A8" s="7"/>
      <c r="B8" s="4" t="e">
        <f>IF(Consolidado!#REF!="","",Consolidado!#REF!)</f>
        <v>#REF!</v>
      </c>
      <c r="C8" s="6" t="e">
        <f>IF(B8="","",COUNTIFS(#REF!,$B$2,#REF!,"ATIVO"))</f>
        <v>#REF!</v>
      </c>
      <c r="D8" s="6" t="e">
        <f t="shared" si="0"/>
        <v>#REF!</v>
      </c>
      <c r="E8" s="6" t="e">
        <f>IF(B8="","",ROUNDDOWN(AVERAGE(Consolidado!#REF!),0))</f>
        <v>#REF!</v>
      </c>
      <c r="F8" s="1" t="e">
        <f>IF(B8="","",VLOOKUP($B$2,Consolidado!#REF!,9,FALSE))</f>
        <v>#REF!</v>
      </c>
    </row>
    <row r="9" spans="1:6" x14ac:dyDescent="0.25">
      <c r="A9" s="7"/>
      <c r="B9" s="4" t="e">
        <f>IF(Consolidado!#REF!="","",Consolidado!#REF!)</f>
        <v>#REF!</v>
      </c>
      <c r="C9" s="6" t="e">
        <f>IF(B9="","",COUNTIFS(#REF!,$B$2,#REF!,"ATIVO"))</f>
        <v>#REF!</v>
      </c>
      <c r="D9" s="6" t="e">
        <f t="shared" si="0"/>
        <v>#REF!</v>
      </c>
      <c r="E9" s="6" t="e">
        <f>IF(B9="","",ROUNDDOWN(AVERAGE(Consolidado!#REF!),0))</f>
        <v>#REF!</v>
      </c>
      <c r="F9" s="1" t="e">
        <f>IF(B9="","",VLOOKUP($B$2,Consolidado!#REF!,10,FALSE))</f>
        <v>#REF!</v>
      </c>
    </row>
    <row r="10" spans="1:6" x14ac:dyDescent="0.25">
      <c r="A10" s="7"/>
      <c r="B10" s="4" t="e">
        <f>IF(Consolidado!#REF!="","",Consolidado!#REF!)</f>
        <v>#REF!</v>
      </c>
      <c r="C10" s="6" t="e">
        <f>IF(B10="","",COUNTIFS(#REF!,$B$2,#REF!,"ATIVO"))</f>
        <v>#REF!</v>
      </c>
      <c r="D10" s="6" t="e">
        <f t="shared" si="0"/>
        <v>#REF!</v>
      </c>
      <c r="E10" s="6" t="e">
        <f>IF(B10="","",ROUNDDOWN(AVERAGE(Consolidado!#REF!),0))</f>
        <v>#REF!</v>
      </c>
      <c r="F10" s="1" t="e">
        <f>IF(B10="","",VLOOKUP($B$2,Consolidado!#REF!,11,FALSE))</f>
        <v>#REF!</v>
      </c>
    </row>
    <row r="11" spans="1:6" x14ac:dyDescent="0.25">
      <c r="A11" s="7"/>
      <c r="B11" s="4" t="e">
        <f>IF(Consolidado!#REF!="","",Consolidado!#REF!)</f>
        <v>#REF!</v>
      </c>
      <c r="C11" s="6" t="e">
        <f>IF(B11="","",COUNTIFS(#REF!,$B$2,#REF!,"ATIVO"))</f>
        <v>#REF!</v>
      </c>
      <c r="D11" s="6" t="e">
        <f t="shared" si="0"/>
        <v>#REF!</v>
      </c>
      <c r="E11" s="6" t="e">
        <f>IF(B11="","",ROUNDDOWN(AVERAGE(Consolidado!#REF!),0))</f>
        <v>#REF!</v>
      </c>
      <c r="F11" s="1" t="e">
        <f>IF(B11="","",VLOOKUP($B$2,Consolidado!#REF!,12,FALSE))</f>
        <v>#REF!</v>
      </c>
    </row>
    <row r="12" spans="1:6" x14ac:dyDescent="0.25">
      <c r="A12" s="7"/>
      <c r="B12" s="4" t="e">
        <f>IF(Consolidado!#REF!="","",Consolidado!#REF!)</f>
        <v>#REF!</v>
      </c>
      <c r="C12" s="6" t="e">
        <f>IF(B12="","",COUNTIFS(#REF!,$B$2,#REF!,"ATIVO"))</f>
        <v>#REF!</v>
      </c>
      <c r="D12" s="6" t="e">
        <f t="shared" si="0"/>
        <v>#REF!</v>
      </c>
      <c r="E12" s="6" t="e">
        <f>IF(B12="","",ROUNDDOWN(AVERAGE(Consolidado!#REF!),0))</f>
        <v>#REF!</v>
      </c>
      <c r="F12" s="1" t="e">
        <f>IF(B12="","",VLOOKUP($B$2,Consolidado!#REF!,13,FALSE))</f>
        <v>#REF!</v>
      </c>
    </row>
    <row r="13" spans="1:6" x14ac:dyDescent="0.25">
      <c r="A13" s="7"/>
      <c r="B13" s="4" t="e">
        <f>IF(Consolidado!#REF!="","",Consolidado!#REF!)</f>
        <v>#REF!</v>
      </c>
      <c r="C13" s="6" t="e">
        <f>IF(B13="","",COUNTIFS(#REF!,$B$2,#REF!,"ATIVO"))</f>
        <v>#REF!</v>
      </c>
      <c r="D13" s="6" t="e">
        <f t="shared" si="0"/>
        <v>#REF!</v>
      </c>
      <c r="E13" s="6" t="e">
        <f>IF(B13="","",ROUNDDOWN(AVERAGE(Consolidado!#REF!),0))</f>
        <v>#REF!</v>
      </c>
      <c r="F13" s="1" t="e">
        <f>IF(B13="","",VLOOKUP($B$2,Consolidado!#REF!,14,FALSE))</f>
        <v>#REF!</v>
      </c>
    </row>
    <row r="14" spans="1:6" x14ac:dyDescent="0.25">
      <c r="A14" s="7"/>
      <c r="B14" s="4" t="e">
        <f>IF(Consolidado!#REF!="","",Consolidado!#REF!)</f>
        <v>#REF!</v>
      </c>
      <c r="C14" s="6" t="e">
        <f>IF(B14="","",COUNTIFS(#REF!,$B$2,#REF!,"ATIVO"))</f>
        <v>#REF!</v>
      </c>
      <c r="D14" s="6" t="e">
        <f t="shared" si="0"/>
        <v>#REF!</v>
      </c>
      <c r="E14" s="6" t="e">
        <f>IF(B14="","",ROUNDDOWN(AVERAGE(Consolidado!#REF!),0))</f>
        <v>#REF!</v>
      </c>
      <c r="F14" s="1" t="e">
        <f>IF(B14="","",VLOOKUP($B$2,Consolidado!#REF!,15,FALSE))</f>
        <v>#REF!</v>
      </c>
    </row>
    <row r="15" spans="1:6" x14ac:dyDescent="0.25">
      <c r="A15" s="7"/>
      <c r="B15" s="4" t="e">
        <f>IF(Consolidado!#REF!="","",Consolidado!#REF!)</f>
        <v>#REF!</v>
      </c>
      <c r="C15" s="6" t="e">
        <f>IF(B15="","",COUNTIFS(#REF!,$B$2,#REF!,"ATIVO"))</f>
        <v>#REF!</v>
      </c>
      <c r="D15" s="6" t="e">
        <f t="shared" si="0"/>
        <v>#REF!</v>
      </c>
      <c r="E15" s="6" t="e">
        <f>IF(B15="","",ROUNDDOWN(AVERAGE(Consolidado!#REF!),0))</f>
        <v>#REF!</v>
      </c>
      <c r="F15" s="1" t="e">
        <f>IF(B15="","",VLOOKUP($B$2,Consolidado!#REF!,16,FALSE))</f>
        <v>#REF!</v>
      </c>
    </row>
    <row r="16" spans="1:6" x14ac:dyDescent="0.25">
      <c r="A16" s="7"/>
      <c r="B16" s="4" t="e">
        <f>IF(Consolidado!#REF!="","",Consolidado!#REF!)</f>
        <v>#REF!</v>
      </c>
      <c r="C16" s="6" t="e">
        <f>IF(B16="","",COUNTIFS(#REF!,$B$2,#REF!,"ATIVO"))</f>
        <v>#REF!</v>
      </c>
      <c r="D16" s="6" t="e">
        <f t="shared" si="0"/>
        <v>#REF!</v>
      </c>
      <c r="E16" s="6" t="e">
        <f>IF(B16="","",ROUNDDOWN(AVERAGE(Consolidado!#REF!),0))</f>
        <v>#REF!</v>
      </c>
      <c r="F16" s="1" t="e">
        <f>IF(B16="","",VLOOKUP($B$2,Consolidado!#REF!,17,FALSE))</f>
        <v>#REF!</v>
      </c>
    </row>
    <row r="17" spans="1:6" x14ac:dyDescent="0.25">
      <c r="A17" s="7"/>
      <c r="B17" s="4" t="e">
        <f>IF(Consolidado!#REF!="","",Consolidado!#REF!)</f>
        <v>#REF!</v>
      </c>
      <c r="C17" s="6" t="e">
        <f>IF(B17="","",COUNTIFS(#REF!,$B$2,#REF!,"ATIVO"))</f>
        <v>#REF!</v>
      </c>
      <c r="D17" s="6" t="e">
        <f t="shared" si="0"/>
        <v>#REF!</v>
      </c>
      <c r="E17" s="6" t="e">
        <f>IF(B17="","",ROUNDDOWN(AVERAGE(Consolidado!#REF!),0))</f>
        <v>#REF!</v>
      </c>
      <c r="F17" s="1" t="e">
        <f>IF(B17="","",VLOOKUP($B$2,Consolidado!#REF!,18,FALSE))</f>
        <v>#REF!</v>
      </c>
    </row>
    <row r="18" spans="1:6" x14ac:dyDescent="0.25">
      <c r="A18" s="7"/>
      <c r="B18" s="4" t="e">
        <f>IF(Consolidado!#REF!="","",Consolidado!#REF!)</f>
        <v>#REF!</v>
      </c>
      <c r="C18" s="6" t="e">
        <f>IF(B18="","",COUNTIFS(#REF!,$B$2,#REF!,"ATIVO"))</f>
        <v>#REF!</v>
      </c>
      <c r="D18" s="6" t="e">
        <f t="shared" si="0"/>
        <v>#REF!</v>
      </c>
      <c r="E18" s="6" t="e">
        <f>IF(B18="","",ROUNDDOWN(AVERAGE(Consolidado!#REF!),0))</f>
        <v>#REF!</v>
      </c>
      <c r="F18" s="1" t="e">
        <f>IF(B18="","",VLOOKUP($B$2,Consolidado!#REF!,19,FALSE))</f>
        <v>#REF!</v>
      </c>
    </row>
    <row r="19" spans="1:6" x14ac:dyDescent="0.25">
      <c r="A19" s="7"/>
      <c r="B19" s="4" t="e">
        <f>IF(Consolidado!#REF!="","",Consolidado!#REF!)</f>
        <v>#REF!</v>
      </c>
      <c r="C19" s="6" t="e">
        <f>IF(B19="","",COUNTIFS(#REF!,$B$2,#REF!,"ATIVO"))</f>
        <v>#REF!</v>
      </c>
      <c r="D19" s="6" t="e">
        <f t="shared" si="0"/>
        <v>#REF!</v>
      </c>
      <c r="E19" s="6" t="e">
        <f>IF(B19="","",ROUNDDOWN(AVERAGE(Consolidado!#REF!),0))</f>
        <v>#REF!</v>
      </c>
      <c r="F19" s="1" t="e">
        <f>IF(B19="","",VLOOKUP($B$2,Consolidado!#REF!,20,FALSE))</f>
        <v>#REF!</v>
      </c>
    </row>
    <row r="20" spans="1:6" x14ac:dyDescent="0.25">
      <c r="A20" s="7"/>
      <c r="B20" s="4" t="e">
        <f>IF(Consolidado!#REF!="","",Consolidado!#REF!)</f>
        <v>#REF!</v>
      </c>
      <c r="C20" s="6" t="e">
        <f>IF(B20="","",COUNTIFS(#REF!,$B$2,#REF!,"ATIVO"))</f>
        <v>#REF!</v>
      </c>
      <c r="D20" s="6" t="e">
        <f t="shared" si="0"/>
        <v>#REF!</v>
      </c>
      <c r="E20" s="6" t="e">
        <f>IF(B20="","",ROUNDDOWN(AVERAGE(Consolidado!#REF!),0))</f>
        <v>#REF!</v>
      </c>
      <c r="F20" s="1" t="e">
        <f>IF(B20="","",VLOOKUP($B$2,Consolidado!#REF!,21,FALSE))</f>
        <v>#REF!</v>
      </c>
    </row>
    <row r="21" spans="1:6" x14ac:dyDescent="0.25">
      <c r="A21" s="7"/>
      <c r="B21" s="4" t="e">
        <f>IF(Consolidado!#REF!="","",Consolidado!#REF!)</f>
        <v>#REF!</v>
      </c>
      <c r="C21" s="6" t="e">
        <f>IF(B21="","",COUNTIFS(#REF!,$B$2,#REF!,"ATIVO"))</f>
        <v>#REF!</v>
      </c>
      <c r="D21" s="6" t="e">
        <f t="shared" si="0"/>
        <v>#REF!</v>
      </c>
      <c r="E21" s="6" t="e">
        <f>IF(B21="","",ROUNDDOWN(AVERAGE(Consolidado!#REF!),0))</f>
        <v>#REF!</v>
      </c>
      <c r="F21" s="1" t="e">
        <f>IF(B21="","",VLOOKUP($B$2,Consolidado!#REF!,22,FALSE))</f>
        <v>#REF!</v>
      </c>
    </row>
    <row r="22" spans="1:6" x14ac:dyDescent="0.25">
      <c r="B22" s="4" t="e">
        <f>IF(Consolidado!#REF!="","",Consolidado!#REF!)</f>
        <v>#REF!</v>
      </c>
      <c r="C22" s="6" t="e">
        <f>IF(B22="","",COUNTIFS(#REF!,$B$2,#REF!,"ATIVO"))</f>
        <v>#REF!</v>
      </c>
      <c r="D22" s="6" t="e">
        <f t="shared" si="0"/>
        <v>#REF!</v>
      </c>
      <c r="E22" s="6" t="e">
        <f>IF(B22="","",ROUNDDOWN(AVERAGE(Consolidado!#REF!),0))</f>
        <v>#REF!</v>
      </c>
      <c r="F22" s="1" t="e">
        <f>IF(B22="","",VLOOKUP($B$2,Consolidado!#REF!,23,FALSE))</f>
        <v>#REF!</v>
      </c>
    </row>
    <row r="23" spans="1:6" x14ac:dyDescent="0.25">
      <c r="B23" s="4" t="e">
        <f>IF(Consolidado!#REF!="","",Consolidado!#REF!)</f>
        <v>#REF!</v>
      </c>
      <c r="C23" s="6" t="e">
        <f>IF(B23="","",COUNTIFS(#REF!,$B$2,#REF!,"ATIVO"))</f>
        <v>#REF!</v>
      </c>
      <c r="D23" s="6" t="e">
        <f t="shared" si="0"/>
        <v>#REF!</v>
      </c>
      <c r="E23" s="6" t="e">
        <f>IF(B23="","",ROUNDDOWN(AVERAGE(Consolidado!#REF!),0))</f>
        <v>#REF!</v>
      </c>
      <c r="F23" s="1" t="e">
        <f>IF(B23="","",VLOOKUP($B$2,Consolidado!#REF!,24,FALSE))</f>
        <v>#REF!</v>
      </c>
    </row>
    <row r="24" spans="1:6" x14ac:dyDescent="0.25">
      <c r="B24" s="4" t="e">
        <f>IF(Consolidado!#REF!="","",Consolidado!#REF!)</f>
        <v>#REF!</v>
      </c>
      <c r="C24" s="6" t="e">
        <f>IF(B24="","",COUNTIFS(#REF!,$B$2,#REF!,"ATIVO"))</f>
        <v>#REF!</v>
      </c>
      <c r="D24" s="6" t="e">
        <f t="shared" si="0"/>
        <v>#REF!</v>
      </c>
      <c r="E24" s="6" t="e">
        <f>IF(B24="","",ROUNDDOWN(AVERAGE(Consolidado!#REF!),0))</f>
        <v>#REF!</v>
      </c>
      <c r="F24" s="1" t="e">
        <f>IF(B24="","",VLOOKUP($B$2,Consolidado!#REF!,25,FALSE))</f>
        <v>#REF!</v>
      </c>
    </row>
    <row r="25" spans="1:6" x14ac:dyDescent="0.25">
      <c r="B25" s="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Pages>0</Pages>
  <Words>0</Words>
  <Characters>0</Characters>
  <Application>Microsoft Excel</Application>
  <DocSecurity>0</DocSecurity>
  <Lines>0</Lines>
  <Paragraphs>0</Paragraphs>
  <Slides>0</Slides>
  <Notes>0</Notes>
  <HiddenSlides>0</HiddenSlides>
  <MMClips>0</MMClips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Consolidado</vt:lpstr>
      <vt:lpstr>Gráficos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Flavio Moraes Prestes</dc:creator>
  <cp:lastModifiedBy>Ivanildo Junior</cp:lastModifiedBy>
  <dcterms:created xsi:type="dcterms:W3CDTF">2016-10-13T11:19:58Z</dcterms:created>
  <dcterms:modified xsi:type="dcterms:W3CDTF">2017-12-11T01:12:59Z</dcterms:modified>
</cp:coreProperties>
</file>