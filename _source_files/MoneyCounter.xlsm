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Junior &amp; Cris\Documents\1 ARQUIVOS DO EXCEL\"/>
    </mc:Choice>
  </mc:AlternateContent>
  <bookViews>
    <workbookView xWindow="0" yWindow="0" windowWidth="20490" windowHeight="8115" xr2:uid="{629CCBA3-D530-4AA2-BEDD-8E8DEBDD9481}"/>
  </bookViews>
  <sheets>
    <sheet name="Sheet_Contagem" sheetId="2" r:id="rId1"/>
  </sheets>
  <externalReferences>
    <externalReference r:id="rId2"/>
  </externalReferences>
  <definedNames>
    <definedName name="nDESC">OFFSET([1]Listas_Apoio!$C$1,1,0,COUNTA([1]Listas_Apoio!$C:$C)-1,1)</definedName>
    <definedName name="nDESC2">OFFSET([1]Listas_Apoio!$C$2,1,0,COUNTA([1]Listas_Apoio!$C:$C)-2,1)</definedName>
    <definedName name="nLancs">OFFSET([1]Listas_Apoio!$A$1,1,0,COUNTA([1]Listas_Apoio!$A:$A)-1,1)</definedName>
    <definedName name="nPGTO">OFFSET([1]Listas_Apoio!$B$1,1,0,COUNTA([1]Listas_Apoio!$B:$B)-1,1)</definedName>
    <definedName name="rngData">[1]Menu!$A$1</definedName>
    <definedName name="rngDia">[1]Menu!$E$1</definedName>
    <definedName name="rngTXT">[1]Menu!$F$1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2" l="1" a="1"/>
  <c r="D2" i="2"/>
  <c r="D3" i="2" a="1"/>
  <c r="D3" i="2"/>
  <c r="D4" i="2"/>
</calcChain>
</file>

<file path=xl/sharedStrings.xml><?xml version="1.0" encoding="utf-8"?>
<sst xmlns="http://schemas.openxmlformats.org/spreadsheetml/2006/main" count="5" uniqueCount="5">
  <si>
    <t>MOEDA</t>
  </si>
  <si>
    <t>CÉDULA</t>
  </si>
  <si>
    <t>TOTAL</t>
  </si>
  <si>
    <t>NOTA / CÉDULA</t>
  </si>
  <si>
    <t>QUANTIDADE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</si>
</sst>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R$&quot;* #,##0.00_);_(&quot;R$&quot;* \(#,##0.00\);_(&quot;R$&quot;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</fills>
  <borders count="4">
    <border>
      <left/>
      <right/>
      <top/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1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NumberFormat="1" applyFont="1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164" fontId="3" fillId="0" borderId="2" xfId="0" applyNumberFormat="1" applyFont="1" applyBorder="1"/>
    <xf numFmtId="164" fontId="1" fillId="0" borderId="0" xfId="0" applyNumberFormat="1" applyFont="1"/>
    <xf numFmtId="0" fontId="4" fillId="0" borderId="0" xfId="0" applyNumberFormat="1" applyFont="1" applyAlignment="1">
      <alignment vertical="center"/>
    </xf>
    <xf numFmtId="164" fontId="0" fillId="0" borderId="0" xfId="0" applyNumberFormat="1"/>
    <xf numFmtId="0" fontId="2" fillId="2" borderId="3" xfId="0" applyFont="1" applyFill="1" applyBorder="1" applyAlignment="1">
      <alignment horizontal="center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Alignment="1">
      <alignment horizontal="center"/>
    </xf>
  </cellXfs>
  <cellStyles count="1">
    <cellStyle name="Normal" xfId="0" builtinId="0"/>
  </cellStyles>
  <dxfs count="5"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164" formatCode="_(&quot;R$&quot;* #,##0.00_);_(&quot;R$&quot;* \(#,##0.00\);_(&quot;R$&quot;* &quot;-&quot;??_);_(@_)"/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171448</xdr:colOff>
      <xdr:row>0</xdr:row>
      <xdr:rowOff>28575</xdr:rowOff>
    </xdr:from>
    <xdr:to>
      <xdr:col>0</xdr:col>
      <xdr:colOff>1104899</xdr:colOff>
      <xdr:row>4</xdr:row>
      <xdr:rowOff>19050</xdr:rowOff>
    </xdr:to>
    <xdr:pic macro="[0]!ClearData">
      <xdr:nvPicPr>
        <xdr:cNvPr id="3" name="Gráfico 2" descr="Esfregão e balde">
          <a:extLst>
            <a:ext uri="{FF2B5EF4-FFF2-40B4-BE49-F238E27FC236}">
              <a16:creationId xmlns:a16="http://schemas.microsoft.com/office/drawing/2014/main" id="{C65C02E9-76C4-405B-BCCE-EB774288B1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1448" y="28575"/>
          <a:ext cx="933451" cy="9334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neDrive/RECEITAS%20E%20DESPESA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Lançamentos_Caixa"/>
      <sheetName val="Tabela_Pedidos"/>
      <sheetName val="Sheet_Contagem"/>
      <sheetName val="Tabela_Cartões"/>
      <sheetName val="Tabela_Despesas"/>
      <sheetName val="Listas_Apoio"/>
      <sheetName val="Tabela_Salário"/>
      <sheetName val="Base_SemanaDeVenda"/>
      <sheetName val="BELARA"/>
      <sheetName val="ORÇAMENTOS MOBÍLIA"/>
      <sheetName val="RECEITAS E DESPESAS"/>
    </sheetNames>
    <sheetDataSet>
      <sheetData sheetId="0">
        <row r="1">
          <cell r="A1">
            <v>43147</v>
          </cell>
          <cell r="E1" t="str">
            <v>Sexta-Feira</v>
          </cell>
          <cell r="F1" t="str">
            <v>16/02/18 - Sexta-Feira</v>
          </cell>
        </row>
      </sheetData>
      <sheetData sheetId="1" refreshError="1"/>
      <sheetData sheetId="2" refreshError="1"/>
      <sheetData sheetId="3"/>
      <sheetData sheetId="4" refreshError="1"/>
      <sheetData sheetId="5" refreshError="1"/>
      <sheetData sheetId="6">
        <row r="1">
          <cell r="A1" t="str">
            <v>LANÇAMENTOS</v>
          </cell>
          <cell r="B1" t="str">
            <v>PAGAMENTO</v>
          </cell>
          <cell r="C1" t="str">
            <v>DESCRIÇÃO</v>
          </cell>
        </row>
        <row r="2">
          <cell r="A2" t="str">
            <v>RECEITA</v>
          </cell>
          <cell r="B2" t="str">
            <v>DINHEIRO</v>
          </cell>
          <cell r="C2" t="str">
            <v>VENDA/50G</v>
          </cell>
        </row>
        <row r="3">
          <cell r="A3" t="str">
            <v>CUSTO</v>
          </cell>
          <cell r="B3" t="str">
            <v>CARTÃO</v>
          </cell>
          <cell r="C3" t="str">
            <v>PGTO PRODUTO</v>
          </cell>
        </row>
        <row r="4">
          <cell r="C4" t="str">
            <v>MANUTENÇÕES</v>
          </cell>
        </row>
        <row r="5">
          <cell r="C5" t="str">
            <v>GÁS</v>
          </cell>
        </row>
        <row r="6">
          <cell r="C6" t="str">
            <v>ENERGIA</v>
          </cell>
        </row>
        <row r="7">
          <cell r="C7" t="str">
            <v>LOCAÇÃO</v>
          </cell>
        </row>
        <row r="8">
          <cell r="C8" t="str">
            <v>EMBALAGENS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7414A5-FEDA-44D3-A9A9-634F123127E0}" name="tbContagem" displayName="tbContagem" ref="A6:B14" headerRowDxfId="4" headerRowBorderDxfId="3">
  <tableColumns count="2">
    <tableColumn id="1" xr3:uid="{386F106E-A6E9-422B-8B70-A36556CF6467}" name="NOTA / CÉDULA" totalsRowLabel=" TOTAL " dataDxfId="2"/>
    <tableColumn id="2" xr3:uid="{371133BC-93BC-4C9B-AA3E-A2D609E8B6DF}" name="QUANTIDADE" dataDxfId="0" totalsRowDxfId="1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7E8FD-D05B-4BF9-8D1E-71C4604992CB}">
  <sheetPr codeName="shContagem">
    <tabColor theme="3" tint="-0.499984740745262"/>
  </sheetPr>
  <dimension ref="A1:F14"/>
  <sheetViews>
    <sheetView showGridLines="0" tabSelected="1" zoomScaleNormal="100" workbookViewId="0">
      <selection activeCell="D4" sqref="D4"/>
    </sheetView>
  </sheetViews>
  <sheetFormatPr defaultColWidth="9.140625" defaultRowHeight="15" x14ac:dyDescent="0.25"/>
  <cols>
    <col min="1" max="1" width="19" style="2" customWidth="1"/>
    <col min="2" max="2" width="16.140625" style="2" customWidth="1"/>
    <col min="3" max="3" width="14.85546875" style="2" bestFit="1" customWidth="1"/>
    <col min="4" max="4" width="14.42578125" style="2" bestFit="1" customWidth="1"/>
    <col min="5" max="5" width="9.140625" style="2"/>
    <col min="6" max="6" width="9.5703125" style="2" bestFit="1" customWidth="1"/>
    <col min="7" max="16384" width="9.140625" style="2"/>
  </cols>
  <sheetData>
    <row r="1" spans="1:6" ht="15.75" thickBot="1" x14ac:dyDescent="0.3">
      <c r="A1" s="1"/>
      <c r="B1" s="1"/>
      <c r="C1" s="1"/>
      <c r="D1" s="1"/>
    </row>
    <row r="2" spans="1:6" ht="19.5" thickBot="1" x14ac:dyDescent="0.35">
      <c r="A2" s="1"/>
      <c r="B2" s="1"/>
      <c r="C2" s="3" t="s">
        <v>0</v>
      </c>
      <c r="D2" s="4">
        <f t="array" ref="D2">IFERROR(SUMPRODUCT(0+(IF(tbContagem[NOTA / CÉDULA]&lt;2,"MOEDA","CÉDULA")=C2),tbContagem[NOTA / CÉDULA],tbContagem[QUANTIDADE]),0)</f>
        <v>28.5</v>
      </c>
    </row>
    <row r="3" spans="1:6" ht="19.5" thickBot="1" x14ac:dyDescent="0.35">
      <c r="A3" s="1"/>
      <c r="B3" s="1"/>
      <c r="C3" s="3" t="s">
        <v>1</v>
      </c>
      <c r="D3" s="4">
        <f t="array" ref="D3">IFERROR(SUMPRODUCT(0+(IF(tbContagem[NOTA / CÉDULA]&lt;2,"MOEDA","CÉDULA")=C3),tbContagem[NOTA / CÉDULA],tbContagem[QUANTIDADE]),0)</f>
        <v>164</v>
      </c>
    </row>
    <row r="4" spans="1:6" ht="19.5" thickBot="1" x14ac:dyDescent="0.35">
      <c r="A4" s="1"/>
      <c r="B4" s="1"/>
      <c r="C4" s="3" t="s">
        <v>2</v>
      </c>
      <c r="D4" s="4">
        <f>IFERROR(SUMPRODUCT(tbContagem[QUANTIDADE]*tbContagem[NOTA / CÉDULA]),0)</f>
        <v>192.5</v>
      </c>
      <c r="F4" s="5"/>
    </row>
    <row r="5" spans="1:6" ht="15" customHeight="1" thickBot="1" x14ac:dyDescent="0.3">
      <c r="A5" s="6"/>
      <c r="B5" s="1"/>
      <c r="C5" s="1"/>
      <c r="D5" s="1"/>
    </row>
    <row r="6" spans="1:6" ht="15.75" thickBot="1" x14ac:dyDescent="0.3">
      <c r="A6" s="3" t="s">
        <v>3</v>
      </c>
      <c r="B6" s="8" t="s">
        <v>4</v>
      </c>
    </row>
    <row r="7" spans="1:6" x14ac:dyDescent="0.25">
      <c r="A7" s="7">
        <v>20</v>
      </c>
      <c r="B7" s="9">
        <v>2</v>
      </c>
    </row>
    <row r="8" spans="1:6" x14ac:dyDescent="0.25">
      <c r="A8" s="5">
        <v>10</v>
      </c>
      <c r="B8" s="10">
        <v>6</v>
      </c>
    </row>
    <row r="9" spans="1:6" x14ac:dyDescent="0.25">
      <c r="A9" s="5">
        <v>5</v>
      </c>
      <c r="B9" s="10">
        <v>10</v>
      </c>
    </row>
    <row r="10" spans="1:6" x14ac:dyDescent="0.25">
      <c r="A10" s="5">
        <v>2</v>
      </c>
      <c r="B10" s="10">
        <v>7</v>
      </c>
    </row>
    <row r="11" spans="1:6" x14ac:dyDescent="0.25">
      <c r="A11" s="5">
        <v>1</v>
      </c>
      <c r="B11" s="10">
        <v>14</v>
      </c>
    </row>
    <row r="12" spans="1:6" x14ac:dyDescent="0.25">
      <c r="A12" s="5">
        <v>0.5</v>
      </c>
      <c r="B12" s="10">
        <v>10</v>
      </c>
      <c r="C12" s="1"/>
      <c r="D12" s="1"/>
    </row>
    <row r="13" spans="1:6" x14ac:dyDescent="0.25">
      <c r="A13" s="5">
        <v>0.25</v>
      </c>
      <c r="B13" s="10">
        <v>20</v>
      </c>
      <c r="C13" s="1"/>
      <c r="D13" s="1"/>
    </row>
    <row r="14" spans="1:6" x14ac:dyDescent="0.25">
      <c r="A14" s="5">
        <v>0.5</v>
      </c>
      <c r="B14" s="10">
        <v>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Sheet_Contagem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2018-02-16T23:39:38Z</dcterms:created>
  <dcterms:modified xsi:type="dcterms:W3CDTF">2018-02-17T00:46:54Z</dcterms:modified>
</cp:coreProperties>
</file>