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unior&amp;Cris\Desktop\"/>
    </mc:Choice>
  </mc:AlternateContent>
  <bookViews>
    <workbookView xWindow="0" yWindow="0" windowWidth="21600" windowHeight="9735" tabRatio="866" xr2:uid="{00000000-000D-0000-FFFF-FFFF00000000}"/>
  </bookViews>
  <sheets>
    <sheet name="CADASTROS" sheetId="1" r:id="rId1"/>
    <sheet name="REPASSES" sheetId="7" r:id="rId2"/>
    <sheet name="ENTRADAS" sheetId="2" r:id="rId3"/>
    <sheet name="SAÍDAS" sheetId="5" r:id="rId4"/>
    <sheet name="GRÁFICOS" sheetId="8" r:id="rId5"/>
    <sheet name="RELATÓRIO_DÍZIMO" sheetId="9" r:id="rId6"/>
    <sheet name="RELATÓRIO_SAÍDAS" sheetId="10" r:id="rId7"/>
    <sheet name="CONFIGS" sheetId="6" r:id="rId8"/>
  </sheets>
  <definedNames>
    <definedName name="_xlnm._FilterDatabase" localSheetId="0" hidden="1">CADASTROS!$A$1:$E$311</definedName>
    <definedName name="_xlnm._FilterDatabase" localSheetId="4" hidden="1">RELATÓRIO_DÍZIMO!$A$7:$K$23</definedName>
    <definedName name="_xlnm._FilterDatabase" localSheetId="6" hidden="1">RELATÓRIO_SAÍDAS!$A$10:$K$33</definedName>
    <definedName name="CÓDIGO" localSheetId="1">#REF!</definedName>
    <definedName name="CÓDIGO" localSheetId="3">#REF!</definedName>
    <definedName name="CÓDIGO">#REF!</definedName>
    <definedName name="CONGREGACOES">CONFIGS!$C$2:$C$10</definedName>
    <definedName name="NOMES">CADASTROS!#REF!</definedName>
    <definedName name="rngVal">RELATÓRIO_SAÍDAS!$B$8</definedName>
    <definedName name="TIPOSAÍDA">CONFIGS!$A$2:$A$40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" l="1"/>
  <c r="N29" i="5"/>
  <c r="N28" i="5"/>
  <c r="N27" i="5" l="1"/>
  <c r="N26" i="5"/>
  <c r="N16" i="2"/>
  <c r="N25" i="5" l="1"/>
  <c r="N15" i="2"/>
  <c r="F2" i="10" l="1"/>
  <c r="F41" i="8"/>
  <c r="F39" i="8"/>
  <c r="F37" i="8"/>
  <c r="F35" i="8"/>
  <c r="F5" i="8"/>
  <c r="F33" i="8"/>
  <c r="F43" i="8"/>
  <c r="F31" i="8"/>
  <c r="F27" i="8"/>
  <c r="F25" i="8"/>
  <c r="F23" i="8"/>
  <c r="F21" i="8"/>
  <c r="F19" i="8"/>
  <c r="F17" i="8"/>
  <c r="F15" i="8"/>
  <c r="F13" i="8"/>
  <c r="F11" i="8"/>
  <c r="F9" i="8"/>
  <c r="F7" i="8"/>
  <c r="N14" i="2"/>
  <c r="N13" i="2" l="1"/>
  <c r="N12" i="2" l="1"/>
  <c r="N11" i="2"/>
  <c r="N10" i="2" l="1"/>
  <c r="N23" i="5"/>
  <c r="N24" i="5"/>
  <c r="N18" i="5"/>
  <c r="N19" i="5"/>
  <c r="N20" i="5"/>
  <c r="N21" i="5"/>
  <c r="N22" i="5"/>
  <c r="N13" i="5"/>
  <c r="N14" i="5"/>
  <c r="N15" i="5"/>
  <c r="N16" i="5"/>
  <c r="N17" i="5"/>
  <c r="N8" i="5"/>
  <c r="N9" i="5"/>
  <c r="N10" i="5"/>
  <c r="N11" i="5"/>
  <c r="N12" i="5"/>
  <c r="N2" i="5"/>
  <c r="N3" i="5"/>
  <c r="N4" i="5"/>
  <c r="N5" i="5"/>
  <c r="N6" i="5"/>
  <c r="N7" i="5"/>
  <c r="A20" i="5" l="1"/>
  <c r="A16" i="5"/>
  <c r="E2" i="9" l="1"/>
  <c r="A4" i="2" l="1"/>
  <c r="N9" i="2"/>
  <c r="A1" i="8" l="1"/>
  <c r="A4" i="10"/>
  <c r="A4" i="9"/>
  <c r="N8" i="2"/>
  <c r="N7" i="2"/>
  <c r="N6" i="2"/>
  <c r="F29" i="8" l="1"/>
  <c r="I21" i="8" l="1"/>
  <c r="I5" i="8"/>
  <c r="I11" i="8"/>
  <c r="I19" i="8"/>
  <c r="I37" i="8"/>
  <c r="I13" i="8"/>
  <c r="I7" i="8"/>
  <c r="I15" i="8"/>
  <c r="I25" i="8"/>
  <c r="I33" i="8"/>
  <c r="I41" i="8"/>
  <c r="I29" i="8"/>
  <c r="I23" i="8"/>
  <c r="I31" i="8"/>
  <c r="I39" i="8"/>
  <c r="I9" i="8"/>
  <c r="I17" i="8"/>
  <c r="I27" i="8"/>
  <c r="I35" i="8"/>
  <c r="I43" i="8"/>
  <c r="N5" i="2"/>
  <c r="A8" i="7"/>
  <c r="A24" i="2" s="1"/>
  <c r="A4" i="7"/>
  <c r="N4" i="2"/>
  <c r="N3" i="2"/>
  <c r="A20" i="2"/>
  <c r="A16" i="2"/>
  <c r="A12" i="2"/>
  <c r="A12" i="5"/>
  <c r="A8" i="5"/>
  <c r="A8" i="2" l="1"/>
</calcChain>
</file>

<file path=xl/sharedStrings.xml><?xml version="1.0" encoding="utf-8"?>
<sst xmlns="http://schemas.openxmlformats.org/spreadsheetml/2006/main" count="1643" uniqueCount="418">
  <si>
    <t>CÓDIGO</t>
  </si>
  <si>
    <t>SITUAÇÃO</t>
  </si>
  <si>
    <t>NOME</t>
  </si>
  <si>
    <t>CONGREGAÇÃO</t>
  </si>
  <si>
    <t>DÍZIMO</t>
  </si>
  <si>
    <t>OFERTA</t>
  </si>
  <si>
    <t>OFERTA ESPECIAL</t>
  </si>
  <si>
    <t>DESCRIÇÃO</t>
  </si>
  <si>
    <t>DATA LANÇAMENTO</t>
  </si>
  <si>
    <t>TOTAL</t>
  </si>
  <si>
    <t>NOME DIZIMISTA/OFERTANTE</t>
  </si>
  <si>
    <t>RECIBO</t>
  </si>
  <si>
    <t>DATA COMPROVANTE</t>
  </si>
  <si>
    <t>ID</t>
  </si>
  <si>
    <t>TIPO DA SAÍDA</t>
  </si>
  <si>
    <t>ÁGUA</t>
  </si>
  <si>
    <t>LUZ</t>
  </si>
  <si>
    <t>TELEFONE</t>
  </si>
  <si>
    <t>RENDA ECLESIÁSTICA</t>
  </si>
  <si>
    <t>ALUGUEL</t>
  </si>
  <si>
    <t>PRESTADORES DE SERVIÇO</t>
  </si>
  <si>
    <t>SECRETARIA</t>
  </si>
  <si>
    <t>ALMOXARIFADO</t>
  </si>
  <si>
    <t>ALIMENTAÇÃO</t>
  </si>
  <si>
    <t>COMBUSTÍVEL</t>
  </si>
  <si>
    <t>INTERNET</t>
  </si>
  <si>
    <t>MANUTENÇÕES</t>
  </si>
  <si>
    <t>CONSTRUÇÃO</t>
  </si>
  <si>
    <t>AJUDA DE CUSTO</t>
  </si>
  <si>
    <t>SEGUROS E SAÚDE</t>
  </si>
  <si>
    <t>CONVENÇÃO</t>
  </si>
  <si>
    <t>INSS</t>
  </si>
  <si>
    <t>OUTROS</t>
  </si>
  <si>
    <t>TIPO DE SAÍDA</t>
  </si>
  <si>
    <t>Nº DOCUMENTO</t>
  </si>
  <si>
    <t>DESCRIÇÃO SAÍDA</t>
  </si>
  <si>
    <t>DATA VENCIMENTO</t>
  </si>
  <si>
    <t>DATA PAGAMENTO</t>
  </si>
  <si>
    <t>VALOR DOCUMENTO</t>
  </si>
  <si>
    <t>VALOR PAGO</t>
  </si>
  <si>
    <t>JUROS
DESCONTO</t>
  </si>
  <si>
    <t>TESTE</t>
  </si>
  <si>
    <t>DESCONTO</t>
  </si>
  <si>
    <t>JUROS</t>
  </si>
  <si>
    <t>TOTAL DE ENTRADAS</t>
  </si>
  <si>
    <t>MÊS DE REFERÊNCIA</t>
  </si>
  <si>
    <t>TOTAL DE SAÍDAS</t>
  </si>
  <si>
    <t>TOTAL DE JUROS PAGOS</t>
  </si>
  <si>
    <t>TOTAL DE DESCONTOS OBTIDOS</t>
  </si>
  <si>
    <t>teste</t>
  </si>
  <si>
    <t>TOTAL DE DÍZIMOS</t>
  </si>
  <si>
    <t>TOTAL DE OFERTAS</t>
  </si>
  <si>
    <t>TOTAL DE OFERTAS ESPECIAIS</t>
  </si>
  <si>
    <t>TOTAL DE REPASSES</t>
  </si>
  <si>
    <t>REPASSES</t>
  </si>
  <si>
    <t>ROSILDA INACIO DOS SANTOS DE SOUZA</t>
  </si>
  <si>
    <t>BARRA GRANDE - IAD</t>
  </si>
  <si>
    <t>SONIA MARA KUACINHAK</t>
  </si>
  <si>
    <t>BOA VENTURA S. ROQUE - IAD</t>
  </si>
  <si>
    <t>SEDE - IAD</t>
  </si>
  <si>
    <t>PLANALTO - IAD</t>
  </si>
  <si>
    <t>CONGREGAÇÕES</t>
  </si>
  <si>
    <t>VALOR DO REPASSE</t>
  </si>
  <si>
    <t>JUSTIFICATIVA</t>
  </si>
  <si>
    <t>REPASSE DE CONGREGAÇÃO</t>
  </si>
  <si>
    <t>ALUGUEL SALÃO</t>
  </si>
  <si>
    <t>ANTONIO MARIA DE JESUS</t>
  </si>
  <si>
    <t>PREBENDAS</t>
  </si>
  <si>
    <t>AJUDAS DE CUSTO</t>
  </si>
  <si>
    <t xml:space="preserve">ALUGUÉIS </t>
  </si>
  <si>
    <t>CONSTRUÇÕES</t>
  </si>
  <si>
    <t>LUZ ELÉTRICA</t>
  </si>
  <si>
    <t>SECRETARIA / EXPEDIENTE</t>
  </si>
  <si>
    <t>SEGUROS / SAÚDE</t>
  </si>
  <si>
    <t>CONTA TELEFÔNICA</t>
  </si>
  <si>
    <t>RELATÓRIO GERAL - TODAS AS CONGREGAÇÕES - SAÍDAS</t>
  </si>
  <si>
    <t>ELTON PAULO DOBROVOLISKI</t>
  </si>
  <si>
    <t>JOANIDES LUBACHESKI</t>
  </si>
  <si>
    <t>JOAO MARCIANO DE OLIVEIRA</t>
  </si>
  <si>
    <t>MÊS VIGENTE</t>
  </si>
  <si>
    <t>OUTUBRO / 2017</t>
  </si>
  <si>
    <t>RELATÓRIO GERAL - TODAS AS CONGREGAÇÕES</t>
  </si>
  <si>
    <t>OFERTA ESP.</t>
  </si>
  <si>
    <t>DATA COMP.</t>
  </si>
  <si>
    <t>DATA LANÇ.</t>
  </si>
  <si>
    <t>Nº DOC.</t>
  </si>
  <si>
    <t>SEDE</t>
  </si>
  <si>
    <t>BARRA GRANDE</t>
  </si>
  <si>
    <t>B.V.S.R</t>
  </si>
  <si>
    <t>CACHOEIRINHA-B.V.S.R</t>
  </si>
  <si>
    <t>MARISTELA</t>
  </si>
  <si>
    <t xml:space="preserve">PLANALTO </t>
  </si>
  <si>
    <t>SANTA REGINA</t>
  </si>
  <si>
    <t>SÃO BASILIO</t>
  </si>
  <si>
    <t>TERRA SANTA-B.V.S.R</t>
  </si>
  <si>
    <t>CARMELITA DOS SANTOS</t>
  </si>
  <si>
    <t>ATIVO</t>
  </si>
  <si>
    <t>JOSIAS PEREIRA DE SOUZA</t>
  </si>
  <si>
    <t>JOSE CZERHIES SOARES</t>
  </si>
  <si>
    <t>LURDES FOLMER OLENINSK</t>
  </si>
  <si>
    <t>TEREZINHA DE SOUZA</t>
  </si>
  <si>
    <t>VICENTE P. SANTOS</t>
  </si>
  <si>
    <t>TEREZA DJOLA BONIFÁCIO</t>
  </si>
  <si>
    <t>ROSE MARIA CORDEIRO MIRANDA</t>
  </si>
  <si>
    <t>MARIA GRACIUDA RIBEIRO</t>
  </si>
  <si>
    <t>MARIA DA LUZ ALMEIDA</t>
  </si>
  <si>
    <t>MARLENE CORDEIRO CARDOSO</t>
  </si>
  <si>
    <t>DAIANE NASCIMENTO STACHO</t>
  </si>
  <si>
    <t>CLARINDA DE OLIVEIRA DE JESUS</t>
  </si>
  <si>
    <t>ADRIELI RIBEIRO DA SILVA</t>
  </si>
  <si>
    <t>VALDIR PEREIRA VENANCIO</t>
  </si>
  <si>
    <t>ALISSON ROGER VIERA</t>
  </si>
  <si>
    <t>SUZANE MACHADO DE SOUZA</t>
  </si>
  <si>
    <t>ADRIANO MARQUES DE BRITO</t>
  </si>
  <si>
    <t>LUCELLE VENANCIO DA SILVA</t>
  </si>
  <si>
    <t>ROSIMERI DE OLIVEIRA SOUZA</t>
  </si>
  <si>
    <t>MATEUS DO NASCIMENTO ESTACHO</t>
  </si>
  <si>
    <t>JOVENIL DE JESUS ESTACHO</t>
  </si>
  <si>
    <t>TRANSFERIDO</t>
  </si>
  <si>
    <t>EDER NASCIMENTO DIAS</t>
  </si>
  <si>
    <t>ELIZANGELA ESTACHO</t>
  </si>
  <si>
    <t>RODINEI MARCOS MATIAZZO</t>
  </si>
  <si>
    <t>ANA PAULA AP. DE SOUZA</t>
  </si>
  <si>
    <t>OLIVIA DE LIMA SANTOS</t>
  </si>
  <si>
    <t>AROLDO KLOSTER</t>
  </si>
  <si>
    <t>SOLANGE TEREZINHA SZOREK</t>
  </si>
  <si>
    <t>MARIA AP. DE J. DE OLIVEIRA</t>
  </si>
  <si>
    <t>MARCIANA BRUNO</t>
  </si>
  <si>
    <t>ANDRE DE JESUS FRANCA</t>
  </si>
  <si>
    <t>MAIKON RODRIGO DE CHAVES</t>
  </si>
  <si>
    <t>MARCELO MATTEI</t>
  </si>
  <si>
    <t>SANDRA MARA M. B. MATTEI</t>
  </si>
  <si>
    <t>JESSICA FERNANDA CALAUDIANO LAURETH</t>
  </si>
  <si>
    <t>DIEGO AUGUSTO MOREIRA DE SOUZA</t>
  </si>
  <si>
    <t>JACO DANIEL DOS SANTOS MACIEL</t>
  </si>
  <si>
    <t>ESTEBAN COSTA BANEGAS</t>
  </si>
  <si>
    <t>EZEQUIEL DOS SANTOS</t>
  </si>
  <si>
    <t>JOSÉ FLAUZINO DIAS</t>
  </si>
  <si>
    <t>PEDRO LUIZ BUCHAK</t>
  </si>
  <si>
    <t>JONAS DA CRUZ BUCHAK</t>
  </si>
  <si>
    <t>CLEONICE DA CRUZ</t>
  </si>
  <si>
    <t>FALECIDO</t>
  </si>
  <si>
    <t>AGENOR FRANCISCO VIEIRA</t>
  </si>
  <si>
    <t>MARCOS DE SOUZA</t>
  </si>
  <si>
    <t>ROSANE FARIAS DE SOUZA</t>
  </si>
  <si>
    <t>BERTOLINA FABIANO DOS SANTOS</t>
  </si>
  <si>
    <t>SIDINEIA APARECIDA POLICHA</t>
  </si>
  <si>
    <t>JOSE MASSENE</t>
  </si>
  <si>
    <t>LUCIANA VIEIRA</t>
  </si>
  <si>
    <t>MARLI ARAMONE HEY</t>
  </si>
  <si>
    <t>ADRIELE HEY</t>
  </si>
  <si>
    <t>SEBASTIANA SEIXAS GODOY</t>
  </si>
  <si>
    <t>ROBERSON DA SILVA</t>
  </si>
  <si>
    <t>HEBERT DA SILVA</t>
  </si>
  <si>
    <t>ILDA APARECIDA BUENO</t>
  </si>
  <si>
    <t>MARIA RIBEIRO</t>
  </si>
  <si>
    <t>RUAN RIBEIRO RODRIGUES</t>
  </si>
  <si>
    <t>LUCINÉIA RIBEIRO</t>
  </si>
  <si>
    <t>CARLOS DOS SANTOS</t>
  </si>
  <si>
    <t>DÉBORA RIBEIRO RODRIGUES</t>
  </si>
  <si>
    <t>ANNY VITÓRIA BURAKOSKI DOS SANTOS</t>
  </si>
  <si>
    <t>KAMILLY FARIAS DE SOUZA</t>
  </si>
  <si>
    <t>BRUNA THAYNA FARIAS DE SOUZA</t>
  </si>
  <si>
    <t>ILDA ROSA DA SILVA FARIAS</t>
  </si>
  <si>
    <t>ELIZETE DOS SANTOS</t>
  </si>
  <si>
    <t>IRENE GAIOSHI DE ANDRADE</t>
  </si>
  <si>
    <t>ANTONIA APARECIDA CORDEIRO ANDRADE</t>
  </si>
  <si>
    <t>NELITA PAULINO DE OLIVEIRA</t>
  </si>
  <si>
    <t>LUCIA SOARES GONÇALVES</t>
  </si>
  <si>
    <t>CLAIR LUIZ GONÇALVES</t>
  </si>
  <si>
    <t>ADIR GONÇALVES</t>
  </si>
  <si>
    <t>MARLI FERREIRA GONÇALVES</t>
  </si>
  <si>
    <t>NEUZA DE FARIAS WALENSKI</t>
  </si>
  <si>
    <t>EDUARDO DE WALENSKI</t>
  </si>
  <si>
    <t>LEDIENE WALENSKI</t>
  </si>
  <si>
    <t>DANIEL RIBAS</t>
  </si>
  <si>
    <t>INES MARIA S. RIBAS</t>
  </si>
  <si>
    <t>CECILIA BLASIUS RIBAS</t>
  </si>
  <si>
    <t>AVANIR ROSA RIBAS</t>
  </si>
  <si>
    <t>JONAS MURI MARTINS</t>
  </si>
  <si>
    <t>VALÉRIA CARLA JORGE</t>
  </si>
  <si>
    <t>SEBASTIANA MIRANDA DE OLIVEIRA</t>
  </si>
  <si>
    <t>SUZANA DE JESUS ALVES</t>
  </si>
  <si>
    <t>LETICIA MUNHOZ</t>
  </si>
  <si>
    <t>ILDA MARIA PEREIRA</t>
  </si>
  <si>
    <t>HELENA MIRANDA DE OLIVEIRA DA LUZ</t>
  </si>
  <si>
    <t>ELAINE PATARAIKO</t>
  </si>
  <si>
    <t>ANTONIO CARLOS GOMES DOS SANTOS</t>
  </si>
  <si>
    <t>MARLI APARECIDA PAULUK RAK</t>
  </si>
  <si>
    <t>MARCOS RAK</t>
  </si>
  <si>
    <t>MARIA ROCHA</t>
  </si>
  <si>
    <t>JOSÉ DIVINO F. DA ROCHA</t>
  </si>
  <si>
    <t>ANA Q. ZANEDIM</t>
  </si>
  <si>
    <t>EVANDI DOS SANTOS ROCK</t>
  </si>
  <si>
    <t>VANESSA DEZIDÉRIO DOS SANTOS</t>
  </si>
  <si>
    <t>MARIA DE LOURDES DE ANDRADE SILVA</t>
  </si>
  <si>
    <t>LEONAIA SALUSTIANO PINTO</t>
  </si>
  <si>
    <t>NAIR FILISBINO</t>
  </si>
  <si>
    <t xml:space="preserve">MARCIO HENRIQUE MOREIRA </t>
  </si>
  <si>
    <t>JOSE CARLOS DA SILVA</t>
  </si>
  <si>
    <t>JACIEL CORDEIRO PANCHESKI</t>
  </si>
  <si>
    <t>DANIELE BELEM MAJEWISKI PANCHESKI</t>
  </si>
  <si>
    <t>NICOLAS MAJEVISKI PANCHESKI</t>
  </si>
  <si>
    <t>MIGUEL JOSÉ DA SILVA</t>
  </si>
  <si>
    <t>ANTONIO BORGES DOS SANTOS</t>
  </si>
  <si>
    <t>VALMIL DONIZETE DE PAULA</t>
  </si>
  <si>
    <t>ALBERTO IKEGAMI</t>
  </si>
  <si>
    <t>KELITA RIBEIRO IKEGAMI</t>
  </si>
  <si>
    <t>JOSÉ MARQUES</t>
  </si>
  <si>
    <t>MARILDA APARECIDA DE PAULA FLORES BELO</t>
  </si>
  <si>
    <t>MARIA DE JESUS DOBROVOLISKI</t>
  </si>
  <si>
    <t>DARCI NEVES DE OLIVEIRA</t>
  </si>
  <si>
    <t>AMADEU PINCHESKI</t>
  </si>
  <si>
    <t>AUGUSTO BELO FILHO</t>
  </si>
  <si>
    <t>ELIANE CHAIA</t>
  </si>
  <si>
    <t>ZILDETE JOSE RODRIGUESES DA SILVA</t>
  </si>
  <si>
    <t>EMERSON LUIZ STADLER</t>
  </si>
  <si>
    <t>JOSÉ IVO JASKIW</t>
  </si>
  <si>
    <t>CLEUSA SCAMPARINI DE LIMA REIS</t>
  </si>
  <si>
    <t>NILSON ALVES DOS SANTOS</t>
  </si>
  <si>
    <t>IZABEL CARMELINA DOS SANTOS DE PAULA</t>
  </si>
  <si>
    <t>REGIANE ALVES DOS SANTOS SCHON</t>
  </si>
  <si>
    <t>MARCELO SCHON</t>
  </si>
  <si>
    <t>LOURDES LUCACHEVICZ DOS SANTOS</t>
  </si>
  <si>
    <t>LIZIANE BORGES DOS SANTOS</t>
  </si>
  <si>
    <t>WAGNER BONASSOLI MONTES</t>
  </si>
  <si>
    <t>MEILY FRANCIELI ALMEIDA MARTINS</t>
  </si>
  <si>
    <t>ANTONIO ISRAEL CALAUVINO</t>
  </si>
  <si>
    <t>VALDOMIRO REPULA</t>
  </si>
  <si>
    <t>VERA LUCIA SCHON</t>
  </si>
  <si>
    <t>THALIA PEREIRA DOS SANTOS</t>
  </si>
  <si>
    <t>SANDRA LUCIA M. DA SILVA</t>
  </si>
  <si>
    <t>SEBASTIANA NEVES ROSA</t>
  </si>
  <si>
    <t>NELTON GIOVAN MARTINS</t>
  </si>
  <si>
    <t>MARIA LUIZA ROSA</t>
  </si>
  <si>
    <t>MARLI LAUTERIO JAVOSKI</t>
  </si>
  <si>
    <t>MARLON EDUARDO DA SILVA</t>
  </si>
  <si>
    <t>JESSICA DA SILVA SANTOS</t>
  </si>
  <si>
    <t>JULIA THAINA RIBEIRO CZEKSTER</t>
  </si>
  <si>
    <t>JULIANO SOARES DO NASCIMENTO</t>
  </si>
  <si>
    <t>ANA DA SILVA MARQUES</t>
  </si>
  <si>
    <t>ROSALINA RECIOTE RIBEIRO</t>
  </si>
  <si>
    <t>OLIVIER DA SILVA RIBEIRO</t>
  </si>
  <si>
    <t>IDIONE BRAI KRENSIGLOVA LUBACHESKI</t>
  </si>
  <si>
    <t>OSVALDO ROSA MAIA</t>
  </si>
  <si>
    <t>OLIVIA FELIX MAIA</t>
  </si>
  <si>
    <t>LAURENTINA DA SILVA VAZ</t>
  </si>
  <si>
    <t>PEDRO DE OLIVEIRA VAZ</t>
  </si>
  <si>
    <t>JOICE JASKIW</t>
  </si>
  <si>
    <t>DHYEILA KEREN DA SILVA DAMASCENO</t>
  </si>
  <si>
    <t>LEONICE DA SILVA</t>
  </si>
  <si>
    <t>ILDA SILVEIRA GULK</t>
  </si>
  <si>
    <t>SIDINEYA ARENT</t>
  </si>
  <si>
    <t>ROSELI JOSE DA SILVA</t>
  </si>
  <si>
    <t>DANIELE DE JESUS DE ABREU</t>
  </si>
  <si>
    <t>MARIA IZABEL DE JESUS DE ABREU</t>
  </si>
  <si>
    <t>MANOEL JOÃO DE ABREU</t>
  </si>
  <si>
    <t>ROSILEI K. FRANCO DA ROCHA</t>
  </si>
  <si>
    <t>ADELCIO DIVINO FRANCO DA ROCHA</t>
  </si>
  <si>
    <t>THIAGO RAMON AGUIAR</t>
  </si>
  <si>
    <t>DANIELLE APARECIDA SCUIRA</t>
  </si>
  <si>
    <t>NEIDE SANTOS LIMA</t>
  </si>
  <si>
    <t>DIRCE TEREZINHA F. CORREIA</t>
  </si>
  <si>
    <t>JORGE K. CORREIA</t>
  </si>
  <si>
    <t>ABDO ZANEDIM</t>
  </si>
  <si>
    <t>EVERLI VAZ BATISTA</t>
  </si>
  <si>
    <t>JOSÉ ADILSON BATISTA</t>
  </si>
  <si>
    <t>EVELYN SUELLEN VAZ BATISTA</t>
  </si>
  <si>
    <t>MELISSA DANIELI DA SILVA MARTINS</t>
  </si>
  <si>
    <t>DANIELI BINDE CHOMA</t>
  </si>
  <si>
    <t>SEBASTIÃO FERNANDES</t>
  </si>
  <si>
    <t>SANTINA DOS SANTOS FERNANDES</t>
  </si>
  <si>
    <t>ELIANE DOS SANTOS PEDRO</t>
  </si>
  <si>
    <t>JOSIANE DA SILVA SANTOS SANTIAGO</t>
  </si>
  <si>
    <t>PEDRO SANTIAGO</t>
  </si>
  <si>
    <t>ELIAS FRANCISCO</t>
  </si>
  <si>
    <t>ANTONIO FRANÇA</t>
  </si>
  <si>
    <t>CECÍLIA DE SOUZA SASS</t>
  </si>
  <si>
    <t>LUIZ CARLOS JASKIW</t>
  </si>
  <si>
    <t>IZABEL MENDES PEREIRA LUKASSIEVICZ</t>
  </si>
  <si>
    <t>SEBASTIANA POMPEU POOK</t>
  </si>
  <si>
    <t>APARECIDO RAMALHO</t>
  </si>
  <si>
    <t>DIVONZIR CHOMA</t>
  </si>
  <si>
    <t>EMILLY KATLYN VAZ BATISTA</t>
  </si>
  <si>
    <t>YASMIN ALMEIDA MARTINS</t>
  </si>
  <si>
    <t>LARISSA OTONIELA REIS</t>
  </si>
  <si>
    <t>MARIA LUIZA REIS</t>
  </si>
  <si>
    <t>MARIA LUANA REIS</t>
  </si>
  <si>
    <t>ANDRE RAK</t>
  </si>
  <si>
    <t>RAFAEL RAK</t>
  </si>
  <si>
    <t>ALISSON BORGES</t>
  </si>
  <si>
    <t>JULIANO CORDEIRO DOS SANTOS</t>
  </si>
  <si>
    <t>SARAH RANK DE PAULA</t>
  </si>
  <si>
    <t>ANNA LAURA CORREIA JANETIN</t>
  </si>
  <si>
    <t>PEDRO HENRIQUE SANTOS SANTIAGO</t>
  </si>
  <si>
    <t>JOSELIA RANK</t>
  </si>
  <si>
    <t>DEONISIO DOBROVOLISKI</t>
  </si>
  <si>
    <t>OLIRIA DA SILVA PEREIRA</t>
  </si>
  <si>
    <t>ILDA PEREIRA</t>
  </si>
  <si>
    <t>EUNICE CABRAL DA SILVA</t>
  </si>
  <si>
    <t>IZOLINA DOS SANTOS ELOI</t>
  </si>
  <si>
    <t>JULIANA JASKIW</t>
  </si>
  <si>
    <t>JAQUELINE CRISTIANE GONÇALVES</t>
  </si>
  <si>
    <t>JEAN MAYKO DA SILVA LORES</t>
  </si>
  <si>
    <t>LUCIANA ADYLES MUNIZ JASKIW</t>
  </si>
  <si>
    <t>LUIZ CARLOS JASKIW JUNIOR</t>
  </si>
  <si>
    <t>NORANDIR DE LIMA ELOI</t>
  </si>
  <si>
    <t xml:space="preserve">LUZIA MARIA DE ABREU </t>
  </si>
  <si>
    <t>DESLIGADO</t>
  </si>
  <si>
    <t>MARCELO GIOVANI JASKIW</t>
  </si>
  <si>
    <t>MARIA LUCIA RANK BINDE</t>
  </si>
  <si>
    <t>MARIA SIRLEI MARTINS BARBOSA JASKIW</t>
  </si>
  <si>
    <t>MAYARA LUBCZYK JASKIW</t>
  </si>
  <si>
    <t>MARCIO LUKASSIEVCZ</t>
  </si>
  <si>
    <t>MIRIAM BINDE RAMALHO</t>
  </si>
  <si>
    <t>MARIA DE CASTRO ROCHA</t>
  </si>
  <si>
    <t>MARIA TEREZINHA JASKIW</t>
  </si>
  <si>
    <t>MARCOS LUIZ BINDE</t>
  </si>
  <si>
    <t>OLGA NEUMAM JASKIW</t>
  </si>
  <si>
    <t>OTONIEL DE JESUS REIS</t>
  </si>
  <si>
    <t>PAULO EDUARDO DA SILVA</t>
  </si>
  <si>
    <t>SIDINEIA APARECIDA POLICHE</t>
  </si>
  <si>
    <t>SEBASTIAO ANDRADE DE SOUZA</t>
  </si>
  <si>
    <t>VALDEMAR KRAICZY</t>
  </si>
  <si>
    <t>JULIO SERGIO RIBEIRO CZERSTER</t>
  </si>
  <si>
    <t>EDERZINA DE SOUZA</t>
  </si>
  <si>
    <t xml:space="preserve">IVONETE DE LIMA </t>
  </si>
  <si>
    <t>JOSUE PATROCINIO DOS SANTOS</t>
  </si>
  <si>
    <t>ROBERTA APARECIDA BUENO</t>
  </si>
  <si>
    <t>JOAO EDUARDO DA SILVA FILHO</t>
  </si>
  <si>
    <t>HILDA GULGA</t>
  </si>
  <si>
    <t>HELIO OLIVEIRA SANTOS</t>
  </si>
  <si>
    <t>ELIAS BALBUINO PESSOA</t>
  </si>
  <si>
    <t>BENTO VIEIRA</t>
  </si>
  <si>
    <t>ANDRE ZUCOLOTO BOTELHO</t>
  </si>
  <si>
    <t>ANDERSON ALVES DOS SANTOS</t>
  </si>
  <si>
    <t>CLAIRTON LUIZ GONÇALVES</t>
  </si>
  <si>
    <t>CANDIDA MARIA DA COSTA LIMA</t>
  </si>
  <si>
    <t>CLEIDE APARECIDA RIBEIRO</t>
  </si>
  <si>
    <t>CECILIA RIBAS</t>
  </si>
  <si>
    <t>CLEMAIR BONASSOLI JASKIW</t>
  </si>
  <si>
    <t>DANIEL NEIVERTH DA SILVA</t>
  </si>
  <si>
    <t>DAMARIS REGINA JASKIW</t>
  </si>
  <si>
    <t>CLEVERSON GONÇALVES</t>
  </si>
  <si>
    <t>GLORIA ADRIANE DA SILVA</t>
  </si>
  <si>
    <t>MARCELA CRISTINA DA SILVA</t>
  </si>
  <si>
    <t>EDEVIRGEM REPULA VUJANSKI</t>
  </si>
  <si>
    <t>UELINTON ROSA MAIA</t>
  </si>
  <si>
    <t>JESSICA TALITA CORDEIRO</t>
  </si>
  <si>
    <t>SOFIA RYGELL NEVES</t>
  </si>
  <si>
    <t>FATIMA ROSA DOS SANTOS</t>
  </si>
  <si>
    <t>MARIA DOS SANTOS FRESKY</t>
  </si>
  <si>
    <t>AFASTADO</t>
  </si>
  <si>
    <t>SEGISMUNDO POLICHA</t>
  </si>
  <si>
    <t>CEZAR NAPOLEAO CASIMIR RIBEIRO</t>
  </si>
  <si>
    <t>CLAUDIA REIS BARBOSA</t>
  </si>
  <si>
    <t>JAIR DIONISIO DE SOUZA</t>
  </si>
  <si>
    <t>LUCIANA KRUPEK FOLMER</t>
  </si>
  <si>
    <t>ODETE ALVES DE SOUZA RIBEIRO</t>
  </si>
  <si>
    <t>LUCAS CEZAR DE SOUZA RIBEIRO</t>
  </si>
  <si>
    <t>ELIZETE APARECIDA FORTUNATO DE SOUZA</t>
  </si>
  <si>
    <t>APARECIDO SOARES DE LIMA</t>
  </si>
  <si>
    <t>NAIR PEREIRA DE PAULA</t>
  </si>
  <si>
    <t>MARIA JOANA GODOI</t>
  </si>
  <si>
    <t>VALDOMIRO ANTONIO</t>
  </si>
  <si>
    <t>IOLANDA APARECIDA CAMARGO</t>
  </si>
  <si>
    <t>ELIAS COUTINHO ARAGAO</t>
  </si>
  <si>
    <t>LINDAMIR TEREZINHA DOS SANTOS</t>
  </si>
  <si>
    <t>JONATHAN SCUIRA</t>
  </si>
  <si>
    <t>JOÃO JATVA NETO</t>
  </si>
  <si>
    <t>MELINA SALVIANO DE OLIVEIRA SILVA</t>
  </si>
  <si>
    <t>AMABEL DE FATIMA LUIZ MACHADO</t>
  </si>
  <si>
    <t>ADEMIR CAMARGO</t>
  </si>
  <si>
    <t>FRANCISCA O. GLOEDEN K. CAMARGO</t>
  </si>
  <si>
    <t>FERNANDA FONSECA FERREIRA</t>
  </si>
  <si>
    <t>MEILLY EDUARDA FOLMER</t>
  </si>
  <si>
    <t>MATHEUS EDUARDO BAVATO RODRIGUES</t>
  </si>
  <si>
    <t>DAIANE ELOY BAVATO JATVA</t>
  </si>
  <si>
    <t>MARINA ANZOLIM DA SILVA JATVA</t>
  </si>
  <si>
    <t>EVALDO CARLOS DE AGUIAR</t>
  </si>
  <si>
    <t>REGINA MARIA DE OLIVEIRA DE AGUIAR</t>
  </si>
  <si>
    <t>MARIANO JATVA</t>
  </si>
  <si>
    <t>LEOMARCOS JOSE SILVA</t>
  </si>
  <si>
    <t>VALDECI ANTONIO CORTIANO</t>
  </si>
  <si>
    <t>ANDRESSSA DA SILVA LUCAS</t>
  </si>
  <si>
    <t>UIRINTON CORREIA SILVA</t>
  </si>
  <si>
    <t>FELIPE MENDES DE LIMA</t>
  </si>
  <si>
    <t>JANDIRA APARECIDA ASSIS LACONSKI DE OLIVEIRA</t>
  </si>
  <si>
    <t xml:space="preserve">ROSNI DE OLIVEIRA </t>
  </si>
  <si>
    <t>MERY CRISTINA JENSEN PITTNER</t>
  </si>
  <si>
    <t>MARTA BILESKI DE OLIVEIRA</t>
  </si>
  <si>
    <t>FERNANDA CAMILO DA CRUZ</t>
  </si>
  <si>
    <t>ROSILENE ROCHA DA CRUZ</t>
  </si>
  <si>
    <t xml:space="preserve">MARCIO ALVES DOS SANTOS </t>
  </si>
  <si>
    <t>MARLY TEREZINHA ANZOLIM DA SILVA</t>
  </si>
  <si>
    <t>BRUNO MATEUS MAIA</t>
  </si>
  <si>
    <t>SIDINEI FERREIRA DO PRADO</t>
  </si>
  <si>
    <t>DAIANE DA SILVA PRADO</t>
  </si>
  <si>
    <t>ANTONIO FERREIRA DO PRADO</t>
  </si>
  <si>
    <t>CLODOALDO JOSÉ BINDE</t>
  </si>
  <si>
    <t xml:space="preserve">ELZA SCHON LAZZARETTI </t>
  </si>
  <si>
    <t>SUZAMARA APARECIDA LAZZARETTI BINDE</t>
  </si>
  <si>
    <t>JULIANO SIDNEY LAZZARETTI</t>
  </si>
  <si>
    <t>CLAUDINEI DO PRADO</t>
  </si>
  <si>
    <t>NOEL VENCESLAU LACONSKI DE OLIVEIRA</t>
  </si>
  <si>
    <t>OBREIRO</t>
  </si>
  <si>
    <t>NÃO</t>
  </si>
  <si>
    <t>SIM</t>
  </si>
  <si>
    <t>PLANALTO</t>
  </si>
  <si>
    <t>FINANCIAMENTOS</t>
  </si>
  <si>
    <t>SOMA</t>
  </si>
  <si>
    <t>PERCENTUAL</t>
  </si>
  <si>
    <t>TOTAL DE ENTRADAS:</t>
  </si>
  <si>
    <t>TOTAL DE SAÍDAS:</t>
  </si>
  <si>
    <t>JOÃO DA SILVA</t>
  </si>
  <si>
    <t>FDSFDF</t>
  </si>
  <si>
    <t>Selecione a Congregação</t>
  </si>
  <si>
    <t>REPASSE DE TOCA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</si>
</sst>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0.0%"/>
    <numFmt numFmtId="166" formatCode="m/d/yyyy"/>
    <numFmt numFmtId="167" formatCode="_-[$R$-416]* #,##0.00_-;\-[$R$-416]* #,##0.00_-;_-[$R$-416]* &quot;-&quot;??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FF00"/>
      <name val="Calibri"/>
      <family val="2"/>
      <scheme val="minor"/>
    </font>
    <font>
      <sz val="14"/>
      <color rgb="FF00FF00"/>
      <name val="Calibri"/>
      <family val="2"/>
      <scheme val="minor"/>
    </font>
    <font>
      <sz val="18"/>
      <color theme="0"/>
      <name val="Arial Narrow"/>
      <family val="2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0"/>
      <name val="Arial Narrow"/>
      <family val="2"/>
    </font>
    <font>
      <b/>
      <sz val="14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70C0"/>
        <bgColor indexed="64"/>
      </pattern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center" vertical="center"/>
    </xf>
    <xf numFmtId="164" fontId="2" fillId="0" borderId="0" xfId="1" applyFont="1" applyAlignment="1">
      <alignment horizontal="center" vertical="center"/>
    </xf>
    <xf numFmtId="14" fontId="0" fillId="0" borderId="0" xfId="0" applyNumberFormat="1"/>
    <xf numFmtId="164" fontId="0" fillId="0" borderId="0" xfId="1" applyFont="1"/>
    <xf numFmtId="0" fontId="0" fillId="0" borderId="0" xfId="0" applyAlignment="1">
      <alignment horizontal="center"/>
    </xf>
    <xf numFmtId="0" fontId="0" fillId="2" borderId="0" xfId="0" applyFill="1"/>
    <xf numFmtId="1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4" fontId="0" fillId="0" borderId="0" xfId="1" applyNumberFormat="1" applyFont="1" applyAlignment="1">
      <alignment horizontal="center"/>
    </xf>
    <xf numFmtId="14" fontId="2" fillId="0" borderId="0" xfId="1" applyNumberFormat="1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64" fontId="0" fillId="0" borderId="0" xfId="1" applyFont="1" applyAlignment="1">
      <alignment horizontal="center" wrapText="1"/>
    </xf>
    <xf numFmtId="0" fontId="0" fillId="3" borderId="0" xfId="0" applyFill="1"/>
    <xf numFmtId="0" fontId="0" fillId="4" borderId="0" xfId="0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164" fontId="11" fillId="0" borderId="0" xfId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166" fontId="10" fillId="0" borderId="0" xfId="0" applyNumberFormat="1" applyFont="1"/>
    <xf numFmtId="164" fontId="10" fillId="0" borderId="0" xfId="1" applyFont="1"/>
    <xf numFmtId="0" fontId="0" fillId="0" borderId="0" xfId="0" applyAlignment="1">
      <alignment horizontal="center" vertical="top"/>
    </xf>
    <xf numFmtId="164" fontId="0" fillId="0" borderId="0" xfId="1" applyFont="1" applyAlignment="1">
      <alignment horizontal="center" vertical="top"/>
    </xf>
    <xf numFmtId="0" fontId="13" fillId="8" borderId="19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164" fontId="13" fillId="8" borderId="18" xfId="1" applyNumberFormat="1" applyFont="1" applyFill="1" applyBorder="1" applyAlignment="1">
      <alignment horizontal="center" vertical="center"/>
    </xf>
    <xf numFmtId="14" fontId="13" fillId="8" borderId="18" xfId="0" applyNumberFormat="1" applyFont="1" applyFill="1" applyBorder="1" applyAlignment="1">
      <alignment horizontal="center" vertical="center" wrapText="1"/>
    </xf>
    <xf numFmtId="164" fontId="13" fillId="8" borderId="20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4" fontId="0" fillId="0" borderId="0" xfId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/>
    </xf>
    <xf numFmtId="164" fontId="16" fillId="0" borderId="0" xfId="1" applyFont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64" fontId="0" fillId="0" borderId="0" xfId="1" applyFont="1" applyAlignment="1" applyProtection="1">
      <alignment horizontal="center"/>
      <protection locked="0"/>
    </xf>
    <xf numFmtId="14" fontId="0" fillId="0" borderId="0" xfId="1" applyNumberFormat="1" applyFont="1" applyAlignment="1" applyProtection="1">
      <alignment horizontal="center"/>
      <protection locked="0"/>
    </xf>
    <xf numFmtId="44" fontId="0" fillId="0" borderId="0" xfId="0" applyNumberFormat="1" applyAlignment="1" applyProtection="1">
      <alignment horizontal="center"/>
    </xf>
    <xf numFmtId="167" fontId="0" fillId="0" borderId="0" xfId="1" applyNumberFormat="1" applyFont="1" applyAlignment="1" applyProtection="1">
      <alignment horizontal="center"/>
    </xf>
    <xf numFmtId="0" fontId="3" fillId="2" borderId="21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164" fontId="3" fillId="2" borderId="0" xfId="1" applyNumberFormat="1" applyFont="1" applyFill="1" applyBorder="1" applyAlignment="1">
      <alignment horizontal="center" vertical="top"/>
    </xf>
    <xf numFmtId="14" fontId="3" fillId="2" borderId="0" xfId="1" applyNumberFormat="1" applyFont="1" applyFill="1" applyBorder="1" applyAlignment="1">
      <alignment horizontal="center" vertical="top"/>
    </xf>
    <xf numFmtId="164" fontId="3" fillId="2" borderId="0" xfId="1" applyFont="1" applyFill="1" applyBorder="1" applyAlignment="1">
      <alignment horizontal="center" vertical="top"/>
    </xf>
    <xf numFmtId="14" fontId="3" fillId="2" borderId="0" xfId="0" applyNumberFormat="1" applyFont="1" applyFill="1" applyBorder="1" applyAlignment="1">
      <alignment horizontal="center" vertical="top"/>
    </xf>
    <xf numFmtId="167" fontId="3" fillId="2" borderId="22" xfId="1" applyNumberFormat="1" applyFont="1" applyFill="1" applyBorder="1" applyAlignment="1" applyProtection="1">
      <alignment horizontal="center" vertical="top" wrapText="1"/>
    </xf>
    <xf numFmtId="44" fontId="16" fillId="0" borderId="0" xfId="0" applyNumberFormat="1" applyFont="1" applyAlignment="1" applyProtection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164" fontId="3" fillId="0" borderId="0" xfId="1" applyFont="1" applyAlignment="1">
      <alignment horizontal="center" vertical="center"/>
    </xf>
    <xf numFmtId="14" fontId="4" fillId="0" borderId="0" xfId="0" applyNumberFormat="1" applyFont="1"/>
    <xf numFmtId="49" fontId="0" fillId="0" borderId="0" xfId="0" applyNumberFormat="1"/>
    <xf numFmtId="0" fontId="12" fillId="0" borderId="0" xfId="0" applyFont="1"/>
    <xf numFmtId="0" fontId="12" fillId="0" borderId="0" xfId="0" applyFont="1" applyAlignment="1">
      <alignment horizontal="center" vertical="center"/>
    </xf>
    <xf numFmtId="164" fontId="12" fillId="0" borderId="0" xfId="1" applyFont="1"/>
    <xf numFmtId="14" fontId="12" fillId="0" borderId="0" xfId="0" applyNumberFormat="1" applyFont="1"/>
    <xf numFmtId="166" fontId="0" fillId="0" borderId="0" xfId="0" applyNumberFormat="1" applyAlignment="1">
      <alignment horizontal="center" vertical="center"/>
    </xf>
    <xf numFmtId="0" fontId="16" fillId="0" borderId="0" xfId="0" applyFont="1" applyAlignment="1" applyProtection="1">
      <alignment horizontal="center" vertical="top"/>
    </xf>
    <xf numFmtId="0" fontId="0" fillId="0" borderId="0" xfId="0" applyAlignment="1" applyProtection="1">
      <alignment horizontal="center" vertical="top"/>
      <protection locked="0"/>
    </xf>
    <xf numFmtId="0" fontId="19" fillId="0" borderId="0" xfId="0" applyFont="1" applyAlignment="1" applyProtection="1">
      <alignment horizontal="center"/>
    </xf>
    <xf numFmtId="164" fontId="2" fillId="0" borderId="0" xfId="1" applyFont="1" applyAlignment="1" applyProtection="1">
      <alignment horizontal="center"/>
      <protection locked="0"/>
    </xf>
    <xf numFmtId="164" fontId="2" fillId="0" borderId="0" xfId="1" applyFont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49" fontId="7" fillId="2" borderId="13" xfId="0" applyNumberFormat="1" applyFont="1" applyFill="1" applyBorder="1" applyAlignment="1">
      <alignment horizontal="center" vertical="center" wrapText="1"/>
    </xf>
    <xf numFmtId="164" fontId="6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64" fontId="5" fillId="2" borderId="5" xfId="0" applyNumberFormat="1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5" fillId="2" borderId="6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horizontal="left" vertical="center" wrapText="1"/>
    </xf>
    <xf numFmtId="0" fontId="5" fillId="2" borderId="8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left" vertical="center" wrapText="1"/>
    </xf>
    <xf numFmtId="164" fontId="5" fillId="2" borderId="5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4" fillId="2" borderId="0" xfId="0" applyFont="1" applyFill="1"/>
    <xf numFmtId="0" fontId="7" fillId="2" borderId="5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164" fontId="0" fillId="6" borderId="1" xfId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9" fillId="0" borderId="23" xfId="0" applyFont="1" applyBorder="1" applyAlignment="1">
      <alignment horizontal="center" vertical="center"/>
    </xf>
    <xf numFmtId="164" fontId="15" fillId="5" borderId="0" xfId="1" applyFont="1" applyFill="1" applyAlignment="1">
      <alignment horizontal="center" vertical="center"/>
    </xf>
    <xf numFmtId="49" fontId="9" fillId="7" borderId="0" xfId="0" applyNumberFormat="1" applyFont="1" applyFill="1" applyAlignment="1">
      <alignment horizontal="center" vertical="center"/>
    </xf>
    <xf numFmtId="0" fontId="20" fillId="0" borderId="0" xfId="0" applyFont="1"/>
    <xf numFmtId="0" fontId="21" fillId="5" borderId="0" xfId="0" applyFont="1" applyFill="1" applyAlignment="1">
      <alignment horizontal="center" vertical="center" wrapText="1"/>
    </xf>
    <xf numFmtId="164" fontId="22" fillId="5" borderId="0" xfId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11" borderId="25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top" wrapText="1"/>
    </xf>
    <xf numFmtId="0" fontId="25" fillId="8" borderId="18" xfId="0" applyFont="1" applyFill="1" applyBorder="1" applyAlignment="1">
      <alignment horizontal="center" vertical="top" wrapText="1"/>
    </xf>
    <xf numFmtId="164" fontId="25" fillId="8" borderId="18" xfId="1" applyNumberFormat="1" applyFont="1" applyFill="1" applyBorder="1" applyAlignment="1">
      <alignment horizontal="center" vertical="top" wrapText="1"/>
    </xf>
    <xf numFmtId="14" fontId="25" fillId="8" borderId="18" xfId="1" applyNumberFormat="1" applyFont="1" applyFill="1" applyBorder="1" applyAlignment="1">
      <alignment horizontal="center" vertical="top" wrapText="1"/>
    </xf>
    <xf numFmtId="14" fontId="25" fillId="8" borderId="18" xfId="0" applyNumberFormat="1" applyFont="1" applyFill="1" applyBorder="1" applyAlignment="1">
      <alignment horizontal="center" vertical="top" wrapText="1"/>
    </xf>
    <xf numFmtId="167" fontId="25" fillId="8" borderId="20" xfId="1" applyNumberFormat="1" applyFont="1" applyFill="1" applyBorder="1" applyAlignment="1">
      <alignment horizontal="right" vertical="top" wrapText="1"/>
    </xf>
    <xf numFmtId="0" fontId="26" fillId="0" borderId="0" xfId="0" applyFont="1" applyAlignment="1">
      <alignment horizontal="center" vertical="center"/>
    </xf>
    <xf numFmtId="0" fontId="26" fillId="0" borderId="0" xfId="0" applyFont="1"/>
    <xf numFmtId="164" fontId="27" fillId="0" borderId="0" xfId="1" applyFont="1" applyAlignment="1">
      <alignment horizontal="center" vertical="center"/>
    </xf>
    <xf numFmtId="14" fontId="27" fillId="0" borderId="0" xfId="1" applyNumberFormat="1" applyFont="1" applyAlignment="1">
      <alignment horizontal="center" vertical="center"/>
    </xf>
    <xf numFmtId="164" fontId="26" fillId="0" borderId="0" xfId="1" applyFont="1" applyAlignment="1">
      <alignment horizontal="center" vertical="center"/>
    </xf>
    <xf numFmtId="14" fontId="26" fillId="0" borderId="0" xfId="0" applyNumberFormat="1" applyFont="1"/>
    <xf numFmtId="44" fontId="26" fillId="0" borderId="0" xfId="0" applyNumberFormat="1" applyFont="1" applyAlignment="1" applyProtection="1">
      <alignment horizontal="center"/>
    </xf>
    <xf numFmtId="0" fontId="26" fillId="0" borderId="0" xfId="0" applyFont="1" applyAlignment="1" applyProtection="1">
      <alignment horizontal="center"/>
      <protection locked="0"/>
    </xf>
    <xf numFmtId="164" fontId="26" fillId="0" borderId="0" xfId="1" applyFont="1" applyAlignment="1" applyProtection="1">
      <alignment horizontal="center"/>
      <protection locked="0"/>
    </xf>
    <xf numFmtId="14" fontId="26" fillId="0" borderId="0" xfId="1" applyNumberFormat="1" applyFont="1" applyAlignment="1" applyProtection="1">
      <alignment horizontal="center"/>
      <protection locked="0"/>
    </xf>
    <xf numFmtId="14" fontId="26" fillId="0" borderId="0" xfId="0" applyNumberFormat="1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164" fontId="26" fillId="0" borderId="0" xfId="1" applyFont="1" applyAlignment="1" applyProtection="1">
      <alignment horizontal="center" vertical="center"/>
      <protection locked="0"/>
    </xf>
    <xf numFmtId="167" fontId="26" fillId="0" borderId="0" xfId="1" applyNumberFormat="1" applyFont="1" applyAlignment="1" applyProtection="1">
      <alignment horizontal="center"/>
    </xf>
    <xf numFmtId="14" fontId="12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3" fillId="8" borderId="0" xfId="0" applyFont="1" applyFill="1" applyBorder="1" applyAlignment="1">
      <alignment horizontal="center"/>
    </xf>
    <xf numFmtId="49" fontId="3" fillId="8" borderId="0" xfId="0" applyNumberFormat="1" applyFont="1" applyFill="1" applyBorder="1" applyAlignment="1">
      <alignment horizontal="center"/>
    </xf>
    <xf numFmtId="0" fontId="0" fillId="9" borderId="0" xfId="0" applyFont="1" applyFill="1" applyBorder="1" applyAlignment="1">
      <alignment horizontal="center"/>
    </xf>
    <xf numFmtId="49" fontId="0" fillId="9" borderId="0" xfId="0" applyNumberFormat="1" applyFont="1" applyFill="1" applyBorder="1" applyAlignment="1">
      <alignment horizontal="center"/>
    </xf>
    <xf numFmtId="0" fontId="0" fillId="9" borderId="0" xfId="0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49" fontId="0" fillId="0" borderId="0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42">
    <dxf>
      <font>
        <color rgb="FF9C0006"/>
      </font>
    </dxf>
    <dxf>
      <font>
        <color rgb="FF9C0006"/>
      </font>
    </dxf>
    <dxf>
      <alignment horizontal="center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m/d/yyyy"/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protection locked="1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b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6" formatCode="m/d/yyyy"/>
    </dxf>
    <dxf>
      <numFmt numFmtId="166" formatCode="m/d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m/d/yyyy"/>
    </dxf>
    <dxf>
      <numFmt numFmtId="166" formatCode="m/d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F6557"/>
      <color rgb="FFFF7C80"/>
      <color rgb="FF33CCFF"/>
      <color rgb="FF00FF00"/>
      <color rgb="FFFF0000"/>
      <color rgb="FFF999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104775</xdr:rowOff>
        </xdr:from>
        <xdr:to>
          <xdr:col>2</xdr:col>
          <xdr:colOff>485775</xdr:colOff>
          <xdr:row>0</xdr:row>
          <xdr:rowOff>485775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104775</xdr:rowOff>
        </xdr:from>
        <xdr:to>
          <xdr:col>2</xdr:col>
          <xdr:colOff>485775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104775</xdr:rowOff>
        </xdr:from>
        <xdr:to>
          <xdr:col>2</xdr:col>
          <xdr:colOff>485775</xdr:colOff>
          <xdr:row>0</xdr:row>
          <xdr:rowOff>485775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819150</xdr:colOff>
          <xdr:row>6</xdr:row>
          <xdr:rowOff>0</xdr:rowOff>
        </xdr:from>
        <xdr:to>
          <xdr:col>30</xdr:col>
          <xdr:colOff>342900</xdr:colOff>
          <xdr:row>7</xdr:row>
          <xdr:rowOff>57150</xdr:rowOff>
        </xdr:to>
        <xdr:sp macro="" textlink="">
          <xdr:nvSpPr>
            <xdr:cNvPr id="10249" name="ComboBox1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4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66675</xdr:rowOff>
        </xdr:from>
        <xdr:to>
          <xdr:col>10</xdr:col>
          <xdr:colOff>752475</xdr:colOff>
          <xdr:row>2</xdr:row>
          <xdr:rowOff>247650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5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47625</xdr:rowOff>
        </xdr:from>
        <xdr:to>
          <xdr:col>1</xdr:col>
          <xdr:colOff>1057275</xdr:colOff>
          <xdr:row>2</xdr:row>
          <xdr:rowOff>228600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5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0</xdr:colOff>
          <xdr:row>2</xdr:row>
          <xdr:rowOff>209550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0</xdr:row>
          <xdr:rowOff>28575</xdr:rowOff>
        </xdr:from>
        <xdr:to>
          <xdr:col>10</xdr:col>
          <xdr:colOff>742950</xdr:colOff>
          <xdr:row>2</xdr:row>
          <xdr:rowOff>209550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25" displayName="Tabela25" ref="D1:J6" totalsRowShown="0" headerRowDxfId="41">
  <autoFilter ref="D1:J6" xr:uid="{00000000-0009-0000-0100-000004000000}"/>
  <tableColumns count="7">
    <tableColumn id="1" xr3:uid="{00000000-0010-0000-0000-000001000000}" name="ID" dataDxfId="40"/>
    <tableColumn id="2" xr3:uid="{00000000-0010-0000-0000-000002000000}" name="CONGREGAÇÃO"/>
    <tableColumn id="3" xr3:uid="{00000000-0010-0000-0000-000003000000}" name="VALOR DO REPASSE" dataDxfId="39" dataCellStyle="Moeda"/>
    <tableColumn id="6" xr3:uid="{00000000-0010-0000-0000-000006000000}" name="JUSTIFICATIVA" dataDxfId="38"/>
    <tableColumn id="13" xr3:uid="{00000000-0010-0000-0000-00000D000000}" name="RECIBO" dataDxfId="37"/>
    <tableColumn id="9" xr3:uid="{00000000-0010-0000-0000-000009000000}" name="DATA COMPROVANTE" dataDxfId="36"/>
    <tableColumn id="7" xr3:uid="{00000000-0010-0000-0000-000007000000}" name="DATA LANÇAMENTO" dataDxfId="3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D1:O16" headerRowDxfId="2">
  <sortState ref="D2:N9">
    <sortCondition ref="D2"/>
  </sortState>
  <tableColumns count="12">
    <tableColumn id="1" xr3:uid="{00000000-0010-0000-0100-000001000000}" name="ID" dataDxfId="34" totalsRowDxfId="3"/>
    <tableColumn id="12" xr3:uid="{00000000-0010-0000-0100-00000C000000}" name="NOME DIZIMISTA/OFERTANTE"/>
    <tableColumn id="2" xr3:uid="{00000000-0010-0000-0100-000002000000}" name="CONGREGAÇÃO"/>
    <tableColumn id="3" xr3:uid="{00000000-0010-0000-0100-000003000000}" name="DÍZIMO" totalsRowLabel=" R$1.230,88 " dataDxfId="33" totalsRowDxfId="4" dataCellStyle="Moeda" totalsRowCellStyle="Moeda"/>
    <tableColumn id="4" xr3:uid="{00000000-0010-0000-0100-000004000000}" name="OFERTA" totalsRowLabel=" R$167,61 " dataDxfId="32" totalsRowDxfId="5" dataCellStyle="Moeda" totalsRowCellStyle="Moeda"/>
    <tableColumn id="5" xr3:uid="{00000000-0010-0000-0100-000005000000}" name="OFERTA ESPECIAL" totalsRowLabel=" R$29,35 " dataDxfId="31" totalsRowDxfId="6" dataCellStyle="Moeda" totalsRowCellStyle="Moeda"/>
    <tableColumn id="6" xr3:uid="{00000000-0010-0000-0100-000006000000}" name="DESCRIÇÃO" dataDxfId="30" totalsRowDxfId="7"/>
    <tableColumn id="13" xr3:uid="{00000000-0010-0000-0100-00000D000000}" name="RECIBO" dataDxfId="29" totalsRowDxfId="8"/>
    <tableColumn id="9" xr3:uid="{00000000-0010-0000-0100-000009000000}" name="DATA COMPROVANTE" dataDxfId="28" totalsRowDxfId="9"/>
    <tableColumn id="7" xr3:uid="{00000000-0010-0000-0100-000007000000}" name="DATA LANÇAMENTO" dataDxfId="27" totalsRowDxfId="10"/>
    <tableColumn id="8" xr3:uid="{00000000-0010-0000-0100-000008000000}" name="TOTAL" totalsRowFunction="sum" dataDxfId="26" totalsRowDxfId="11" dataCellStyle="Moeda" totalsRowCellStyle="Moeda">
      <calculatedColumnFormula>SUM(G2,H2,I2)</calculatedColumnFormula>
    </tableColumn>
    <tableColumn id="10" xr3:uid="{00000000-0010-0000-0100-00000A000000}" name="OBREIRO" dataDxfId="25" totalsRowDxfId="1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a5" displayName="Tabela5" ref="D1:N29" totalsRowShown="0" tableBorderDxfId="24">
  <autoFilter ref="D1:N29" xr:uid="{00000000-0009-0000-0100-000005000000}"/>
  <tableColumns count="11">
    <tableColumn id="1" xr3:uid="{00000000-0010-0000-0200-000001000000}" name="ID" dataDxfId="23"/>
    <tableColumn id="2" xr3:uid="{00000000-0010-0000-0200-000002000000}" name="CONGREGAÇÃO" dataDxfId="22"/>
    <tableColumn id="3" xr3:uid="{00000000-0010-0000-0200-000003000000}" name="TIPO DE SAÍDA" dataDxfId="21"/>
    <tableColumn id="4" xr3:uid="{00000000-0010-0000-0200-000004000000}" name="Nº DOCUMENTO" dataDxfId="20"/>
    <tableColumn id="5" xr3:uid="{00000000-0010-0000-0200-000005000000}" name="DESCRIÇÃO SAÍDA" dataDxfId="19"/>
    <tableColumn id="6" xr3:uid="{00000000-0010-0000-0200-000006000000}" name="DATA VENCIMENTO" dataDxfId="18"/>
    <tableColumn id="7" xr3:uid="{00000000-0010-0000-0200-000007000000}" name="DATA PAGAMENTO" dataDxfId="17"/>
    <tableColumn id="8" xr3:uid="{00000000-0010-0000-0200-000008000000}" name="VALOR DOCUMENTO" dataDxfId="16" dataCellStyle="Moeda"/>
    <tableColumn id="9" xr3:uid="{00000000-0010-0000-0200-000009000000}" name="VALOR PAGO" dataDxfId="15" dataCellStyle="Moeda"/>
    <tableColumn id="10" xr3:uid="{00000000-0010-0000-0200-00000A000000}" name="DATA LANÇAMENTO" dataDxfId="14"/>
    <tableColumn id="11" xr3:uid="{00000000-0010-0000-0200-00000B000000}" name="JUROS_x000a_DESCONTO" dataDxfId="13">
      <calculatedColumnFormula>IF(K2-L2&lt;&gt;0,K2-L2,0)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tabColor theme="4" tint="0.59999389629810485"/>
  </sheetPr>
  <dimension ref="A1:E311"/>
  <sheetViews>
    <sheetView tabSelected="1" workbookViewId="0"/>
  </sheetViews>
  <sheetFormatPr defaultRowHeight="15" x14ac:dyDescent="0.25"/>
  <cols>
    <col min="1" max="1" width="12.85546875" bestFit="1" customWidth="1"/>
    <col min="2" max="2" width="13.42578125" bestFit="1" customWidth="1"/>
    <col min="3" max="3" width="46.42578125" style="55" bestFit="1" customWidth="1"/>
    <col min="4" max="4" width="27.7109375" bestFit="1" customWidth="1"/>
    <col min="5" max="5" width="11.140625" bestFit="1" customWidth="1"/>
  </cols>
  <sheetData>
    <row r="1" spans="1:5" x14ac:dyDescent="0.25">
      <c r="A1" s="154" t="s">
        <v>0</v>
      </c>
      <c r="B1" s="154" t="s">
        <v>1</v>
      </c>
      <c r="C1" s="155" t="s">
        <v>2</v>
      </c>
      <c r="D1" s="154" t="s">
        <v>3</v>
      </c>
      <c r="E1" s="154" t="s">
        <v>405</v>
      </c>
    </row>
    <row r="2" spans="1:5" x14ac:dyDescent="0.25">
      <c r="A2" s="156">
        <v>1</v>
      </c>
      <c r="B2" s="156" t="s">
        <v>96</v>
      </c>
      <c r="C2" s="157" t="s">
        <v>55</v>
      </c>
      <c r="D2" s="156" t="s">
        <v>87</v>
      </c>
      <c r="E2" s="158" t="s">
        <v>406</v>
      </c>
    </row>
    <row r="3" spans="1:5" x14ac:dyDescent="0.25">
      <c r="A3" s="159">
        <v>2</v>
      </c>
      <c r="B3" s="159" t="s">
        <v>96</v>
      </c>
      <c r="C3" s="160" t="s">
        <v>97</v>
      </c>
      <c r="D3" s="159" t="s">
        <v>87</v>
      </c>
      <c r="E3" s="161" t="s">
        <v>406</v>
      </c>
    </row>
    <row r="4" spans="1:5" x14ac:dyDescent="0.25">
      <c r="A4" s="156">
        <v>3</v>
      </c>
      <c r="B4" s="156" t="s">
        <v>96</v>
      </c>
      <c r="C4" s="157" t="s">
        <v>98</v>
      </c>
      <c r="D4" s="156" t="s">
        <v>87</v>
      </c>
      <c r="E4" s="158" t="s">
        <v>406</v>
      </c>
    </row>
    <row r="5" spans="1:5" x14ac:dyDescent="0.25">
      <c r="A5" s="159">
        <v>4</v>
      </c>
      <c r="B5" s="159" t="s">
        <v>96</v>
      </c>
      <c r="C5" s="160" t="s">
        <v>95</v>
      </c>
      <c r="D5" s="159" t="s">
        <v>87</v>
      </c>
      <c r="E5" s="161" t="s">
        <v>406</v>
      </c>
    </row>
    <row r="6" spans="1:5" x14ac:dyDescent="0.25">
      <c r="A6" s="156">
        <v>5</v>
      </c>
      <c r="B6" s="156" t="s">
        <v>96</v>
      </c>
      <c r="C6" s="157" t="s">
        <v>99</v>
      </c>
      <c r="D6" s="156" t="s">
        <v>87</v>
      </c>
      <c r="E6" s="158" t="s">
        <v>406</v>
      </c>
    </row>
    <row r="7" spans="1:5" x14ac:dyDescent="0.25">
      <c r="A7" s="159">
        <v>6</v>
      </c>
      <c r="B7" s="159" t="s">
        <v>96</v>
      </c>
      <c r="C7" s="160" t="s">
        <v>100</v>
      </c>
      <c r="D7" s="159" t="s">
        <v>87</v>
      </c>
      <c r="E7" s="161" t="s">
        <v>406</v>
      </c>
    </row>
    <row r="8" spans="1:5" x14ac:dyDescent="0.25">
      <c r="A8" s="156">
        <v>7</v>
      </c>
      <c r="B8" s="156" t="s">
        <v>96</v>
      </c>
      <c r="C8" s="157" t="s">
        <v>101</v>
      </c>
      <c r="D8" s="156" t="s">
        <v>87</v>
      </c>
      <c r="E8" s="158" t="s">
        <v>406</v>
      </c>
    </row>
    <row r="9" spans="1:5" x14ac:dyDescent="0.25">
      <c r="A9" s="159">
        <v>8</v>
      </c>
      <c r="B9" s="159" t="s">
        <v>96</v>
      </c>
      <c r="C9" s="160" t="s">
        <v>57</v>
      </c>
      <c r="D9" s="159" t="s">
        <v>88</v>
      </c>
      <c r="E9" s="161" t="s">
        <v>406</v>
      </c>
    </row>
    <row r="10" spans="1:5" x14ac:dyDescent="0.25">
      <c r="A10" s="156">
        <v>9</v>
      </c>
      <c r="B10" s="156" t="s">
        <v>96</v>
      </c>
      <c r="C10" s="157" t="s">
        <v>102</v>
      </c>
      <c r="D10" s="156" t="s">
        <v>88</v>
      </c>
      <c r="E10" s="158" t="s">
        <v>406</v>
      </c>
    </row>
    <row r="11" spans="1:5" x14ac:dyDescent="0.25">
      <c r="A11" s="159">
        <v>10</v>
      </c>
      <c r="B11" s="159" t="s">
        <v>96</v>
      </c>
      <c r="C11" s="160" t="s">
        <v>103</v>
      </c>
      <c r="D11" s="159" t="s">
        <v>88</v>
      </c>
      <c r="E11" s="161" t="s">
        <v>406</v>
      </c>
    </row>
    <row r="12" spans="1:5" x14ac:dyDescent="0.25">
      <c r="A12" s="156">
        <v>11</v>
      </c>
      <c r="B12" s="156" t="s">
        <v>96</v>
      </c>
      <c r="C12" s="157" t="s">
        <v>104</v>
      </c>
      <c r="D12" s="156" t="s">
        <v>88</v>
      </c>
      <c r="E12" s="158" t="s">
        <v>406</v>
      </c>
    </row>
    <row r="13" spans="1:5" x14ac:dyDescent="0.25">
      <c r="A13" s="159">
        <v>12</v>
      </c>
      <c r="B13" s="159" t="s">
        <v>96</v>
      </c>
      <c r="C13" s="160" t="s">
        <v>105</v>
      </c>
      <c r="D13" s="159" t="s">
        <v>88</v>
      </c>
      <c r="E13" s="161" t="s">
        <v>406</v>
      </c>
    </row>
    <row r="14" spans="1:5" x14ac:dyDescent="0.25">
      <c r="A14" s="156">
        <v>13</v>
      </c>
      <c r="B14" s="156" t="s">
        <v>96</v>
      </c>
      <c r="C14" s="157" t="s">
        <v>106</v>
      </c>
      <c r="D14" s="156" t="s">
        <v>88</v>
      </c>
      <c r="E14" s="158" t="s">
        <v>406</v>
      </c>
    </row>
    <row r="15" spans="1:5" x14ac:dyDescent="0.25">
      <c r="A15" s="159">
        <v>14</v>
      </c>
      <c r="B15" s="159" t="s">
        <v>96</v>
      </c>
      <c r="C15" s="160" t="s">
        <v>107</v>
      </c>
      <c r="D15" s="159" t="s">
        <v>88</v>
      </c>
      <c r="E15" s="161" t="s">
        <v>406</v>
      </c>
    </row>
    <row r="16" spans="1:5" x14ac:dyDescent="0.25">
      <c r="A16" s="156">
        <v>15</v>
      </c>
      <c r="B16" s="156" t="s">
        <v>96</v>
      </c>
      <c r="C16" s="157" t="s">
        <v>108</v>
      </c>
      <c r="D16" s="156" t="s">
        <v>88</v>
      </c>
      <c r="E16" s="158" t="s">
        <v>406</v>
      </c>
    </row>
    <row r="17" spans="1:5" x14ac:dyDescent="0.25">
      <c r="A17" s="159">
        <v>16</v>
      </c>
      <c r="B17" s="159" t="s">
        <v>96</v>
      </c>
      <c r="C17" s="160" t="s">
        <v>66</v>
      </c>
      <c r="D17" s="159" t="s">
        <v>88</v>
      </c>
      <c r="E17" s="161" t="s">
        <v>406</v>
      </c>
    </row>
    <row r="18" spans="1:5" x14ac:dyDescent="0.25">
      <c r="A18" s="156">
        <v>17</v>
      </c>
      <c r="B18" s="156" t="s">
        <v>96</v>
      </c>
      <c r="C18" s="157" t="s">
        <v>109</v>
      </c>
      <c r="D18" s="156" t="s">
        <v>88</v>
      </c>
      <c r="E18" s="158" t="s">
        <v>406</v>
      </c>
    </row>
    <row r="19" spans="1:5" x14ac:dyDescent="0.25">
      <c r="A19" s="159">
        <v>18</v>
      </c>
      <c r="B19" s="159" t="s">
        <v>96</v>
      </c>
      <c r="C19" s="160" t="s">
        <v>110</v>
      </c>
      <c r="D19" s="159" t="s">
        <v>88</v>
      </c>
      <c r="E19" s="161" t="s">
        <v>406</v>
      </c>
    </row>
    <row r="20" spans="1:5" x14ac:dyDescent="0.25">
      <c r="A20" s="156">
        <v>19</v>
      </c>
      <c r="B20" s="156" t="s">
        <v>96</v>
      </c>
      <c r="C20" s="157" t="s">
        <v>111</v>
      </c>
      <c r="D20" s="156" t="s">
        <v>88</v>
      </c>
      <c r="E20" s="158" t="s">
        <v>406</v>
      </c>
    </row>
    <row r="21" spans="1:5" x14ac:dyDescent="0.25">
      <c r="A21" s="159">
        <v>20</v>
      </c>
      <c r="B21" s="159" t="s">
        <v>96</v>
      </c>
      <c r="C21" s="160" t="s">
        <v>112</v>
      </c>
      <c r="D21" s="159" t="s">
        <v>88</v>
      </c>
      <c r="E21" s="161" t="s">
        <v>406</v>
      </c>
    </row>
    <row r="22" spans="1:5" x14ac:dyDescent="0.25">
      <c r="A22" s="156">
        <v>21</v>
      </c>
      <c r="B22" s="156" t="s">
        <v>96</v>
      </c>
      <c r="C22" s="157" t="s">
        <v>113</v>
      </c>
      <c r="D22" s="156" t="s">
        <v>88</v>
      </c>
      <c r="E22" s="158" t="s">
        <v>406</v>
      </c>
    </row>
    <row r="23" spans="1:5" x14ac:dyDescent="0.25">
      <c r="A23" s="159">
        <v>22</v>
      </c>
      <c r="B23" s="159" t="s">
        <v>96</v>
      </c>
      <c r="C23" s="160" t="s">
        <v>114</v>
      </c>
      <c r="D23" s="159" t="s">
        <v>88</v>
      </c>
      <c r="E23" s="161" t="s">
        <v>406</v>
      </c>
    </row>
    <row r="24" spans="1:5" x14ac:dyDescent="0.25">
      <c r="A24" s="156">
        <v>23</v>
      </c>
      <c r="B24" s="156" t="s">
        <v>96</v>
      </c>
      <c r="C24" s="157" t="s">
        <v>115</v>
      </c>
      <c r="D24" s="156" t="s">
        <v>88</v>
      </c>
      <c r="E24" s="158" t="s">
        <v>406</v>
      </c>
    </row>
    <row r="25" spans="1:5" x14ac:dyDescent="0.25">
      <c r="A25" s="159">
        <v>24</v>
      </c>
      <c r="B25" s="159" t="s">
        <v>96</v>
      </c>
      <c r="C25" s="160" t="s">
        <v>116</v>
      </c>
      <c r="D25" s="159" t="s">
        <v>88</v>
      </c>
      <c r="E25" s="161" t="s">
        <v>406</v>
      </c>
    </row>
    <row r="26" spans="1:5" x14ac:dyDescent="0.25">
      <c r="A26" s="156">
        <v>25</v>
      </c>
      <c r="B26" s="156" t="s">
        <v>96</v>
      </c>
      <c r="C26" s="157" t="s">
        <v>117</v>
      </c>
      <c r="D26" s="156" t="s">
        <v>88</v>
      </c>
      <c r="E26" s="158" t="s">
        <v>407</v>
      </c>
    </row>
    <row r="27" spans="1:5" x14ac:dyDescent="0.25">
      <c r="A27" s="159">
        <v>26</v>
      </c>
      <c r="B27" s="159" t="s">
        <v>118</v>
      </c>
      <c r="C27" s="160" t="s">
        <v>119</v>
      </c>
      <c r="D27" s="159" t="s">
        <v>88</v>
      </c>
      <c r="E27" s="161" t="s">
        <v>407</v>
      </c>
    </row>
    <row r="28" spans="1:5" x14ac:dyDescent="0.25">
      <c r="A28" s="156">
        <v>27</v>
      </c>
      <c r="B28" s="156" t="s">
        <v>96</v>
      </c>
      <c r="C28" s="157" t="s">
        <v>120</v>
      </c>
      <c r="D28" s="156" t="s">
        <v>88</v>
      </c>
      <c r="E28" s="158" t="s">
        <v>406</v>
      </c>
    </row>
    <row r="29" spans="1:5" x14ac:dyDescent="0.25">
      <c r="A29" s="159">
        <v>28</v>
      </c>
      <c r="B29" s="159" t="s">
        <v>96</v>
      </c>
      <c r="C29" s="160" t="s">
        <v>121</v>
      </c>
      <c r="D29" s="159" t="s">
        <v>88</v>
      </c>
      <c r="E29" s="161" t="s">
        <v>407</v>
      </c>
    </row>
    <row r="30" spans="1:5" x14ac:dyDescent="0.25">
      <c r="A30" s="156">
        <v>29</v>
      </c>
      <c r="B30" s="156" t="s">
        <v>96</v>
      </c>
      <c r="C30" s="157" t="s">
        <v>122</v>
      </c>
      <c r="D30" s="156" t="s">
        <v>88</v>
      </c>
      <c r="E30" s="158" t="s">
        <v>406</v>
      </c>
    </row>
    <row r="31" spans="1:5" x14ac:dyDescent="0.25">
      <c r="A31" s="159">
        <v>30</v>
      </c>
      <c r="B31" s="159" t="s">
        <v>96</v>
      </c>
      <c r="C31" s="160" t="s">
        <v>123</v>
      </c>
      <c r="D31" s="159" t="s">
        <v>88</v>
      </c>
      <c r="E31" s="161" t="s">
        <v>406</v>
      </c>
    </row>
    <row r="32" spans="1:5" x14ac:dyDescent="0.25">
      <c r="A32" s="156">
        <v>31</v>
      </c>
      <c r="B32" s="156" t="s">
        <v>96</v>
      </c>
      <c r="C32" s="157" t="s">
        <v>124</v>
      </c>
      <c r="D32" s="156" t="s">
        <v>88</v>
      </c>
      <c r="E32" s="158" t="s">
        <v>406</v>
      </c>
    </row>
    <row r="33" spans="1:5" x14ac:dyDescent="0.25">
      <c r="A33" s="159">
        <v>32</v>
      </c>
      <c r="B33" s="159" t="s">
        <v>96</v>
      </c>
      <c r="C33" s="160" t="s">
        <v>125</v>
      </c>
      <c r="D33" s="159" t="s">
        <v>88</v>
      </c>
      <c r="E33" s="161" t="s">
        <v>406</v>
      </c>
    </row>
    <row r="34" spans="1:5" x14ac:dyDescent="0.25">
      <c r="A34" s="156">
        <v>33</v>
      </c>
      <c r="B34" s="156" t="s">
        <v>96</v>
      </c>
      <c r="C34" s="157" t="s">
        <v>126</v>
      </c>
      <c r="D34" s="156" t="s">
        <v>88</v>
      </c>
      <c r="E34" s="158" t="s">
        <v>406</v>
      </c>
    </row>
    <row r="35" spans="1:5" x14ac:dyDescent="0.25">
      <c r="A35" s="159">
        <v>34</v>
      </c>
      <c r="B35" s="159" t="s">
        <v>96</v>
      </c>
      <c r="C35" s="160" t="s">
        <v>127</v>
      </c>
      <c r="D35" s="159" t="s">
        <v>88</v>
      </c>
      <c r="E35" s="161" t="s">
        <v>406</v>
      </c>
    </row>
    <row r="36" spans="1:5" x14ac:dyDescent="0.25">
      <c r="A36" s="156">
        <v>35</v>
      </c>
      <c r="B36" s="156" t="s">
        <v>96</v>
      </c>
      <c r="C36" s="157" t="s">
        <v>128</v>
      </c>
      <c r="D36" s="156" t="s">
        <v>88</v>
      </c>
      <c r="E36" s="158" t="s">
        <v>406</v>
      </c>
    </row>
    <row r="37" spans="1:5" x14ac:dyDescent="0.25">
      <c r="A37" s="159">
        <v>36</v>
      </c>
      <c r="B37" s="159" t="s">
        <v>96</v>
      </c>
      <c r="C37" s="160" t="s">
        <v>129</v>
      </c>
      <c r="D37" s="159" t="s">
        <v>88</v>
      </c>
      <c r="E37" s="161" t="s">
        <v>406</v>
      </c>
    </row>
    <row r="38" spans="1:5" x14ac:dyDescent="0.25">
      <c r="A38" s="156">
        <v>37</v>
      </c>
      <c r="B38" s="156" t="s">
        <v>96</v>
      </c>
      <c r="C38" s="157" t="s">
        <v>130</v>
      </c>
      <c r="D38" s="156" t="s">
        <v>88</v>
      </c>
      <c r="E38" s="158" t="s">
        <v>406</v>
      </c>
    </row>
    <row r="39" spans="1:5" x14ac:dyDescent="0.25">
      <c r="A39" s="159">
        <v>38</v>
      </c>
      <c r="B39" s="159" t="s">
        <v>96</v>
      </c>
      <c r="C39" s="160" t="s">
        <v>131</v>
      </c>
      <c r="D39" s="159" t="s">
        <v>88</v>
      </c>
      <c r="E39" s="161" t="s">
        <v>406</v>
      </c>
    </row>
    <row r="40" spans="1:5" x14ac:dyDescent="0.25">
      <c r="A40" s="156">
        <v>39</v>
      </c>
      <c r="B40" s="156" t="s">
        <v>96</v>
      </c>
      <c r="C40" s="157" t="s">
        <v>132</v>
      </c>
      <c r="D40" s="156" t="s">
        <v>88</v>
      </c>
      <c r="E40" s="158" t="s">
        <v>406</v>
      </c>
    </row>
    <row r="41" spans="1:5" x14ac:dyDescent="0.25">
      <c r="A41" s="159">
        <v>40</v>
      </c>
      <c r="B41" s="159" t="s">
        <v>96</v>
      </c>
      <c r="C41" s="160" t="s">
        <v>133</v>
      </c>
      <c r="D41" s="159" t="s">
        <v>88</v>
      </c>
      <c r="E41" s="161" t="s">
        <v>406</v>
      </c>
    </row>
    <row r="42" spans="1:5" x14ac:dyDescent="0.25">
      <c r="A42" s="156">
        <v>41</v>
      </c>
      <c r="B42" s="156" t="s">
        <v>96</v>
      </c>
      <c r="C42" s="157" t="s">
        <v>134</v>
      </c>
      <c r="D42" s="156" t="s">
        <v>88</v>
      </c>
      <c r="E42" s="158" t="s">
        <v>406</v>
      </c>
    </row>
    <row r="43" spans="1:5" x14ac:dyDescent="0.25">
      <c r="A43" s="159">
        <v>42</v>
      </c>
      <c r="B43" s="159" t="s">
        <v>96</v>
      </c>
      <c r="C43" s="160" t="s">
        <v>135</v>
      </c>
      <c r="D43" s="159" t="s">
        <v>88</v>
      </c>
      <c r="E43" s="161" t="s">
        <v>406</v>
      </c>
    </row>
    <row r="44" spans="1:5" x14ac:dyDescent="0.25">
      <c r="A44" s="156">
        <v>43</v>
      </c>
      <c r="B44" s="156" t="s">
        <v>96</v>
      </c>
      <c r="C44" s="157" t="s">
        <v>136</v>
      </c>
      <c r="D44" s="156" t="s">
        <v>88</v>
      </c>
      <c r="E44" s="158" t="s">
        <v>406</v>
      </c>
    </row>
    <row r="45" spans="1:5" x14ac:dyDescent="0.25">
      <c r="A45" s="159">
        <v>44</v>
      </c>
      <c r="B45" s="159" t="s">
        <v>96</v>
      </c>
      <c r="C45" s="160" t="s">
        <v>137</v>
      </c>
      <c r="D45" s="159" t="s">
        <v>86</v>
      </c>
      <c r="E45" s="161" t="s">
        <v>406</v>
      </c>
    </row>
    <row r="46" spans="1:5" x14ac:dyDescent="0.25">
      <c r="A46" s="156">
        <v>45</v>
      </c>
      <c r="B46" s="156" t="s">
        <v>96</v>
      </c>
      <c r="C46" s="157" t="s">
        <v>138</v>
      </c>
      <c r="D46" s="156" t="s">
        <v>86</v>
      </c>
      <c r="E46" s="158" t="s">
        <v>406</v>
      </c>
    </row>
    <row r="47" spans="1:5" x14ac:dyDescent="0.25">
      <c r="A47" s="159">
        <v>46</v>
      </c>
      <c r="B47" s="159" t="s">
        <v>96</v>
      </c>
      <c r="C47" s="160" t="s">
        <v>139</v>
      </c>
      <c r="D47" s="159" t="s">
        <v>86</v>
      </c>
      <c r="E47" s="161" t="s">
        <v>406</v>
      </c>
    </row>
    <row r="48" spans="1:5" x14ac:dyDescent="0.25">
      <c r="A48" s="156">
        <v>47</v>
      </c>
      <c r="B48" s="156" t="s">
        <v>96</v>
      </c>
      <c r="C48" s="157" t="s">
        <v>140</v>
      </c>
      <c r="D48" s="156" t="s">
        <v>86</v>
      </c>
      <c r="E48" s="158" t="s">
        <v>406</v>
      </c>
    </row>
    <row r="49" spans="1:5" x14ac:dyDescent="0.25">
      <c r="A49" s="159">
        <v>48</v>
      </c>
      <c r="B49" s="159" t="s">
        <v>141</v>
      </c>
      <c r="C49" s="160" t="s">
        <v>142</v>
      </c>
      <c r="D49" s="159" t="s">
        <v>90</v>
      </c>
      <c r="E49" s="161" t="s">
        <v>406</v>
      </c>
    </row>
    <row r="50" spans="1:5" x14ac:dyDescent="0.25">
      <c r="A50" s="156">
        <v>49</v>
      </c>
      <c r="B50" s="156" t="s">
        <v>96</v>
      </c>
      <c r="C50" s="157" t="s">
        <v>143</v>
      </c>
      <c r="D50" s="156" t="s">
        <v>90</v>
      </c>
      <c r="E50" s="158" t="s">
        <v>406</v>
      </c>
    </row>
    <row r="51" spans="1:5" x14ac:dyDescent="0.25">
      <c r="A51" s="159">
        <v>50</v>
      </c>
      <c r="B51" s="159" t="s">
        <v>96</v>
      </c>
      <c r="C51" s="160" t="s">
        <v>144</v>
      </c>
      <c r="D51" s="159" t="s">
        <v>90</v>
      </c>
      <c r="E51" s="161" t="s">
        <v>406</v>
      </c>
    </row>
    <row r="52" spans="1:5" x14ac:dyDescent="0.25">
      <c r="A52" s="156">
        <v>51</v>
      </c>
      <c r="B52" s="156" t="s">
        <v>96</v>
      </c>
      <c r="C52" s="157" t="s">
        <v>145</v>
      </c>
      <c r="D52" s="156" t="s">
        <v>90</v>
      </c>
      <c r="E52" s="158" t="s">
        <v>406</v>
      </c>
    </row>
    <row r="53" spans="1:5" x14ac:dyDescent="0.25">
      <c r="A53" s="159">
        <v>52</v>
      </c>
      <c r="B53" s="159" t="s">
        <v>96</v>
      </c>
      <c r="C53" s="160" t="s">
        <v>146</v>
      </c>
      <c r="D53" s="159" t="s">
        <v>90</v>
      </c>
      <c r="E53" s="161" t="s">
        <v>406</v>
      </c>
    </row>
    <row r="54" spans="1:5" x14ac:dyDescent="0.25">
      <c r="A54" s="156">
        <v>53</v>
      </c>
      <c r="B54" s="156" t="s">
        <v>96</v>
      </c>
      <c r="C54" s="157" t="s">
        <v>147</v>
      </c>
      <c r="D54" s="156" t="s">
        <v>90</v>
      </c>
      <c r="E54" s="158" t="s">
        <v>406</v>
      </c>
    </row>
    <row r="55" spans="1:5" x14ac:dyDescent="0.25">
      <c r="A55" s="159">
        <v>54</v>
      </c>
      <c r="B55" s="159" t="s">
        <v>96</v>
      </c>
      <c r="C55" s="160" t="s">
        <v>148</v>
      </c>
      <c r="D55" s="159" t="s">
        <v>90</v>
      </c>
      <c r="E55" s="161" t="s">
        <v>406</v>
      </c>
    </row>
    <row r="56" spans="1:5" x14ac:dyDescent="0.25">
      <c r="A56" s="156">
        <v>55</v>
      </c>
      <c r="B56" s="156" t="s">
        <v>96</v>
      </c>
      <c r="C56" s="157" t="s">
        <v>149</v>
      </c>
      <c r="D56" s="156" t="s">
        <v>90</v>
      </c>
      <c r="E56" s="158" t="s">
        <v>406</v>
      </c>
    </row>
    <row r="57" spans="1:5" x14ac:dyDescent="0.25">
      <c r="A57" s="159">
        <v>56</v>
      </c>
      <c r="B57" s="159" t="s">
        <v>96</v>
      </c>
      <c r="C57" s="160" t="s">
        <v>150</v>
      </c>
      <c r="D57" s="159" t="s">
        <v>90</v>
      </c>
      <c r="E57" s="161" t="s">
        <v>406</v>
      </c>
    </row>
    <row r="58" spans="1:5" x14ac:dyDescent="0.25">
      <c r="A58" s="156">
        <v>57</v>
      </c>
      <c r="B58" s="156" t="s">
        <v>96</v>
      </c>
      <c r="C58" s="157" t="s">
        <v>151</v>
      </c>
      <c r="D58" s="156" t="s">
        <v>90</v>
      </c>
      <c r="E58" s="158" t="s">
        <v>406</v>
      </c>
    </row>
    <row r="59" spans="1:5" x14ac:dyDescent="0.25">
      <c r="A59" s="159">
        <v>58</v>
      </c>
      <c r="B59" s="159" t="s">
        <v>96</v>
      </c>
      <c r="C59" s="160" t="s">
        <v>152</v>
      </c>
      <c r="D59" s="159" t="s">
        <v>90</v>
      </c>
      <c r="E59" s="161" t="s">
        <v>407</v>
      </c>
    </row>
    <row r="60" spans="1:5" x14ac:dyDescent="0.25">
      <c r="A60" s="156">
        <v>59</v>
      </c>
      <c r="B60" s="156" t="s">
        <v>96</v>
      </c>
      <c r="C60" s="157" t="s">
        <v>153</v>
      </c>
      <c r="D60" s="156" t="s">
        <v>90</v>
      </c>
      <c r="E60" s="158" t="s">
        <v>406</v>
      </c>
    </row>
    <row r="61" spans="1:5" x14ac:dyDescent="0.25">
      <c r="A61" s="159">
        <v>60</v>
      </c>
      <c r="B61" s="159" t="s">
        <v>96</v>
      </c>
      <c r="C61" s="160" t="s">
        <v>154</v>
      </c>
      <c r="D61" s="159" t="s">
        <v>90</v>
      </c>
      <c r="E61" s="161" t="s">
        <v>406</v>
      </c>
    </row>
    <row r="62" spans="1:5" x14ac:dyDescent="0.25">
      <c r="A62" s="156">
        <v>61</v>
      </c>
      <c r="B62" s="156" t="s">
        <v>96</v>
      </c>
      <c r="C62" s="157" t="s">
        <v>155</v>
      </c>
      <c r="D62" s="156" t="s">
        <v>90</v>
      </c>
      <c r="E62" s="158" t="s">
        <v>406</v>
      </c>
    </row>
    <row r="63" spans="1:5" x14ac:dyDescent="0.25">
      <c r="A63" s="159">
        <v>62</v>
      </c>
      <c r="B63" s="159" t="s">
        <v>118</v>
      </c>
      <c r="C63" s="160" t="s">
        <v>156</v>
      </c>
      <c r="D63" s="159" t="s">
        <v>90</v>
      </c>
      <c r="E63" s="161" t="s">
        <v>406</v>
      </c>
    </row>
    <row r="64" spans="1:5" x14ac:dyDescent="0.25">
      <c r="A64" s="156">
        <v>63</v>
      </c>
      <c r="B64" s="156" t="s">
        <v>96</v>
      </c>
      <c r="C64" s="157" t="s">
        <v>157</v>
      </c>
      <c r="D64" s="156" t="s">
        <v>90</v>
      </c>
      <c r="E64" s="158" t="s">
        <v>406</v>
      </c>
    </row>
    <row r="65" spans="1:5" x14ac:dyDescent="0.25">
      <c r="A65" s="159">
        <v>64</v>
      </c>
      <c r="B65" s="159" t="s">
        <v>96</v>
      </c>
      <c r="C65" s="160" t="s">
        <v>158</v>
      </c>
      <c r="D65" s="159" t="s">
        <v>90</v>
      </c>
      <c r="E65" s="161" t="s">
        <v>406</v>
      </c>
    </row>
    <row r="66" spans="1:5" x14ac:dyDescent="0.25">
      <c r="A66" s="156">
        <v>65</v>
      </c>
      <c r="B66" s="156" t="s">
        <v>96</v>
      </c>
      <c r="C66" s="157" t="s">
        <v>159</v>
      </c>
      <c r="D66" s="156" t="s">
        <v>90</v>
      </c>
      <c r="E66" s="158" t="s">
        <v>406</v>
      </c>
    </row>
    <row r="67" spans="1:5" x14ac:dyDescent="0.25">
      <c r="A67" s="159">
        <v>66</v>
      </c>
      <c r="B67" s="159" t="s">
        <v>96</v>
      </c>
      <c r="C67" s="160" t="s">
        <v>160</v>
      </c>
      <c r="D67" s="159" t="s">
        <v>90</v>
      </c>
      <c r="E67" s="161" t="s">
        <v>406</v>
      </c>
    </row>
    <row r="68" spans="1:5" x14ac:dyDescent="0.25">
      <c r="A68" s="156">
        <v>67</v>
      </c>
      <c r="B68" s="156" t="s">
        <v>96</v>
      </c>
      <c r="C68" s="157" t="s">
        <v>161</v>
      </c>
      <c r="D68" s="156" t="s">
        <v>90</v>
      </c>
      <c r="E68" s="158" t="s">
        <v>406</v>
      </c>
    </row>
    <row r="69" spans="1:5" x14ac:dyDescent="0.25">
      <c r="A69" s="159">
        <v>68</v>
      </c>
      <c r="B69" s="159" t="s">
        <v>96</v>
      </c>
      <c r="C69" s="160" t="s">
        <v>162</v>
      </c>
      <c r="D69" s="159" t="s">
        <v>90</v>
      </c>
      <c r="E69" s="161" t="s">
        <v>406</v>
      </c>
    </row>
    <row r="70" spans="1:5" x14ac:dyDescent="0.25">
      <c r="A70" s="156">
        <v>69</v>
      </c>
      <c r="B70" s="156" t="s">
        <v>96</v>
      </c>
      <c r="C70" s="157" t="s">
        <v>163</v>
      </c>
      <c r="D70" s="156" t="s">
        <v>86</v>
      </c>
      <c r="E70" s="158" t="s">
        <v>406</v>
      </c>
    </row>
    <row r="71" spans="1:5" x14ac:dyDescent="0.25">
      <c r="A71" s="159">
        <v>70</v>
      </c>
      <c r="B71" s="159" t="s">
        <v>96</v>
      </c>
      <c r="C71" s="160" t="s">
        <v>164</v>
      </c>
      <c r="D71" s="159" t="s">
        <v>86</v>
      </c>
      <c r="E71" s="161" t="s">
        <v>406</v>
      </c>
    </row>
    <row r="72" spans="1:5" x14ac:dyDescent="0.25">
      <c r="A72" s="156">
        <v>71</v>
      </c>
      <c r="B72" s="156" t="s">
        <v>96</v>
      </c>
      <c r="C72" s="157" t="s">
        <v>165</v>
      </c>
      <c r="D72" s="156" t="s">
        <v>86</v>
      </c>
      <c r="E72" s="158" t="s">
        <v>406</v>
      </c>
    </row>
    <row r="73" spans="1:5" x14ac:dyDescent="0.25">
      <c r="A73" s="159">
        <v>72</v>
      </c>
      <c r="B73" s="159" t="s">
        <v>96</v>
      </c>
      <c r="C73" s="160" t="s">
        <v>166</v>
      </c>
      <c r="D73" s="159" t="s">
        <v>86</v>
      </c>
      <c r="E73" s="161" t="s">
        <v>406</v>
      </c>
    </row>
    <row r="74" spans="1:5" x14ac:dyDescent="0.25">
      <c r="A74" s="156">
        <v>73</v>
      </c>
      <c r="B74" s="156" t="s">
        <v>118</v>
      </c>
      <c r="C74" s="157" t="s">
        <v>167</v>
      </c>
      <c r="D74" s="156" t="s">
        <v>86</v>
      </c>
      <c r="E74" s="158" t="s">
        <v>406</v>
      </c>
    </row>
    <row r="75" spans="1:5" x14ac:dyDescent="0.25">
      <c r="A75" s="159">
        <v>74</v>
      </c>
      <c r="B75" s="159" t="s">
        <v>96</v>
      </c>
      <c r="C75" s="160" t="s">
        <v>168</v>
      </c>
      <c r="D75" s="159" t="s">
        <v>86</v>
      </c>
      <c r="E75" s="161" t="s">
        <v>406</v>
      </c>
    </row>
    <row r="76" spans="1:5" x14ac:dyDescent="0.25">
      <c r="A76" s="156">
        <v>75</v>
      </c>
      <c r="B76" s="156" t="s">
        <v>96</v>
      </c>
      <c r="C76" s="157" t="s">
        <v>169</v>
      </c>
      <c r="D76" s="156" t="s">
        <v>86</v>
      </c>
      <c r="E76" s="158" t="s">
        <v>406</v>
      </c>
    </row>
    <row r="77" spans="1:5" x14ac:dyDescent="0.25">
      <c r="A77" s="159">
        <v>76</v>
      </c>
      <c r="B77" s="159" t="s">
        <v>96</v>
      </c>
      <c r="C77" s="160" t="s">
        <v>170</v>
      </c>
      <c r="D77" s="159" t="s">
        <v>86</v>
      </c>
      <c r="E77" s="161" t="s">
        <v>407</v>
      </c>
    </row>
    <row r="78" spans="1:5" x14ac:dyDescent="0.25">
      <c r="A78" s="156">
        <v>77</v>
      </c>
      <c r="B78" s="156" t="s">
        <v>96</v>
      </c>
      <c r="C78" s="157" t="s">
        <v>171</v>
      </c>
      <c r="D78" s="156" t="s">
        <v>86</v>
      </c>
      <c r="E78" s="158" t="s">
        <v>406</v>
      </c>
    </row>
    <row r="79" spans="1:5" x14ac:dyDescent="0.25">
      <c r="A79" s="159">
        <v>78</v>
      </c>
      <c r="B79" s="159" t="s">
        <v>96</v>
      </c>
      <c r="C79" s="160" t="s">
        <v>172</v>
      </c>
      <c r="D79" s="159" t="s">
        <v>408</v>
      </c>
      <c r="E79" s="161" t="s">
        <v>406</v>
      </c>
    </row>
    <row r="80" spans="1:5" x14ac:dyDescent="0.25">
      <c r="A80" s="156">
        <v>79</v>
      </c>
      <c r="B80" s="156" t="s">
        <v>96</v>
      </c>
      <c r="C80" s="157" t="s">
        <v>173</v>
      </c>
      <c r="D80" s="156" t="s">
        <v>408</v>
      </c>
      <c r="E80" s="158" t="s">
        <v>406</v>
      </c>
    </row>
    <row r="81" spans="1:5" x14ac:dyDescent="0.25">
      <c r="A81" s="159">
        <v>80</v>
      </c>
      <c r="B81" s="159" t="s">
        <v>96</v>
      </c>
      <c r="C81" s="160" t="s">
        <v>174</v>
      </c>
      <c r="D81" s="159" t="s">
        <v>408</v>
      </c>
      <c r="E81" s="161" t="s">
        <v>406</v>
      </c>
    </row>
    <row r="82" spans="1:5" x14ac:dyDescent="0.25">
      <c r="A82" s="156">
        <v>81</v>
      </c>
      <c r="B82" s="156" t="s">
        <v>96</v>
      </c>
      <c r="C82" s="157" t="s">
        <v>175</v>
      </c>
      <c r="D82" s="156" t="s">
        <v>408</v>
      </c>
      <c r="E82" s="158" t="s">
        <v>407</v>
      </c>
    </row>
    <row r="83" spans="1:5" x14ac:dyDescent="0.25">
      <c r="A83" s="159">
        <v>82</v>
      </c>
      <c r="B83" s="159" t="s">
        <v>96</v>
      </c>
      <c r="C83" s="160" t="s">
        <v>176</v>
      </c>
      <c r="D83" s="159" t="s">
        <v>408</v>
      </c>
      <c r="E83" s="161" t="s">
        <v>406</v>
      </c>
    </row>
    <row r="84" spans="1:5" x14ac:dyDescent="0.25">
      <c r="A84" s="156">
        <v>83</v>
      </c>
      <c r="B84" s="156" t="s">
        <v>96</v>
      </c>
      <c r="C84" s="157" t="s">
        <v>177</v>
      </c>
      <c r="D84" s="156" t="s">
        <v>408</v>
      </c>
      <c r="E84" s="158" t="s">
        <v>406</v>
      </c>
    </row>
    <row r="85" spans="1:5" x14ac:dyDescent="0.25">
      <c r="A85" s="159">
        <v>84</v>
      </c>
      <c r="B85" s="159" t="s">
        <v>96</v>
      </c>
      <c r="C85" s="160" t="s">
        <v>178</v>
      </c>
      <c r="D85" s="159" t="s">
        <v>408</v>
      </c>
      <c r="E85" s="161" t="s">
        <v>407</v>
      </c>
    </row>
    <row r="86" spans="1:5" x14ac:dyDescent="0.25">
      <c r="A86" s="156">
        <v>85</v>
      </c>
      <c r="B86" s="156" t="s">
        <v>96</v>
      </c>
      <c r="C86" s="157" t="s">
        <v>179</v>
      </c>
      <c r="D86" s="156" t="s">
        <v>408</v>
      </c>
      <c r="E86" s="158" t="s">
        <v>407</v>
      </c>
    </row>
    <row r="87" spans="1:5" x14ac:dyDescent="0.25">
      <c r="A87" s="159">
        <v>86</v>
      </c>
      <c r="B87" s="159" t="s">
        <v>96</v>
      </c>
      <c r="C87" s="160" t="s">
        <v>180</v>
      </c>
      <c r="D87" s="159" t="s">
        <v>408</v>
      </c>
      <c r="E87" s="161" t="s">
        <v>406</v>
      </c>
    </row>
    <row r="88" spans="1:5" x14ac:dyDescent="0.25">
      <c r="A88" s="156">
        <v>87</v>
      </c>
      <c r="B88" s="156" t="s">
        <v>96</v>
      </c>
      <c r="C88" s="157" t="s">
        <v>181</v>
      </c>
      <c r="D88" s="156" t="s">
        <v>408</v>
      </c>
      <c r="E88" s="158" t="s">
        <v>406</v>
      </c>
    </row>
    <row r="89" spans="1:5" x14ac:dyDescent="0.25">
      <c r="A89" s="159">
        <v>88</v>
      </c>
      <c r="B89" s="159" t="s">
        <v>96</v>
      </c>
      <c r="C89" s="160" t="s">
        <v>182</v>
      </c>
      <c r="D89" s="159" t="s">
        <v>408</v>
      </c>
      <c r="E89" s="161" t="s">
        <v>406</v>
      </c>
    </row>
    <row r="90" spans="1:5" x14ac:dyDescent="0.25">
      <c r="A90" s="156">
        <v>89</v>
      </c>
      <c r="B90" s="156" t="s">
        <v>96</v>
      </c>
      <c r="C90" s="157" t="s">
        <v>183</v>
      </c>
      <c r="D90" s="156" t="s">
        <v>408</v>
      </c>
      <c r="E90" s="158" t="s">
        <v>406</v>
      </c>
    </row>
    <row r="91" spans="1:5" x14ac:dyDescent="0.25">
      <c r="A91" s="159">
        <v>90</v>
      </c>
      <c r="B91" s="159" t="s">
        <v>96</v>
      </c>
      <c r="C91" s="160" t="s">
        <v>184</v>
      </c>
      <c r="D91" s="159" t="s">
        <v>408</v>
      </c>
      <c r="E91" s="161" t="s">
        <v>406</v>
      </c>
    </row>
    <row r="92" spans="1:5" x14ac:dyDescent="0.25">
      <c r="A92" s="156">
        <v>91</v>
      </c>
      <c r="B92" s="156" t="s">
        <v>96</v>
      </c>
      <c r="C92" s="157" t="s">
        <v>185</v>
      </c>
      <c r="D92" s="156" t="s">
        <v>408</v>
      </c>
      <c r="E92" s="158" t="s">
        <v>406</v>
      </c>
    </row>
    <row r="93" spans="1:5" x14ac:dyDescent="0.25">
      <c r="A93" s="159">
        <v>92</v>
      </c>
      <c r="B93" s="159" t="s">
        <v>96</v>
      </c>
      <c r="C93" s="160" t="s">
        <v>186</v>
      </c>
      <c r="D93" s="159" t="s">
        <v>408</v>
      </c>
      <c r="E93" s="161" t="s">
        <v>406</v>
      </c>
    </row>
    <row r="94" spans="1:5" x14ac:dyDescent="0.25">
      <c r="A94" s="156">
        <v>93</v>
      </c>
      <c r="B94" s="156" t="s">
        <v>96</v>
      </c>
      <c r="C94" s="157" t="s">
        <v>187</v>
      </c>
      <c r="D94" s="156" t="s">
        <v>408</v>
      </c>
      <c r="E94" s="158" t="s">
        <v>406</v>
      </c>
    </row>
    <row r="95" spans="1:5" x14ac:dyDescent="0.25">
      <c r="A95" s="159">
        <v>94</v>
      </c>
      <c r="B95" s="159" t="s">
        <v>96</v>
      </c>
      <c r="C95" s="160" t="s">
        <v>188</v>
      </c>
      <c r="D95" s="159" t="s">
        <v>408</v>
      </c>
      <c r="E95" s="161" t="s">
        <v>406</v>
      </c>
    </row>
    <row r="96" spans="1:5" x14ac:dyDescent="0.25">
      <c r="A96" s="156">
        <v>95</v>
      </c>
      <c r="B96" s="156" t="s">
        <v>96</v>
      </c>
      <c r="C96" s="157" t="s">
        <v>189</v>
      </c>
      <c r="D96" s="156" t="s">
        <v>408</v>
      </c>
      <c r="E96" s="158" t="s">
        <v>406</v>
      </c>
    </row>
    <row r="97" spans="1:5" x14ac:dyDescent="0.25">
      <c r="A97" s="159">
        <v>96</v>
      </c>
      <c r="B97" s="159" t="s">
        <v>96</v>
      </c>
      <c r="C97" s="160" t="s">
        <v>190</v>
      </c>
      <c r="D97" s="159" t="s">
        <v>408</v>
      </c>
      <c r="E97" s="161" t="s">
        <v>406</v>
      </c>
    </row>
    <row r="98" spans="1:5" x14ac:dyDescent="0.25">
      <c r="A98" s="156">
        <v>97</v>
      </c>
      <c r="B98" s="156" t="s">
        <v>96</v>
      </c>
      <c r="C98" s="157" t="s">
        <v>191</v>
      </c>
      <c r="D98" s="156" t="s">
        <v>408</v>
      </c>
      <c r="E98" s="158" t="s">
        <v>406</v>
      </c>
    </row>
    <row r="99" spans="1:5" x14ac:dyDescent="0.25">
      <c r="A99" s="159">
        <v>98</v>
      </c>
      <c r="B99" s="159" t="s">
        <v>96</v>
      </c>
      <c r="C99" s="160" t="s">
        <v>192</v>
      </c>
      <c r="D99" s="159" t="s">
        <v>408</v>
      </c>
      <c r="E99" s="161" t="s">
        <v>406</v>
      </c>
    </row>
    <row r="100" spans="1:5" x14ac:dyDescent="0.25">
      <c r="A100" s="156">
        <v>99</v>
      </c>
      <c r="B100" s="156" t="s">
        <v>118</v>
      </c>
      <c r="C100" s="157" t="s">
        <v>193</v>
      </c>
      <c r="D100" s="156" t="s">
        <v>408</v>
      </c>
      <c r="E100" s="158" t="s">
        <v>406</v>
      </c>
    </row>
    <row r="101" spans="1:5" x14ac:dyDescent="0.25">
      <c r="A101" s="159">
        <v>100</v>
      </c>
      <c r="B101" s="159" t="s">
        <v>96</v>
      </c>
      <c r="C101" s="160" t="s">
        <v>194</v>
      </c>
      <c r="D101" s="159" t="s">
        <v>92</v>
      </c>
      <c r="E101" s="161" t="s">
        <v>406</v>
      </c>
    </row>
    <row r="102" spans="1:5" x14ac:dyDescent="0.25">
      <c r="A102" s="156">
        <v>101</v>
      </c>
      <c r="B102" s="156" t="s">
        <v>96</v>
      </c>
      <c r="C102" s="157" t="s">
        <v>195</v>
      </c>
      <c r="D102" s="156" t="s">
        <v>92</v>
      </c>
      <c r="E102" s="158" t="s">
        <v>406</v>
      </c>
    </row>
    <row r="103" spans="1:5" x14ac:dyDescent="0.25">
      <c r="A103" s="159">
        <v>102</v>
      </c>
      <c r="B103" s="159" t="s">
        <v>96</v>
      </c>
      <c r="C103" s="160" t="s">
        <v>196</v>
      </c>
      <c r="D103" s="159" t="s">
        <v>92</v>
      </c>
      <c r="E103" s="161" t="s">
        <v>406</v>
      </c>
    </row>
    <row r="104" spans="1:5" x14ac:dyDescent="0.25">
      <c r="A104" s="156">
        <v>103</v>
      </c>
      <c r="B104" s="156" t="s">
        <v>96</v>
      </c>
      <c r="C104" s="157" t="s">
        <v>197</v>
      </c>
      <c r="D104" s="156" t="s">
        <v>92</v>
      </c>
      <c r="E104" s="158" t="s">
        <v>406</v>
      </c>
    </row>
    <row r="105" spans="1:5" x14ac:dyDescent="0.25">
      <c r="A105" s="159">
        <v>104</v>
      </c>
      <c r="B105" s="159" t="s">
        <v>96</v>
      </c>
      <c r="C105" s="160" t="s">
        <v>198</v>
      </c>
      <c r="D105" s="159" t="s">
        <v>92</v>
      </c>
      <c r="E105" s="161" t="s">
        <v>406</v>
      </c>
    </row>
    <row r="106" spans="1:5" x14ac:dyDescent="0.25">
      <c r="A106" s="156">
        <v>105</v>
      </c>
      <c r="B106" s="156" t="s">
        <v>96</v>
      </c>
      <c r="C106" s="157" t="s">
        <v>199</v>
      </c>
      <c r="D106" s="156" t="s">
        <v>92</v>
      </c>
      <c r="E106" s="158" t="s">
        <v>406</v>
      </c>
    </row>
    <row r="107" spans="1:5" x14ac:dyDescent="0.25">
      <c r="A107" s="159">
        <v>106</v>
      </c>
      <c r="B107" s="159" t="s">
        <v>96</v>
      </c>
      <c r="C107" s="160" t="s">
        <v>200</v>
      </c>
      <c r="D107" s="159" t="s">
        <v>86</v>
      </c>
      <c r="E107" s="161" t="s">
        <v>407</v>
      </c>
    </row>
    <row r="108" spans="1:5" x14ac:dyDescent="0.25">
      <c r="A108" s="156">
        <v>107</v>
      </c>
      <c r="B108" s="156" t="s">
        <v>96</v>
      </c>
      <c r="C108" s="157" t="s">
        <v>201</v>
      </c>
      <c r="D108" s="156" t="s">
        <v>86</v>
      </c>
      <c r="E108" s="158" t="s">
        <v>406</v>
      </c>
    </row>
    <row r="109" spans="1:5" x14ac:dyDescent="0.25">
      <c r="A109" s="159">
        <v>108</v>
      </c>
      <c r="B109" s="159" t="s">
        <v>96</v>
      </c>
      <c r="C109" s="160" t="s">
        <v>202</v>
      </c>
      <c r="D109" s="159" t="s">
        <v>86</v>
      </c>
      <c r="E109" s="161" t="s">
        <v>406</v>
      </c>
    </row>
    <row r="110" spans="1:5" x14ac:dyDescent="0.25">
      <c r="A110" s="156">
        <v>109</v>
      </c>
      <c r="B110" s="156" t="s">
        <v>96</v>
      </c>
      <c r="C110" s="157" t="s">
        <v>203</v>
      </c>
      <c r="D110" s="156" t="s">
        <v>86</v>
      </c>
      <c r="E110" s="158" t="s">
        <v>407</v>
      </c>
    </row>
    <row r="111" spans="1:5" x14ac:dyDescent="0.25">
      <c r="A111" s="159">
        <v>110</v>
      </c>
      <c r="B111" s="159" t="s">
        <v>96</v>
      </c>
      <c r="C111" s="160" t="s">
        <v>204</v>
      </c>
      <c r="D111" s="159" t="s">
        <v>86</v>
      </c>
      <c r="E111" s="161" t="s">
        <v>407</v>
      </c>
    </row>
    <row r="112" spans="1:5" x14ac:dyDescent="0.25">
      <c r="A112" s="156">
        <v>111</v>
      </c>
      <c r="B112" s="156" t="s">
        <v>96</v>
      </c>
      <c r="C112" s="157" t="s">
        <v>205</v>
      </c>
      <c r="D112" s="156" t="s">
        <v>86</v>
      </c>
      <c r="E112" s="158" t="s">
        <v>407</v>
      </c>
    </row>
    <row r="113" spans="1:5" x14ac:dyDescent="0.25">
      <c r="A113" s="159">
        <v>112</v>
      </c>
      <c r="B113" s="159" t="s">
        <v>96</v>
      </c>
      <c r="C113" s="160" t="s">
        <v>206</v>
      </c>
      <c r="D113" s="159" t="s">
        <v>86</v>
      </c>
      <c r="E113" s="161" t="s">
        <v>407</v>
      </c>
    </row>
    <row r="114" spans="1:5" x14ac:dyDescent="0.25">
      <c r="A114" s="156">
        <v>113</v>
      </c>
      <c r="B114" s="156" t="s">
        <v>96</v>
      </c>
      <c r="C114" s="157" t="s">
        <v>207</v>
      </c>
      <c r="D114" s="156" t="s">
        <v>86</v>
      </c>
      <c r="E114" s="158" t="s">
        <v>406</v>
      </c>
    </row>
    <row r="115" spans="1:5" x14ac:dyDescent="0.25">
      <c r="A115" s="159">
        <v>114</v>
      </c>
      <c r="B115" s="159" t="s">
        <v>96</v>
      </c>
      <c r="C115" s="160" t="s">
        <v>208</v>
      </c>
      <c r="D115" s="159" t="s">
        <v>86</v>
      </c>
      <c r="E115" s="161" t="s">
        <v>407</v>
      </c>
    </row>
    <row r="116" spans="1:5" x14ac:dyDescent="0.25">
      <c r="A116" s="156">
        <v>115</v>
      </c>
      <c r="B116" s="156" t="s">
        <v>96</v>
      </c>
      <c r="C116" s="157" t="s">
        <v>209</v>
      </c>
      <c r="D116" s="156" t="s">
        <v>86</v>
      </c>
      <c r="E116" s="158" t="s">
        <v>406</v>
      </c>
    </row>
    <row r="117" spans="1:5" x14ac:dyDescent="0.25">
      <c r="A117" s="159">
        <v>116</v>
      </c>
      <c r="B117" s="159" t="s">
        <v>96</v>
      </c>
      <c r="C117" s="160" t="s">
        <v>210</v>
      </c>
      <c r="D117" s="159" t="s">
        <v>86</v>
      </c>
      <c r="E117" s="161" t="s">
        <v>406</v>
      </c>
    </row>
    <row r="118" spans="1:5" x14ac:dyDescent="0.25">
      <c r="A118" s="156">
        <v>117</v>
      </c>
      <c r="B118" s="156" t="s">
        <v>96</v>
      </c>
      <c r="C118" s="157" t="s">
        <v>211</v>
      </c>
      <c r="D118" s="156" t="s">
        <v>86</v>
      </c>
      <c r="E118" s="158" t="s">
        <v>407</v>
      </c>
    </row>
    <row r="119" spans="1:5" x14ac:dyDescent="0.25">
      <c r="A119" s="159">
        <v>118</v>
      </c>
      <c r="B119" s="159" t="s">
        <v>96</v>
      </c>
      <c r="C119" s="160" t="s">
        <v>212</v>
      </c>
      <c r="D119" s="159" t="s">
        <v>86</v>
      </c>
      <c r="E119" s="161" t="s">
        <v>406</v>
      </c>
    </row>
    <row r="120" spans="1:5" x14ac:dyDescent="0.25">
      <c r="A120" s="156">
        <v>119</v>
      </c>
      <c r="B120" s="156" t="s">
        <v>96</v>
      </c>
      <c r="C120" s="157" t="s">
        <v>213</v>
      </c>
      <c r="D120" s="156" t="s">
        <v>86</v>
      </c>
      <c r="E120" s="158" t="s">
        <v>407</v>
      </c>
    </row>
    <row r="121" spans="1:5" x14ac:dyDescent="0.25">
      <c r="A121" s="159">
        <v>120</v>
      </c>
      <c r="B121" s="159" t="s">
        <v>96</v>
      </c>
      <c r="C121" s="160" t="s">
        <v>214</v>
      </c>
      <c r="D121" s="159" t="s">
        <v>86</v>
      </c>
      <c r="E121" s="161" t="s">
        <v>406</v>
      </c>
    </row>
    <row r="122" spans="1:5" x14ac:dyDescent="0.25">
      <c r="A122" s="156">
        <v>121</v>
      </c>
      <c r="B122" s="156" t="s">
        <v>96</v>
      </c>
      <c r="C122" s="157" t="s">
        <v>215</v>
      </c>
      <c r="D122" s="156" t="s">
        <v>86</v>
      </c>
      <c r="E122" s="158" t="s">
        <v>406</v>
      </c>
    </row>
    <row r="123" spans="1:5" x14ac:dyDescent="0.25">
      <c r="A123" s="159">
        <v>122</v>
      </c>
      <c r="B123" s="159" t="s">
        <v>96</v>
      </c>
      <c r="C123" s="160" t="s">
        <v>216</v>
      </c>
      <c r="D123" s="159" t="s">
        <v>86</v>
      </c>
      <c r="E123" s="161" t="s">
        <v>407</v>
      </c>
    </row>
    <row r="124" spans="1:5" x14ac:dyDescent="0.25">
      <c r="A124" s="156">
        <v>123</v>
      </c>
      <c r="B124" s="156" t="s">
        <v>96</v>
      </c>
      <c r="C124" s="157" t="s">
        <v>217</v>
      </c>
      <c r="D124" s="156" t="s">
        <v>86</v>
      </c>
      <c r="E124" s="158" t="s">
        <v>407</v>
      </c>
    </row>
    <row r="125" spans="1:5" x14ac:dyDescent="0.25">
      <c r="A125" s="159">
        <v>124</v>
      </c>
      <c r="B125" s="159" t="s">
        <v>96</v>
      </c>
      <c r="C125" s="160" t="s">
        <v>218</v>
      </c>
      <c r="D125" s="159" t="s">
        <v>86</v>
      </c>
      <c r="E125" s="161" t="s">
        <v>407</v>
      </c>
    </row>
    <row r="126" spans="1:5" x14ac:dyDescent="0.25">
      <c r="A126" s="156">
        <v>125</v>
      </c>
      <c r="B126" s="156" t="s">
        <v>118</v>
      </c>
      <c r="C126" s="157" t="s">
        <v>219</v>
      </c>
      <c r="D126" s="156" t="s">
        <v>86</v>
      </c>
      <c r="E126" s="158" t="s">
        <v>406</v>
      </c>
    </row>
    <row r="127" spans="1:5" x14ac:dyDescent="0.25">
      <c r="A127" s="159">
        <v>126</v>
      </c>
      <c r="B127" s="159" t="s">
        <v>96</v>
      </c>
      <c r="C127" s="160" t="s">
        <v>220</v>
      </c>
      <c r="D127" s="159" t="s">
        <v>86</v>
      </c>
      <c r="E127" s="161" t="s">
        <v>406</v>
      </c>
    </row>
    <row r="128" spans="1:5" x14ac:dyDescent="0.25">
      <c r="A128" s="156">
        <v>127</v>
      </c>
      <c r="B128" s="156" t="s">
        <v>96</v>
      </c>
      <c r="C128" s="157" t="s">
        <v>221</v>
      </c>
      <c r="D128" s="156" t="s">
        <v>86</v>
      </c>
      <c r="E128" s="158" t="s">
        <v>406</v>
      </c>
    </row>
    <row r="129" spans="1:5" x14ac:dyDescent="0.25">
      <c r="A129" s="159">
        <v>128</v>
      </c>
      <c r="B129" s="159" t="s">
        <v>96</v>
      </c>
      <c r="C129" s="160" t="s">
        <v>222</v>
      </c>
      <c r="D129" s="159" t="s">
        <v>86</v>
      </c>
      <c r="E129" s="161" t="s">
        <v>407</v>
      </c>
    </row>
    <row r="130" spans="1:5" x14ac:dyDescent="0.25">
      <c r="A130" s="156">
        <v>129</v>
      </c>
      <c r="B130" s="156" t="s">
        <v>96</v>
      </c>
      <c r="C130" s="157" t="s">
        <v>223</v>
      </c>
      <c r="D130" s="156" t="s">
        <v>86</v>
      </c>
      <c r="E130" s="158" t="s">
        <v>406</v>
      </c>
    </row>
    <row r="131" spans="1:5" x14ac:dyDescent="0.25">
      <c r="A131" s="159">
        <v>130</v>
      </c>
      <c r="B131" s="159" t="s">
        <v>96</v>
      </c>
      <c r="C131" s="160" t="s">
        <v>224</v>
      </c>
      <c r="D131" s="159" t="s">
        <v>86</v>
      </c>
      <c r="E131" s="161" t="s">
        <v>406</v>
      </c>
    </row>
    <row r="132" spans="1:5" x14ac:dyDescent="0.25">
      <c r="A132" s="156">
        <v>131</v>
      </c>
      <c r="B132" s="156" t="s">
        <v>96</v>
      </c>
      <c r="C132" s="157" t="s">
        <v>225</v>
      </c>
      <c r="D132" s="156" t="s">
        <v>86</v>
      </c>
      <c r="E132" s="158" t="s">
        <v>407</v>
      </c>
    </row>
    <row r="133" spans="1:5" x14ac:dyDescent="0.25">
      <c r="A133" s="159">
        <v>132</v>
      </c>
      <c r="B133" s="159" t="s">
        <v>96</v>
      </c>
      <c r="C133" s="160" t="s">
        <v>226</v>
      </c>
      <c r="D133" s="159" t="s">
        <v>86</v>
      </c>
      <c r="E133" s="161" t="s">
        <v>406</v>
      </c>
    </row>
    <row r="134" spans="1:5" x14ac:dyDescent="0.25">
      <c r="A134" s="156">
        <v>133</v>
      </c>
      <c r="B134" s="156" t="s">
        <v>118</v>
      </c>
      <c r="C134" s="157" t="s">
        <v>227</v>
      </c>
      <c r="D134" s="156" t="s">
        <v>86</v>
      </c>
      <c r="E134" s="158" t="s">
        <v>406</v>
      </c>
    </row>
    <row r="135" spans="1:5" x14ac:dyDescent="0.25">
      <c r="A135" s="159">
        <v>134</v>
      </c>
      <c r="B135" s="159" t="s">
        <v>141</v>
      </c>
      <c r="C135" s="160" t="s">
        <v>228</v>
      </c>
      <c r="D135" s="159" t="s">
        <v>86</v>
      </c>
      <c r="E135" s="161" t="s">
        <v>406</v>
      </c>
    </row>
    <row r="136" spans="1:5" x14ac:dyDescent="0.25">
      <c r="A136" s="156">
        <v>135</v>
      </c>
      <c r="B136" s="156" t="s">
        <v>96</v>
      </c>
      <c r="C136" s="157" t="s">
        <v>229</v>
      </c>
      <c r="D136" s="156" t="s">
        <v>86</v>
      </c>
      <c r="E136" s="158" t="s">
        <v>406</v>
      </c>
    </row>
    <row r="137" spans="1:5" x14ac:dyDescent="0.25">
      <c r="A137" s="159">
        <v>136</v>
      </c>
      <c r="B137" s="159" t="s">
        <v>96</v>
      </c>
      <c r="C137" s="160" t="s">
        <v>230</v>
      </c>
      <c r="D137" s="159" t="s">
        <v>86</v>
      </c>
      <c r="E137" s="161" t="s">
        <v>406</v>
      </c>
    </row>
    <row r="138" spans="1:5" x14ac:dyDescent="0.25">
      <c r="A138" s="156">
        <v>137</v>
      </c>
      <c r="B138" s="156" t="s">
        <v>96</v>
      </c>
      <c r="C138" s="157" t="s">
        <v>231</v>
      </c>
      <c r="D138" s="156" t="s">
        <v>86</v>
      </c>
      <c r="E138" s="158" t="s">
        <v>406</v>
      </c>
    </row>
    <row r="139" spans="1:5" x14ac:dyDescent="0.25">
      <c r="A139" s="159">
        <v>138</v>
      </c>
      <c r="B139" s="159" t="s">
        <v>96</v>
      </c>
      <c r="C139" s="160" t="s">
        <v>232</v>
      </c>
      <c r="D139" s="159" t="s">
        <v>86</v>
      </c>
      <c r="E139" s="161" t="s">
        <v>406</v>
      </c>
    </row>
    <row r="140" spans="1:5" x14ac:dyDescent="0.25">
      <c r="A140" s="156">
        <v>139</v>
      </c>
      <c r="B140" s="156" t="s">
        <v>96</v>
      </c>
      <c r="C140" s="157" t="s">
        <v>233</v>
      </c>
      <c r="D140" s="156" t="s">
        <v>86</v>
      </c>
      <c r="E140" s="158" t="s">
        <v>407</v>
      </c>
    </row>
    <row r="141" spans="1:5" x14ac:dyDescent="0.25">
      <c r="A141" s="159">
        <v>140</v>
      </c>
      <c r="B141" s="159" t="s">
        <v>96</v>
      </c>
      <c r="C141" s="160" t="s">
        <v>234</v>
      </c>
      <c r="D141" s="159" t="s">
        <v>86</v>
      </c>
      <c r="E141" s="161" t="s">
        <v>406</v>
      </c>
    </row>
    <row r="142" spans="1:5" x14ac:dyDescent="0.25">
      <c r="A142" s="156">
        <v>141</v>
      </c>
      <c r="B142" s="156" t="s">
        <v>96</v>
      </c>
      <c r="C142" s="157" t="s">
        <v>235</v>
      </c>
      <c r="D142" s="156" t="s">
        <v>86</v>
      </c>
      <c r="E142" s="158" t="s">
        <v>406</v>
      </c>
    </row>
    <row r="143" spans="1:5" x14ac:dyDescent="0.25">
      <c r="A143" s="159">
        <v>142</v>
      </c>
      <c r="B143" s="159" t="s">
        <v>96</v>
      </c>
      <c r="C143" s="160" t="s">
        <v>236</v>
      </c>
      <c r="D143" s="159" t="s">
        <v>86</v>
      </c>
      <c r="E143" s="161" t="s">
        <v>406</v>
      </c>
    </row>
    <row r="144" spans="1:5" x14ac:dyDescent="0.25">
      <c r="A144" s="156">
        <v>143</v>
      </c>
      <c r="B144" s="156" t="s">
        <v>118</v>
      </c>
      <c r="C144" s="157" t="s">
        <v>237</v>
      </c>
      <c r="D144" s="156" t="s">
        <v>86</v>
      </c>
      <c r="E144" s="158" t="s">
        <v>406</v>
      </c>
    </row>
    <row r="145" spans="1:5" x14ac:dyDescent="0.25">
      <c r="A145" s="159">
        <v>144</v>
      </c>
      <c r="B145" s="159" t="s">
        <v>118</v>
      </c>
      <c r="C145" s="160" t="s">
        <v>238</v>
      </c>
      <c r="D145" s="159" t="s">
        <v>86</v>
      </c>
      <c r="E145" s="161" t="s">
        <v>406</v>
      </c>
    </row>
    <row r="146" spans="1:5" x14ac:dyDescent="0.25">
      <c r="A146" s="156">
        <v>145</v>
      </c>
      <c r="B146" s="156" t="s">
        <v>96</v>
      </c>
      <c r="C146" s="157" t="s">
        <v>239</v>
      </c>
      <c r="D146" s="156" t="s">
        <v>86</v>
      </c>
      <c r="E146" s="158" t="s">
        <v>406</v>
      </c>
    </row>
    <row r="147" spans="1:5" x14ac:dyDescent="0.25">
      <c r="A147" s="159">
        <v>146</v>
      </c>
      <c r="B147" s="159" t="s">
        <v>96</v>
      </c>
      <c r="C147" s="160" t="s">
        <v>240</v>
      </c>
      <c r="D147" s="159" t="s">
        <v>86</v>
      </c>
      <c r="E147" s="161" t="s">
        <v>406</v>
      </c>
    </row>
    <row r="148" spans="1:5" x14ac:dyDescent="0.25">
      <c r="A148" s="156">
        <v>147</v>
      </c>
      <c r="B148" s="156" t="s">
        <v>118</v>
      </c>
      <c r="C148" s="157" t="s">
        <v>241</v>
      </c>
      <c r="D148" s="156" t="s">
        <v>86</v>
      </c>
      <c r="E148" s="158" t="s">
        <v>406</v>
      </c>
    </row>
    <row r="149" spans="1:5" x14ac:dyDescent="0.25">
      <c r="A149" s="159">
        <v>148</v>
      </c>
      <c r="B149" s="159" t="s">
        <v>141</v>
      </c>
      <c r="C149" s="160" t="s">
        <v>242</v>
      </c>
      <c r="D149" s="159" t="s">
        <v>86</v>
      </c>
      <c r="E149" s="161" t="s">
        <v>407</v>
      </c>
    </row>
    <row r="150" spans="1:5" x14ac:dyDescent="0.25">
      <c r="A150" s="156">
        <v>149</v>
      </c>
      <c r="B150" s="156" t="s">
        <v>96</v>
      </c>
      <c r="C150" s="157" t="s">
        <v>77</v>
      </c>
      <c r="D150" s="156" t="s">
        <v>86</v>
      </c>
      <c r="E150" s="158" t="s">
        <v>406</v>
      </c>
    </row>
    <row r="151" spans="1:5" x14ac:dyDescent="0.25">
      <c r="A151" s="159">
        <v>150</v>
      </c>
      <c r="B151" s="159" t="s">
        <v>96</v>
      </c>
      <c r="C151" s="160" t="s">
        <v>243</v>
      </c>
      <c r="D151" s="159" t="s">
        <v>86</v>
      </c>
      <c r="E151" s="161" t="s">
        <v>406</v>
      </c>
    </row>
    <row r="152" spans="1:5" x14ac:dyDescent="0.25">
      <c r="A152" s="156">
        <v>151</v>
      </c>
      <c r="B152" s="156" t="s">
        <v>96</v>
      </c>
      <c r="C152" s="157" t="s">
        <v>244</v>
      </c>
      <c r="D152" s="156" t="s">
        <v>86</v>
      </c>
      <c r="E152" s="158" t="s">
        <v>406</v>
      </c>
    </row>
    <row r="153" spans="1:5" x14ac:dyDescent="0.25">
      <c r="A153" s="159">
        <v>152</v>
      </c>
      <c r="B153" s="159" t="s">
        <v>96</v>
      </c>
      <c r="C153" s="160" t="s">
        <v>245</v>
      </c>
      <c r="D153" s="159" t="s">
        <v>86</v>
      </c>
      <c r="E153" s="161" t="s">
        <v>406</v>
      </c>
    </row>
    <row r="154" spans="1:5" x14ac:dyDescent="0.25">
      <c r="A154" s="156">
        <v>153</v>
      </c>
      <c r="B154" s="156" t="s">
        <v>96</v>
      </c>
      <c r="C154" s="157" t="s">
        <v>246</v>
      </c>
      <c r="D154" s="156" t="s">
        <v>86</v>
      </c>
      <c r="E154" s="158" t="s">
        <v>406</v>
      </c>
    </row>
    <row r="155" spans="1:5" x14ac:dyDescent="0.25">
      <c r="A155" s="159">
        <v>154</v>
      </c>
      <c r="B155" s="159" t="s">
        <v>96</v>
      </c>
      <c r="C155" s="160" t="s">
        <v>247</v>
      </c>
      <c r="D155" s="159" t="s">
        <v>86</v>
      </c>
      <c r="E155" s="161" t="s">
        <v>406</v>
      </c>
    </row>
    <row r="156" spans="1:5" x14ac:dyDescent="0.25">
      <c r="A156" s="156">
        <v>155</v>
      </c>
      <c r="B156" s="156" t="s">
        <v>96</v>
      </c>
      <c r="C156" s="157" t="s">
        <v>248</v>
      </c>
      <c r="D156" s="156" t="s">
        <v>86</v>
      </c>
      <c r="E156" s="158" t="s">
        <v>406</v>
      </c>
    </row>
    <row r="157" spans="1:5" x14ac:dyDescent="0.25">
      <c r="A157" s="159">
        <v>156</v>
      </c>
      <c r="B157" s="159" t="s">
        <v>96</v>
      </c>
      <c r="C157" s="160" t="s">
        <v>249</v>
      </c>
      <c r="D157" s="159" t="s">
        <v>86</v>
      </c>
      <c r="E157" s="161" t="s">
        <v>406</v>
      </c>
    </row>
    <row r="158" spans="1:5" x14ac:dyDescent="0.25">
      <c r="A158" s="156">
        <v>157</v>
      </c>
      <c r="B158" s="156" t="s">
        <v>96</v>
      </c>
      <c r="C158" s="157" t="s">
        <v>250</v>
      </c>
      <c r="D158" s="156" t="s">
        <v>86</v>
      </c>
      <c r="E158" s="158" t="s">
        <v>406</v>
      </c>
    </row>
    <row r="159" spans="1:5" x14ac:dyDescent="0.25">
      <c r="A159" s="159">
        <v>158</v>
      </c>
      <c r="B159" s="159" t="s">
        <v>96</v>
      </c>
      <c r="C159" s="160" t="s">
        <v>251</v>
      </c>
      <c r="D159" s="159" t="s">
        <v>86</v>
      </c>
      <c r="E159" s="161" t="s">
        <v>406</v>
      </c>
    </row>
    <row r="160" spans="1:5" x14ac:dyDescent="0.25">
      <c r="A160" s="156">
        <v>159</v>
      </c>
      <c r="B160" s="156" t="s">
        <v>96</v>
      </c>
      <c r="C160" s="157" t="s">
        <v>252</v>
      </c>
      <c r="D160" s="156" t="s">
        <v>86</v>
      </c>
      <c r="E160" s="158" t="s">
        <v>406</v>
      </c>
    </row>
    <row r="161" spans="1:5" x14ac:dyDescent="0.25">
      <c r="A161" s="159">
        <v>160</v>
      </c>
      <c r="B161" s="159" t="s">
        <v>96</v>
      </c>
      <c r="C161" s="160" t="s">
        <v>253</v>
      </c>
      <c r="D161" s="159" t="s">
        <v>86</v>
      </c>
      <c r="E161" s="161" t="s">
        <v>406</v>
      </c>
    </row>
    <row r="162" spans="1:5" x14ac:dyDescent="0.25">
      <c r="A162" s="156">
        <v>161</v>
      </c>
      <c r="B162" s="156" t="s">
        <v>118</v>
      </c>
      <c r="C162" s="157" t="s">
        <v>254</v>
      </c>
      <c r="D162" s="156" t="s">
        <v>86</v>
      </c>
      <c r="E162" s="158" t="s">
        <v>406</v>
      </c>
    </row>
    <row r="163" spans="1:5" x14ac:dyDescent="0.25">
      <c r="A163" s="159">
        <v>162</v>
      </c>
      <c r="B163" s="159" t="s">
        <v>96</v>
      </c>
      <c r="C163" s="160" t="s">
        <v>255</v>
      </c>
      <c r="D163" s="159" t="s">
        <v>86</v>
      </c>
      <c r="E163" s="161" t="s">
        <v>406</v>
      </c>
    </row>
    <row r="164" spans="1:5" x14ac:dyDescent="0.25">
      <c r="A164" s="156">
        <v>163</v>
      </c>
      <c r="B164" s="156" t="s">
        <v>96</v>
      </c>
      <c r="C164" s="157" t="s">
        <v>256</v>
      </c>
      <c r="D164" s="156" t="s">
        <v>86</v>
      </c>
      <c r="E164" s="158" t="s">
        <v>406</v>
      </c>
    </row>
    <row r="165" spans="1:5" x14ac:dyDescent="0.25">
      <c r="A165" s="159">
        <v>164</v>
      </c>
      <c r="B165" s="159" t="s">
        <v>96</v>
      </c>
      <c r="C165" s="160" t="s">
        <v>257</v>
      </c>
      <c r="D165" s="159" t="s">
        <v>86</v>
      </c>
      <c r="E165" s="161" t="s">
        <v>406</v>
      </c>
    </row>
    <row r="166" spans="1:5" x14ac:dyDescent="0.25">
      <c r="A166" s="156">
        <v>165</v>
      </c>
      <c r="B166" s="156" t="s">
        <v>96</v>
      </c>
      <c r="C166" s="157" t="s">
        <v>258</v>
      </c>
      <c r="D166" s="156" t="s">
        <v>86</v>
      </c>
      <c r="E166" s="158" t="s">
        <v>406</v>
      </c>
    </row>
    <row r="167" spans="1:5" x14ac:dyDescent="0.25">
      <c r="A167" s="159">
        <v>166</v>
      </c>
      <c r="B167" s="159" t="s">
        <v>96</v>
      </c>
      <c r="C167" s="160" t="s">
        <v>259</v>
      </c>
      <c r="D167" s="159" t="s">
        <v>86</v>
      </c>
      <c r="E167" s="161" t="s">
        <v>406</v>
      </c>
    </row>
    <row r="168" spans="1:5" x14ac:dyDescent="0.25">
      <c r="A168" s="156">
        <v>167</v>
      </c>
      <c r="B168" s="156" t="s">
        <v>118</v>
      </c>
      <c r="C168" s="157" t="s">
        <v>260</v>
      </c>
      <c r="D168" s="156" t="s">
        <v>86</v>
      </c>
      <c r="E168" s="158" t="s">
        <v>406</v>
      </c>
    </row>
    <row r="169" spans="1:5" x14ac:dyDescent="0.25">
      <c r="A169" s="159">
        <v>168</v>
      </c>
      <c r="B169" s="159" t="s">
        <v>118</v>
      </c>
      <c r="C169" s="160" t="s">
        <v>261</v>
      </c>
      <c r="D169" s="159" t="s">
        <v>86</v>
      </c>
      <c r="E169" s="161" t="s">
        <v>406</v>
      </c>
    </row>
    <row r="170" spans="1:5" x14ac:dyDescent="0.25">
      <c r="A170" s="156">
        <v>169</v>
      </c>
      <c r="B170" s="156" t="s">
        <v>96</v>
      </c>
      <c r="C170" s="157" t="s">
        <v>262</v>
      </c>
      <c r="D170" s="156" t="s">
        <v>86</v>
      </c>
      <c r="E170" s="158" t="s">
        <v>406</v>
      </c>
    </row>
    <row r="171" spans="1:5" x14ac:dyDescent="0.25">
      <c r="A171" s="159">
        <v>170</v>
      </c>
      <c r="B171" s="159" t="s">
        <v>96</v>
      </c>
      <c r="C171" s="160" t="s">
        <v>263</v>
      </c>
      <c r="D171" s="159" t="s">
        <v>86</v>
      </c>
      <c r="E171" s="161" t="s">
        <v>407</v>
      </c>
    </row>
    <row r="172" spans="1:5" x14ac:dyDescent="0.25">
      <c r="A172" s="156">
        <v>171</v>
      </c>
      <c r="B172" s="156" t="s">
        <v>141</v>
      </c>
      <c r="C172" s="157" t="s">
        <v>264</v>
      </c>
      <c r="D172" s="156" t="s">
        <v>86</v>
      </c>
      <c r="E172" s="158" t="s">
        <v>406</v>
      </c>
    </row>
    <row r="173" spans="1:5" x14ac:dyDescent="0.25">
      <c r="A173" s="159">
        <v>172</v>
      </c>
      <c r="B173" s="159" t="s">
        <v>96</v>
      </c>
      <c r="C173" s="160" t="s">
        <v>265</v>
      </c>
      <c r="D173" s="159" t="s">
        <v>86</v>
      </c>
      <c r="E173" s="161" t="s">
        <v>406</v>
      </c>
    </row>
    <row r="174" spans="1:5" x14ac:dyDescent="0.25">
      <c r="A174" s="156">
        <v>173</v>
      </c>
      <c r="B174" s="156" t="s">
        <v>96</v>
      </c>
      <c r="C174" s="157" t="s">
        <v>266</v>
      </c>
      <c r="D174" s="156" t="s">
        <v>86</v>
      </c>
      <c r="E174" s="158" t="s">
        <v>407</v>
      </c>
    </row>
    <row r="175" spans="1:5" x14ac:dyDescent="0.25">
      <c r="A175" s="159">
        <v>174</v>
      </c>
      <c r="B175" s="159" t="s">
        <v>96</v>
      </c>
      <c r="C175" s="160" t="s">
        <v>267</v>
      </c>
      <c r="D175" s="159" t="s">
        <v>86</v>
      </c>
      <c r="E175" s="161" t="s">
        <v>406</v>
      </c>
    </row>
    <row r="176" spans="1:5" x14ac:dyDescent="0.25">
      <c r="A176" s="156">
        <v>175</v>
      </c>
      <c r="B176" s="156" t="s">
        <v>96</v>
      </c>
      <c r="C176" s="157" t="s">
        <v>268</v>
      </c>
      <c r="D176" s="156" t="s">
        <v>86</v>
      </c>
      <c r="E176" s="158" t="s">
        <v>406</v>
      </c>
    </row>
    <row r="177" spans="1:5" x14ac:dyDescent="0.25">
      <c r="A177" s="159">
        <v>176</v>
      </c>
      <c r="B177" s="159" t="s">
        <v>96</v>
      </c>
      <c r="C177" s="160" t="s">
        <v>269</v>
      </c>
      <c r="D177" s="159" t="s">
        <v>86</v>
      </c>
      <c r="E177" s="161" t="s">
        <v>406</v>
      </c>
    </row>
    <row r="178" spans="1:5" x14ac:dyDescent="0.25">
      <c r="A178" s="156">
        <v>177</v>
      </c>
      <c r="B178" s="156" t="s">
        <v>96</v>
      </c>
      <c r="C178" s="157" t="s">
        <v>270</v>
      </c>
      <c r="D178" s="156" t="s">
        <v>86</v>
      </c>
      <c r="E178" s="158" t="s">
        <v>407</v>
      </c>
    </row>
    <row r="179" spans="1:5" x14ac:dyDescent="0.25">
      <c r="A179" s="159">
        <v>178</v>
      </c>
      <c r="B179" s="159" t="s">
        <v>96</v>
      </c>
      <c r="C179" s="160" t="s">
        <v>271</v>
      </c>
      <c r="D179" s="159" t="s">
        <v>86</v>
      </c>
      <c r="E179" s="161" t="s">
        <v>406</v>
      </c>
    </row>
    <row r="180" spans="1:5" x14ac:dyDescent="0.25">
      <c r="A180" s="156">
        <v>179</v>
      </c>
      <c r="B180" s="156" t="s">
        <v>96</v>
      </c>
      <c r="C180" s="157" t="s">
        <v>272</v>
      </c>
      <c r="D180" s="156" t="s">
        <v>86</v>
      </c>
      <c r="E180" s="158" t="s">
        <v>406</v>
      </c>
    </row>
    <row r="181" spans="1:5" x14ac:dyDescent="0.25">
      <c r="A181" s="159">
        <v>180</v>
      </c>
      <c r="B181" s="159" t="s">
        <v>96</v>
      </c>
      <c r="C181" s="160" t="s">
        <v>273</v>
      </c>
      <c r="D181" s="159" t="s">
        <v>86</v>
      </c>
      <c r="E181" s="161" t="s">
        <v>406</v>
      </c>
    </row>
    <row r="182" spans="1:5" x14ac:dyDescent="0.25">
      <c r="A182" s="156">
        <v>181</v>
      </c>
      <c r="B182" s="156" t="s">
        <v>96</v>
      </c>
      <c r="C182" s="157" t="s">
        <v>274</v>
      </c>
      <c r="D182" s="156" t="s">
        <v>86</v>
      </c>
      <c r="E182" s="158" t="s">
        <v>406</v>
      </c>
    </row>
    <row r="183" spans="1:5" x14ac:dyDescent="0.25">
      <c r="A183" s="159">
        <v>182</v>
      </c>
      <c r="B183" s="159" t="s">
        <v>96</v>
      </c>
      <c r="C183" s="160" t="s">
        <v>275</v>
      </c>
      <c r="D183" s="159" t="s">
        <v>86</v>
      </c>
      <c r="E183" s="161" t="s">
        <v>406</v>
      </c>
    </row>
    <row r="184" spans="1:5" x14ac:dyDescent="0.25">
      <c r="A184" s="156">
        <v>183</v>
      </c>
      <c r="B184" s="156" t="s">
        <v>96</v>
      </c>
      <c r="C184" s="157" t="s">
        <v>276</v>
      </c>
      <c r="D184" s="156" t="s">
        <v>86</v>
      </c>
      <c r="E184" s="158" t="s">
        <v>406</v>
      </c>
    </row>
    <row r="185" spans="1:5" x14ac:dyDescent="0.25">
      <c r="A185" s="159">
        <v>184</v>
      </c>
      <c r="B185" s="159" t="s">
        <v>96</v>
      </c>
      <c r="C185" s="160" t="s">
        <v>277</v>
      </c>
      <c r="D185" s="159" t="s">
        <v>86</v>
      </c>
      <c r="E185" s="161" t="s">
        <v>406</v>
      </c>
    </row>
    <row r="186" spans="1:5" x14ac:dyDescent="0.25">
      <c r="A186" s="156">
        <v>185</v>
      </c>
      <c r="B186" s="156" t="s">
        <v>96</v>
      </c>
      <c r="C186" s="157" t="s">
        <v>278</v>
      </c>
      <c r="D186" s="156" t="s">
        <v>86</v>
      </c>
      <c r="E186" s="158" t="s">
        <v>407</v>
      </c>
    </row>
    <row r="187" spans="1:5" x14ac:dyDescent="0.25">
      <c r="A187" s="159">
        <v>186</v>
      </c>
      <c r="B187" s="159" t="s">
        <v>96</v>
      </c>
      <c r="C187" s="160" t="s">
        <v>279</v>
      </c>
      <c r="D187" s="159" t="s">
        <v>86</v>
      </c>
      <c r="E187" s="161" t="s">
        <v>406</v>
      </c>
    </row>
    <row r="188" spans="1:5" x14ac:dyDescent="0.25">
      <c r="A188" s="156">
        <v>187</v>
      </c>
      <c r="B188" s="156" t="s">
        <v>96</v>
      </c>
      <c r="C188" s="157" t="s">
        <v>280</v>
      </c>
      <c r="D188" s="156" t="s">
        <v>86</v>
      </c>
      <c r="E188" s="158" t="s">
        <v>406</v>
      </c>
    </row>
    <row r="189" spans="1:5" x14ac:dyDescent="0.25">
      <c r="A189" s="159">
        <v>188</v>
      </c>
      <c r="B189" s="159" t="s">
        <v>96</v>
      </c>
      <c r="C189" s="160" t="s">
        <v>281</v>
      </c>
      <c r="D189" s="159" t="s">
        <v>86</v>
      </c>
      <c r="E189" s="161" t="s">
        <v>406</v>
      </c>
    </row>
    <row r="190" spans="1:5" x14ac:dyDescent="0.25">
      <c r="A190" s="156">
        <v>189</v>
      </c>
      <c r="B190" s="156" t="s">
        <v>96</v>
      </c>
      <c r="C190" s="157" t="s">
        <v>282</v>
      </c>
      <c r="D190" s="156" t="s">
        <v>86</v>
      </c>
      <c r="E190" s="158" t="s">
        <v>407</v>
      </c>
    </row>
    <row r="191" spans="1:5" x14ac:dyDescent="0.25">
      <c r="A191" s="159">
        <v>190</v>
      </c>
      <c r="B191" s="159" t="s">
        <v>96</v>
      </c>
      <c r="C191" s="160" t="s">
        <v>283</v>
      </c>
      <c r="D191" s="159" t="s">
        <v>86</v>
      </c>
      <c r="E191" s="161" t="s">
        <v>406</v>
      </c>
    </row>
    <row r="192" spans="1:5" x14ac:dyDescent="0.25">
      <c r="A192" s="156">
        <v>191</v>
      </c>
      <c r="B192" s="156" t="s">
        <v>96</v>
      </c>
      <c r="C192" s="157" t="s">
        <v>284</v>
      </c>
      <c r="D192" s="156" t="s">
        <v>86</v>
      </c>
      <c r="E192" s="158" t="s">
        <v>406</v>
      </c>
    </row>
    <row r="193" spans="1:5" x14ac:dyDescent="0.25">
      <c r="A193" s="159">
        <v>192</v>
      </c>
      <c r="B193" s="159" t="s">
        <v>96</v>
      </c>
      <c r="C193" s="160" t="s">
        <v>285</v>
      </c>
      <c r="D193" s="159" t="s">
        <v>86</v>
      </c>
      <c r="E193" s="161" t="s">
        <v>406</v>
      </c>
    </row>
    <row r="194" spans="1:5" x14ac:dyDescent="0.25">
      <c r="A194" s="156">
        <v>193</v>
      </c>
      <c r="B194" s="156" t="s">
        <v>96</v>
      </c>
      <c r="C194" s="157" t="s">
        <v>286</v>
      </c>
      <c r="D194" s="156" t="s">
        <v>86</v>
      </c>
      <c r="E194" s="158" t="s">
        <v>406</v>
      </c>
    </row>
    <row r="195" spans="1:5" x14ac:dyDescent="0.25">
      <c r="A195" s="159">
        <v>194</v>
      </c>
      <c r="B195" s="159" t="s">
        <v>96</v>
      </c>
      <c r="C195" s="160" t="s">
        <v>287</v>
      </c>
      <c r="D195" s="159" t="s">
        <v>86</v>
      </c>
      <c r="E195" s="161" t="s">
        <v>406</v>
      </c>
    </row>
    <row r="196" spans="1:5" x14ac:dyDescent="0.25">
      <c r="A196" s="156">
        <v>195</v>
      </c>
      <c r="B196" s="156" t="s">
        <v>96</v>
      </c>
      <c r="C196" s="157" t="s">
        <v>288</v>
      </c>
      <c r="D196" s="156" t="s">
        <v>86</v>
      </c>
      <c r="E196" s="158" t="s">
        <v>406</v>
      </c>
    </row>
    <row r="197" spans="1:5" x14ac:dyDescent="0.25">
      <c r="A197" s="159">
        <v>196</v>
      </c>
      <c r="B197" s="159" t="s">
        <v>96</v>
      </c>
      <c r="C197" s="160" t="s">
        <v>289</v>
      </c>
      <c r="D197" s="159" t="s">
        <v>86</v>
      </c>
      <c r="E197" s="161" t="s">
        <v>406</v>
      </c>
    </row>
    <row r="198" spans="1:5" x14ac:dyDescent="0.25">
      <c r="A198" s="156">
        <v>197</v>
      </c>
      <c r="B198" s="156" t="s">
        <v>96</v>
      </c>
      <c r="C198" s="157" t="s">
        <v>290</v>
      </c>
      <c r="D198" s="156" t="s">
        <v>86</v>
      </c>
      <c r="E198" s="158" t="s">
        <v>406</v>
      </c>
    </row>
    <row r="199" spans="1:5" x14ac:dyDescent="0.25">
      <c r="A199" s="159">
        <v>198</v>
      </c>
      <c r="B199" s="159" t="s">
        <v>96</v>
      </c>
      <c r="C199" s="160" t="s">
        <v>291</v>
      </c>
      <c r="D199" s="159" t="s">
        <v>86</v>
      </c>
      <c r="E199" s="161" t="s">
        <v>406</v>
      </c>
    </row>
    <row r="200" spans="1:5" x14ac:dyDescent="0.25">
      <c r="A200" s="156">
        <v>199</v>
      </c>
      <c r="B200" s="156" t="s">
        <v>96</v>
      </c>
      <c r="C200" s="157" t="s">
        <v>292</v>
      </c>
      <c r="D200" s="156" t="s">
        <v>86</v>
      </c>
      <c r="E200" s="158" t="s">
        <v>406</v>
      </c>
    </row>
    <row r="201" spans="1:5" x14ac:dyDescent="0.25">
      <c r="A201" s="159">
        <v>200</v>
      </c>
      <c r="B201" s="159" t="s">
        <v>96</v>
      </c>
      <c r="C201" s="160" t="s">
        <v>293</v>
      </c>
      <c r="D201" s="159" t="s">
        <v>86</v>
      </c>
      <c r="E201" s="161" t="s">
        <v>406</v>
      </c>
    </row>
    <row r="202" spans="1:5" x14ac:dyDescent="0.25">
      <c r="A202" s="156">
        <v>201</v>
      </c>
      <c r="B202" s="156" t="s">
        <v>96</v>
      </c>
      <c r="C202" s="157" t="s">
        <v>294</v>
      </c>
      <c r="D202" s="156" t="s">
        <v>86</v>
      </c>
      <c r="E202" s="158" t="s">
        <v>406</v>
      </c>
    </row>
    <row r="203" spans="1:5" x14ac:dyDescent="0.25">
      <c r="A203" s="159">
        <v>202</v>
      </c>
      <c r="B203" s="159" t="s">
        <v>96</v>
      </c>
      <c r="C203" s="160" t="s">
        <v>295</v>
      </c>
      <c r="D203" s="159" t="s">
        <v>86</v>
      </c>
      <c r="E203" s="161" t="s">
        <v>406</v>
      </c>
    </row>
    <row r="204" spans="1:5" x14ac:dyDescent="0.25">
      <c r="A204" s="156">
        <v>203</v>
      </c>
      <c r="B204" s="156" t="s">
        <v>96</v>
      </c>
      <c r="C204" s="157" t="s">
        <v>296</v>
      </c>
      <c r="D204" s="156" t="s">
        <v>86</v>
      </c>
      <c r="E204" s="158" t="s">
        <v>407</v>
      </c>
    </row>
    <row r="205" spans="1:5" x14ac:dyDescent="0.25">
      <c r="A205" s="159">
        <v>204</v>
      </c>
      <c r="B205" s="159" t="s">
        <v>96</v>
      </c>
      <c r="C205" s="160" t="s">
        <v>297</v>
      </c>
      <c r="D205" s="159" t="s">
        <v>86</v>
      </c>
      <c r="E205" s="161" t="s">
        <v>406</v>
      </c>
    </row>
    <row r="206" spans="1:5" x14ac:dyDescent="0.25">
      <c r="A206" s="156">
        <v>205</v>
      </c>
      <c r="B206" s="156" t="s">
        <v>96</v>
      </c>
      <c r="C206" s="157" t="s">
        <v>298</v>
      </c>
      <c r="D206" s="156" t="s">
        <v>86</v>
      </c>
      <c r="E206" s="158" t="s">
        <v>406</v>
      </c>
    </row>
    <row r="207" spans="1:5" x14ac:dyDescent="0.25">
      <c r="A207" s="159">
        <v>206</v>
      </c>
      <c r="B207" s="159" t="s">
        <v>96</v>
      </c>
      <c r="C207" s="160" t="s">
        <v>299</v>
      </c>
      <c r="D207" s="159" t="s">
        <v>86</v>
      </c>
      <c r="E207" s="161" t="s">
        <v>406</v>
      </c>
    </row>
    <row r="208" spans="1:5" x14ac:dyDescent="0.25">
      <c r="A208" s="156">
        <v>207</v>
      </c>
      <c r="B208" s="156" t="s">
        <v>96</v>
      </c>
      <c r="C208" s="157" t="s">
        <v>300</v>
      </c>
      <c r="D208" s="156" t="s">
        <v>86</v>
      </c>
      <c r="E208" s="158" t="s">
        <v>406</v>
      </c>
    </row>
    <row r="209" spans="1:5" x14ac:dyDescent="0.25">
      <c r="A209" s="159">
        <v>208</v>
      </c>
      <c r="B209" s="159" t="s">
        <v>96</v>
      </c>
      <c r="C209" s="160" t="s">
        <v>301</v>
      </c>
      <c r="D209" s="159" t="s">
        <v>86</v>
      </c>
      <c r="E209" s="161" t="s">
        <v>406</v>
      </c>
    </row>
    <row r="210" spans="1:5" x14ac:dyDescent="0.25">
      <c r="A210" s="156">
        <v>209</v>
      </c>
      <c r="B210" s="156" t="s">
        <v>96</v>
      </c>
      <c r="C210" s="157" t="s">
        <v>302</v>
      </c>
      <c r="D210" s="156" t="s">
        <v>86</v>
      </c>
      <c r="E210" s="158" t="s">
        <v>406</v>
      </c>
    </row>
    <row r="211" spans="1:5" x14ac:dyDescent="0.25">
      <c r="A211" s="159">
        <v>210</v>
      </c>
      <c r="B211" s="159" t="s">
        <v>96</v>
      </c>
      <c r="C211" s="160" t="s">
        <v>303</v>
      </c>
      <c r="D211" s="159" t="s">
        <v>86</v>
      </c>
      <c r="E211" s="161" t="s">
        <v>406</v>
      </c>
    </row>
    <row r="212" spans="1:5" x14ac:dyDescent="0.25">
      <c r="A212" s="156">
        <v>211</v>
      </c>
      <c r="B212" s="156" t="s">
        <v>96</v>
      </c>
      <c r="C212" s="157" t="s">
        <v>304</v>
      </c>
      <c r="D212" s="156" t="s">
        <v>86</v>
      </c>
      <c r="E212" s="158" t="s">
        <v>406</v>
      </c>
    </row>
    <row r="213" spans="1:5" x14ac:dyDescent="0.25">
      <c r="A213" s="159">
        <v>212</v>
      </c>
      <c r="B213" s="159" t="s">
        <v>96</v>
      </c>
      <c r="C213" s="160" t="s">
        <v>305</v>
      </c>
      <c r="D213" s="159" t="s">
        <v>86</v>
      </c>
      <c r="E213" s="161" t="s">
        <v>407</v>
      </c>
    </row>
    <row r="214" spans="1:5" x14ac:dyDescent="0.25">
      <c r="A214" s="156">
        <v>213</v>
      </c>
      <c r="B214" s="156" t="s">
        <v>96</v>
      </c>
      <c r="C214" s="157" t="s">
        <v>306</v>
      </c>
      <c r="D214" s="156" t="s">
        <v>86</v>
      </c>
      <c r="E214" s="158" t="s">
        <v>407</v>
      </c>
    </row>
    <row r="215" spans="1:5" x14ac:dyDescent="0.25">
      <c r="A215" s="159">
        <v>214</v>
      </c>
      <c r="B215" s="159" t="s">
        <v>96</v>
      </c>
      <c r="C215" s="160" t="s">
        <v>307</v>
      </c>
      <c r="D215" s="159" t="s">
        <v>86</v>
      </c>
      <c r="E215" s="161" t="s">
        <v>406</v>
      </c>
    </row>
    <row r="216" spans="1:5" x14ac:dyDescent="0.25">
      <c r="A216" s="156">
        <v>215</v>
      </c>
      <c r="B216" s="156" t="s">
        <v>308</v>
      </c>
      <c r="C216" s="157" t="s">
        <v>309</v>
      </c>
      <c r="D216" s="156" t="s">
        <v>86</v>
      </c>
      <c r="E216" s="158" t="s">
        <v>406</v>
      </c>
    </row>
    <row r="217" spans="1:5" x14ac:dyDescent="0.25">
      <c r="A217" s="159">
        <v>216</v>
      </c>
      <c r="B217" s="159" t="s">
        <v>96</v>
      </c>
      <c r="C217" s="160" t="s">
        <v>310</v>
      </c>
      <c r="D217" s="159" t="s">
        <v>86</v>
      </c>
      <c r="E217" s="161" t="s">
        <v>406</v>
      </c>
    </row>
    <row r="218" spans="1:5" x14ac:dyDescent="0.25">
      <c r="A218" s="156">
        <v>217</v>
      </c>
      <c r="B218" s="156" t="s">
        <v>96</v>
      </c>
      <c r="C218" s="157" t="s">
        <v>311</v>
      </c>
      <c r="D218" s="156" t="s">
        <v>86</v>
      </c>
      <c r="E218" s="158" t="s">
        <v>406</v>
      </c>
    </row>
    <row r="219" spans="1:5" x14ac:dyDescent="0.25">
      <c r="A219" s="159">
        <v>218</v>
      </c>
      <c r="B219" s="159" t="s">
        <v>96</v>
      </c>
      <c r="C219" s="160" t="s">
        <v>312</v>
      </c>
      <c r="D219" s="159" t="s">
        <v>86</v>
      </c>
      <c r="E219" s="161" t="s">
        <v>406</v>
      </c>
    </row>
    <row r="220" spans="1:5" x14ac:dyDescent="0.25">
      <c r="A220" s="156">
        <v>219</v>
      </c>
      <c r="B220" s="156" t="s">
        <v>96</v>
      </c>
      <c r="C220" s="157" t="s">
        <v>313</v>
      </c>
      <c r="D220" s="156" t="s">
        <v>86</v>
      </c>
      <c r="E220" s="158" t="s">
        <v>406</v>
      </c>
    </row>
    <row r="221" spans="1:5" x14ac:dyDescent="0.25">
      <c r="A221" s="159">
        <v>220</v>
      </c>
      <c r="B221" s="159" t="s">
        <v>96</v>
      </c>
      <c r="C221" s="160" t="s">
        <v>314</v>
      </c>
      <c r="D221" s="159" t="s">
        <v>86</v>
      </c>
      <c r="E221" s="161" t="s">
        <v>406</v>
      </c>
    </row>
    <row r="222" spans="1:5" x14ac:dyDescent="0.25">
      <c r="A222" s="156">
        <v>221</v>
      </c>
      <c r="B222" s="156" t="s">
        <v>96</v>
      </c>
      <c r="C222" s="157" t="s">
        <v>315</v>
      </c>
      <c r="D222" s="156" t="s">
        <v>86</v>
      </c>
      <c r="E222" s="158" t="s">
        <v>406</v>
      </c>
    </row>
    <row r="223" spans="1:5" x14ac:dyDescent="0.25">
      <c r="A223" s="159">
        <v>222</v>
      </c>
      <c r="B223" s="159" t="s">
        <v>96</v>
      </c>
      <c r="C223" s="160" t="s">
        <v>316</v>
      </c>
      <c r="D223" s="159" t="s">
        <v>86</v>
      </c>
      <c r="E223" s="161" t="s">
        <v>406</v>
      </c>
    </row>
    <row r="224" spans="1:5" x14ac:dyDescent="0.25">
      <c r="A224" s="156">
        <v>223</v>
      </c>
      <c r="B224" s="156" t="s">
        <v>96</v>
      </c>
      <c r="C224" s="157" t="s">
        <v>317</v>
      </c>
      <c r="D224" s="156" t="s">
        <v>86</v>
      </c>
      <c r="E224" s="158" t="s">
        <v>406</v>
      </c>
    </row>
    <row r="225" spans="1:5" x14ac:dyDescent="0.25">
      <c r="A225" s="159">
        <v>224</v>
      </c>
      <c r="B225" s="159" t="s">
        <v>96</v>
      </c>
      <c r="C225" s="160" t="s">
        <v>318</v>
      </c>
      <c r="D225" s="159" t="s">
        <v>86</v>
      </c>
      <c r="E225" s="161" t="s">
        <v>406</v>
      </c>
    </row>
    <row r="226" spans="1:5" x14ac:dyDescent="0.25">
      <c r="A226" s="156">
        <v>225</v>
      </c>
      <c r="B226" s="156" t="s">
        <v>96</v>
      </c>
      <c r="C226" s="157" t="s">
        <v>319</v>
      </c>
      <c r="D226" s="156" t="s">
        <v>86</v>
      </c>
      <c r="E226" s="158" t="s">
        <v>407</v>
      </c>
    </row>
    <row r="227" spans="1:5" x14ac:dyDescent="0.25">
      <c r="A227" s="159">
        <v>226</v>
      </c>
      <c r="B227" s="159" t="s">
        <v>96</v>
      </c>
      <c r="C227" s="160" t="s">
        <v>320</v>
      </c>
      <c r="D227" s="159" t="s">
        <v>86</v>
      </c>
      <c r="E227" s="161" t="s">
        <v>406</v>
      </c>
    </row>
    <row r="228" spans="1:5" x14ac:dyDescent="0.25">
      <c r="A228" s="156">
        <v>227</v>
      </c>
      <c r="B228" s="156" t="s">
        <v>96</v>
      </c>
      <c r="C228" s="157" t="s">
        <v>321</v>
      </c>
      <c r="D228" s="156" t="s">
        <v>86</v>
      </c>
      <c r="E228" s="158" t="s">
        <v>406</v>
      </c>
    </row>
    <row r="229" spans="1:5" x14ac:dyDescent="0.25">
      <c r="A229" s="159">
        <v>228</v>
      </c>
      <c r="B229" s="159" t="s">
        <v>118</v>
      </c>
      <c r="C229" s="160" t="s">
        <v>322</v>
      </c>
      <c r="D229" s="159" t="s">
        <v>86</v>
      </c>
      <c r="E229" s="161" t="s">
        <v>406</v>
      </c>
    </row>
    <row r="230" spans="1:5" x14ac:dyDescent="0.25">
      <c r="A230" s="156">
        <v>229</v>
      </c>
      <c r="B230" s="156" t="s">
        <v>96</v>
      </c>
      <c r="C230" s="157" t="s">
        <v>323</v>
      </c>
      <c r="D230" s="156" t="s">
        <v>86</v>
      </c>
      <c r="E230" s="158" t="s">
        <v>406</v>
      </c>
    </row>
    <row r="231" spans="1:5" x14ac:dyDescent="0.25">
      <c r="A231" s="159">
        <v>230</v>
      </c>
      <c r="B231" s="159" t="s">
        <v>118</v>
      </c>
      <c r="C231" s="160" t="s">
        <v>324</v>
      </c>
      <c r="D231" s="159" t="s">
        <v>86</v>
      </c>
      <c r="E231" s="161" t="s">
        <v>406</v>
      </c>
    </row>
    <row r="232" spans="1:5" x14ac:dyDescent="0.25">
      <c r="A232" s="156">
        <v>231</v>
      </c>
      <c r="B232" s="156" t="s">
        <v>118</v>
      </c>
      <c r="C232" s="157" t="s">
        <v>325</v>
      </c>
      <c r="D232" s="156" t="s">
        <v>86</v>
      </c>
      <c r="E232" s="158" t="s">
        <v>406</v>
      </c>
    </row>
    <row r="233" spans="1:5" x14ac:dyDescent="0.25">
      <c r="A233" s="159">
        <v>232</v>
      </c>
      <c r="B233" s="159" t="s">
        <v>118</v>
      </c>
      <c r="C233" s="160" t="s">
        <v>326</v>
      </c>
      <c r="D233" s="159" t="s">
        <v>86</v>
      </c>
      <c r="E233" s="161" t="s">
        <v>406</v>
      </c>
    </row>
    <row r="234" spans="1:5" x14ac:dyDescent="0.25">
      <c r="A234" s="156">
        <v>233</v>
      </c>
      <c r="B234" s="156" t="s">
        <v>118</v>
      </c>
      <c r="C234" s="157" t="s">
        <v>327</v>
      </c>
      <c r="D234" s="156" t="s">
        <v>86</v>
      </c>
      <c r="E234" s="158" t="s">
        <v>406</v>
      </c>
    </row>
    <row r="235" spans="1:5" x14ac:dyDescent="0.25">
      <c r="A235" s="159">
        <v>234</v>
      </c>
      <c r="B235" s="159" t="s">
        <v>96</v>
      </c>
      <c r="C235" s="160" t="s">
        <v>328</v>
      </c>
      <c r="D235" s="159" t="s">
        <v>86</v>
      </c>
      <c r="E235" s="161" t="s">
        <v>406</v>
      </c>
    </row>
    <row r="236" spans="1:5" x14ac:dyDescent="0.25">
      <c r="A236" s="156">
        <v>235</v>
      </c>
      <c r="B236" s="156" t="s">
        <v>308</v>
      </c>
      <c r="C236" s="157" t="s">
        <v>329</v>
      </c>
      <c r="D236" s="156" t="s">
        <v>86</v>
      </c>
      <c r="E236" s="158" t="s">
        <v>406</v>
      </c>
    </row>
    <row r="237" spans="1:5" x14ac:dyDescent="0.25">
      <c r="A237" s="159">
        <v>236</v>
      </c>
      <c r="B237" s="159" t="s">
        <v>96</v>
      </c>
      <c r="C237" s="160" t="s">
        <v>330</v>
      </c>
      <c r="D237" s="159" t="s">
        <v>86</v>
      </c>
      <c r="E237" s="161" t="s">
        <v>406</v>
      </c>
    </row>
    <row r="238" spans="1:5" x14ac:dyDescent="0.25">
      <c r="A238" s="156">
        <v>237</v>
      </c>
      <c r="B238" s="156" t="s">
        <v>118</v>
      </c>
      <c r="C238" s="157" t="s">
        <v>331</v>
      </c>
      <c r="D238" s="156" t="s">
        <v>86</v>
      </c>
      <c r="E238" s="158" t="s">
        <v>406</v>
      </c>
    </row>
    <row r="239" spans="1:5" x14ac:dyDescent="0.25">
      <c r="A239" s="159">
        <v>238</v>
      </c>
      <c r="B239" s="159" t="s">
        <v>96</v>
      </c>
      <c r="C239" s="160" t="s">
        <v>332</v>
      </c>
      <c r="D239" s="159" t="s">
        <v>86</v>
      </c>
      <c r="E239" s="161" t="s">
        <v>406</v>
      </c>
    </row>
    <row r="240" spans="1:5" x14ac:dyDescent="0.25">
      <c r="A240" s="156">
        <v>239</v>
      </c>
      <c r="B240" s="156" t="s">
        <v>96</v>
      </c>
      <c r="C240" s="157" t="s">
        <v>333</v>
      </c>
      <c r="D240" s="156" t="s">
        <v>86</v>
      </c>
      <c r="E240" s="158" t="s">
        <v>406</v>
      </c>
    </row>
    <row r="241" spans="1:5" x14ac:dyDescent="0.25">
      <c r="A241" s="159">
        <v>240</v>
      </c>
      <c r="B241" s="159" t="s">
        <v>96</v>
      </c>
      <c r="C241" s="160" t="s">
        <v>334</v>
      </c>
      <c r="D241" s="159" t="s">
        <v>86</v>
      </c>
      <c r="E241" s="161" t="s">
        <v>406</v>
      </c>
    </row>
    <row r="242" spans="1:5" x14ac:dyDescent="0.25">
      <c r="A242" s="156">
        <v>241</v>
      </c>
      <c r="B242" s="156" t="s">
        <v>96</v>
      </c>
      <c r="C242" s="157" t="s">
        <v>335</v>
      </c>
      <c r="D242" s="156" t="s">
        <v>86</v>
      </c>
      <c r="E242" s="158" t="s">
        <v>406</v>
      </c>
    </row>
    <row r="243" spans="1:5" x14ac:dyDescent="0.25">
      <c r="A243" s="159">
        <v>242</v>
      </c>
      <c r="B243" s="159" t="s">
        <v>96</v>
      </c>
      <c r="C243" s="160" t="s">
        <v>336</v>
      </c>
      <c r="D243" s="159" t="s">
        <v>86</v>
      </c>
      <c r="E243" s="161" t="s">
        <v>406</v>
      </c>
    </row>
    <row r="244" spans="1:5" x14ac:dyDescent="0.25">
      <c r="A244" s="156">
        <v>243</v>
      </c>
      <c r="B244" s="156" t="s">
        <v>96</v>
      </c>
      <c r="C244" s="157" t="s">
        <v>337</v>
      </c>
      <c r="D244" s="156" t="s">
        <v>86</v>
      </c>
      <c r="E244" s="158" t="s">
        <v>406</v>
      </c>
    </row>
    <row r="245" spans="1:5" x14ac:dyDescent="0.25">
      <c r="A245" s="159">
        <v>244</v>
      </c>
      <c r="B245" s="159" t="s">
        <v>118</v>
      </c>
      <c r="C245" s="160" t="s">
        <v>338</v>
      </c>
      <c r="D245" s="159" t="s">
        <v>86</v>
      </c>
      <c r="E245" s="161" t="s">
        <v>406</v>
      </c>
    </row>
    <row r="246" spans="1:5" x14ac:dyDescent="0.25">
      <c r="A246" s="156">
        <v>245</v>
      </c>
      <c r="B246" s="156" t="s">
        <v>118</v>
      </c>
      <c r="C246" s="157" t="s">
        <v>339</v>
      </c>
      <c r="D246" s="156" t="s">
        <v>86</v>
      </c>
      <c r="E246" s="158" t="s">
        <v>406</v>
      </c>
    </row>
    <row r="247" spans="1:5" x14ac:dyDescent="0.25">
      <c r="A247" s="159">
        <v>246</v>
      </c>
      <c r="B247" s="159" t="s">
        <v>96</v>
      </c>
      <c r="C247" s="160" t="s">
        <v>340</v>
      </c>
      <c r="D247" s="159" t="s">
        <v>86</v>
      </c>
      <c r="E247" s="161" t="s">
        <v>406</v>
      </c>
    </row>
    <row r="248" spans="1:5" x14ac:dyDescent="0.25">
      <c r="A248" s="156">
        <v>247</v>
      </c>
      <c r="B248" s="156" t="s">
        <v>96</v>
      </c>
      <c r="C248" s="157" t="s">
        <v>341</v>
      </c>
      <c r="D248" s="156" t="s">
        <v>86</v>
      </c>
      <c r="E248" s="158" t="s">
        <v>406</v>
      </c>
    </row>
    <row r="249" spans="1:5" x14ac:dyDescent="0.25">
      <c r="A249" s="159">
        <v>248</v>
      </c>
      <c r="B249" s="159" t="s">
        <v>96</v>
      </c>
      <c r="C249" s="160" t="s">
        <v>342</v>
      </c>
      <c r="D249" s="159" t="s">
        <v>86</v>
      </c>
      <c r="E249" s="161" t="s">
        <v>406</v>
      </c>
    </row>
    <row r="250" spans="1:5" x14ac:dyDescent="0.25">
      <c r="A250" s="156">
        <v>249</v>
      </c>
      <c r="B250" s="156" t="s">
        <v>96</v>
      </c>
      <c r="C250" s="157" t="s">
        <v>343</v>
      </c>
      <c r="D250" s="156" t="s">
        <v>86</v>
      </c>
      <c r="E250" s="158" t="s">
        <v>406</v>
      </c>
    </row>
    <row r="251" spans="1:5" x14ac:dyDescent="0.25">
      <c r="A251" s="159">
        <v>250</v>
      </c>
      <c r="B251" s="159" t="s">
        <v>118</v>
      </c>
      <c r="C251" s="160" t="s">
        <v>344</v>
      </c>
      <c r="D251" s="159" t="s">
        <v>86</v>
      </c>
      <c r="E251" s="161" t="s">
        <v>407</v>
      </c>
    </row>
    <row r="252" spans="1:5" x14ac:dyDescent="0.25">
      <c r="A252" s="156">
        <v>251</v>
      </c>
      <c r="B252" s="156" t="s">
        <v>96</v>
      </c>
      <c r="C252" s="157" t="s">
        <v>345</v>
      </c>
      <c r="D252" s="156" t="s">
        <v>86</v>
      </c>
      <c r="E252" s="158" t="s">
        <v>406</v>
      </c>
    </row>
    <row r="253" spans="1:5" x14ac:dyDescent="0.25">
      <c r="A253" s="159">
        <v>252</v>
      </c>
      <c r="B253" s="159" t="s">
        <v>96</v>
      </c>
      <c r="C253" s="160" t="s">
        <v>346</v>
      </c>
      <c r="D253" s="159" t="s">
        <v>86</v>
      </c>
      <c r="E253" s="161" t="s">
        <v>406</v>
      </c>
    </row>
    <row r="254" spans="1:5" x14ac:dyDescent="0.25">
      <c r="A254" s="156">
        <v>253</v>
      </c>
      <c r="B254" s="156" t="s">
        <v>96</v>
      </c>
      <c r="C254" s="157" t="s">
        <v>347</v>
      </c>
      <c r="D254" s="156" t="s">
        <v>86</v>
      </c>
      <c r="E254" s="158" t="s">
        <v>406</v>
      </c>
    </row>
    <row r="255" spans="1:5" x14ac:dyDescent="0.25">
      <c r="A255" s="159">
        <v>254</v>
      </c>
      <c r="B255" s="159" t="s">
        <v>96</v>
      </c>
      <c r="C255" s="160" t="s">
        <v>348</v>
      </c>
      <c r="D255" s="159" t="s">
        <v>86</v>
      </c>
      <c r="E255" s="161" t="s">
        <v>406</v>
      </c>
    </row>
    <row r="256" spans="1:5" x14ac:dyDescent="0.25">
      <c r="A256" s="156">
        <v>255</v>
      </c>
      <c r="B256" s="156" t="s">
        <v>96</v>
      </c>
      <c r="C256" s="157" t="s">
        <v>349</v>
      </c>
      <c r="D256" s="156" t="s">
        <v>86</v>
      </c>
      <c r="E256" s="158" t="s">
        <v>406</v>
      </c>
    </row>
    <row r="257" spans="1:5" x14ac:dyDescent="0.25">
      <c r="A257" s="159">
        <v>256</v>
      </c>
      <c r="B257" s="159" t="s">
        <v>96</v>
      </c>
      <c r="C257" s="160" t="s">
        <v>350</v>
      </c>
      <c r="D257" s="159" t="s">
        <v>86</v>
      </c>
      <c r="E257" s="161" t="s">
        <v>407</v>
      </c>
    </row>
    <row r="258" spans="1:5" x14ac:dyDescent="0.25">
      <c r="A258" s="156">
        <v>257</v>
      </c>
      <c r="B258" s="156" t="s">
        <v>96</v>
      </c>
      <c r="C258" s="157" t="s">
        <v>351</v>
      </c>
      <c r="D258" s="156" t="s">
        <v>86</v>
      </c>
      <c r="E258" s="158" t="s">
        <v>406</v>
      </c>
    </row>
    <row r="259" spans="1:5" x14ac:dyDescent="0.25">
      <c r="A259" s="159">
        <v>258</v>
      </c>
      <c r="B259" s="159" t="s">
        <v>352</v>
      </c>
      <c r="C259" s="160" t="s">
        <v>353</v>
      </c>
      <c r="D259" s="159" t="s">
        <v>86</v>
      </c>
      <c r="E259" s="161" t="s">
        <v>407</v>
      </c>
    </row>
    <row r="260" spans="1:5" x14ac:dyDescent="0.25">
      <c r="A260" s="156">
        <v>259</v>
      </c>
      <c r="B260" s="156" t="s">
        <v>96</v>
      </c>
      <c r="C260" s="157" t="s">
        <v>354</v>
      </c>
      <c r="D260" s="156" t="s">
        <v>86</v>
      </c>
      <c r="E260" s="158" t="s">
        <v>406</v>
      </c>
    </row>
    <row r="261" spans="1:5" x14ac:dyDescent="0.25">
      <c r="A261" s="159">
        <v>260</v>
      </c>
      <c r="B261" s="159" t="s">
        <v>308</v>
      </c>
      <c r="C261" s="160" t="s">
        <v>355</v>
      </c>
      <c r="D261" s="159" t="s">
        <v>86</v>
      </c>
      <c r="E261" s="161" t="s">
        <v>406</v>
      </c>
    </row>
    <row r="262" spans="1:5" x14ac:dyDescent="0.25">
      <c r="A262" s="156">
        <v>261</v>
      </c>
      <c r="B262" s="156" t="s">
        <v>96</v>
      </c>
      <c r="C262" s="157" t="s">
        <v>356</v>
      </c>
      <c r="D262" s="156" t="s">
        <v>86</v>
      </c>
      <c r="E262" s="158" t="s">
        <v>406</v>
      </c>
    </row>
    <row r="263" spans="1:5" x14ac:dyDescent="0.25">
      <c r="A263" s="159">
        <v>262</v>
      </c>
      <c r="B263" s="159" t="s">
        <v>96</v>
      </c>
      <c r="C263" s="160" t="s">
        <v>357</v>
      </c>
      <c r="D263" s="159" t="s">
        <v>86</v>
      </c>
      <c r="E263" s="161" t="s">
        <v>406</v>
      </c>
    </row>
    <row r="264" spans="1:5" x14ac:dyDescent="0.25">
      <c r="A264" s="156">
        <v>263</v>
      </c>
      <c r="B264" s="156" t="s">
        <v>96</v>
      </c>
      <c r="C264" s="157" t="s">
        <v>358</v>
      </c>
      <c r="D264" s="156" t="s">
        <v>86</v>
      </c>
      <c r="E264" s="158" t="s">
        <v>406</v>
      </c>
    </row>
    <row r="265" spans="1:5" x14ac:dyDescent="0.25">
      <c r="A265" s="159">
        <v>264</v>
      </c>
      <c r="B265" s="159" t="s">
        <v>96</v>
      </c>
      <c r="C265" s="160" t="s">
        <v>359</v>
      </c>
      <c r="D265" s="159" t="s">
        <v>86</v>
      </c>
      <c r="E265" s="161" t="s">
        <v>406</v>
      </c>
    </row>
    <row r="266" spans="1:5" x14ac:dyDescent="0.25">
      <c r="A266" s="156">
        <v>265</v>
      </c>
      <c r="B266" s="156" t="s">
        <v>96</v>
      </c>
      <c r="C266" s="157" t="s">
        <v>360</v>
      </c>
      <c r="D266" s="156" t="s">
        <v>86</v>
      </c>
      <c r="E266" s="158" t="s">
        <v>406</v>
      </c>
    </row>
    <row r="267" spans="1:5" x14ac:dyDescent="0.25">
      <c r="A267" s="159">
        <v>266</v>
      </c>
      <c r="B267" s="159" t="s">
        <v>96</v>
      </c>
      <c r="C267" s="160" t="s">
        <v>361</v>
      </c>
      <c r="D267" s="159" t="s">
        <v>86</v>
      </c>
      <c r="E267" s="161" t="s">
        <v>407</v>
      </c>
    </row>
    <row r="268" spans="1:5" x14ac:dyDescent="0.25">
      <c r="A268" s="156">
        <v>267</v>
      </c>
      <c r="B268" s="156" t="s">
        <v>96</v>
      </c>
      <c r="C268" s="157" t="s">
        <v>362</v>
      </c>
      <c r="D268" s="156" t="s">
        <v>86</v>
      </c>
      <c r="E268" s="158" t="s">
        <v>407</v>
      </c>
    </row>
    <row r="269" spans="1:5" x14ac:dyDescent="0.25">
      <c r="A269" s="159">
        <v>268</v>
      </c>
      <c r="B269" s="159" t="s">
        <v>96</v>
      </c>
      <c r="C269" s="160" t="s">
        <v>363</v>
      </c>
      <c r="D269" s="159" t="s">
        <v>86</v>
      </c>
      <c r="E269" s="161" t="s">
        <v>406</v>
      </c>
    </row>
    <row r="270" spans="1:5" x14ac:dyDescent="0.25">
      <c r="A270" s="156">
        <v>269</v>
      </c>
      <c r="B270" s="156" t="s">
        <v>96</v>
      </c>
      <c r="C270" s="157" t="s">
        <v>364</v>
      </c>
      <c r="D270" s="156" t="s">
        <v>86</v>
      </c>
      <c r="E270" s="158" t="s">
        <v>406</v>
      </c>
    </row>
    <row r="271" spans="1:5" x14ac:dyDescent="0.25">
      <c r="A271" s="159">
        <v>270</v>
      </c>
      <c r="B271" s="159" t="s">
        <v>96</v>
      </c>
      <c r="C271" s="160" t="s">
        <v>365</v>
      </c>
      <c r="D271" s="159" t="s">
        <v>86</v>
      </c>
      <c r="E271" s="161" t="s">
        <v>406</v>
      </c>
    </row>
    <row r="272" spans="1:5" x14ac:dyDescent="0.25">
      <c r="A272" s="156">
        <v>271</v>
      </c>
      <c r="B272" s="156" t="s">
        <v>308</v>
      </c>
      <c r="C272" s="157" t="s">
        <v>366</v>
      </c>
      <c r="D272" s="156" t="s">
        <v>86</v>
      </c>
      <c r="E272" s="158" t="s">
        <v>406</v>
      </c>
    </row>
    <row r="273" spans="1:5" x14ac:dyDescent="0.25">
      <c r="A273" s="159">
        <v>272</v>
      </c>
      <c r="B273" s="159" t="s">
        <v>141</v>
      </c>
      <c r="C273" s="160" t="s">
        <v>367</v>
      </c>
      <c r="D273" s="159" t="s">
        <v>86</v>
      </c>
      <c r="E273" s="161" t="s">
        <v>406</v>
      </c>
    </row>
    <row r="274" spans="1:5" x14ac:dyDescent="0.25">
      <c r="A274" s="156">
        <v>273</v>
      </c>
      <c r="B274" s="156" t="s">
        <v>96</v>
      </c>
      <c r="C274" s="157" t="s">
        <v>368</v>
      </c>
      <c r="D274" s="156" t="s">
        <v>86</v>
      </c>
      <c r="E274" s="158" t="s">
        <v>406</v>
      </c>
    </row>
    <row r="275" spans="1:5" x14ac:dyDescent="0.25">
      <c r="A275" s="159">
        <v>274</v>
      </c>
      <c r="B275" s="159" t="s">
        <v>96</v>
      </c>
      <c r="C275" s="160" t="s">
        <v>369</v>
      </c>
      <c r="D275" s="159" t="s">
        <v>86</v>
      </c>
      <c r="E275" s="161" t="s">
        <v>406</v>
      </c>
    </row>
    <row r="276" spans="1:5" x14ac:dyDescent="0.25">
      <c r="A276" s="156">
        <v>275</v>
      </c>
      <c r="B276" s="156" t="s">
        <v>96</v>
      </c>
      <c r="C276" s="157" t="s">
        <v>370</v>
      </c>
      <c r="D276" s="156" t="s">
        <v>86</v>
      </c>
      <c r="E276" s="158" t="s">
        <v>406</v>
      </c>
    </row>
    <row r="277" spans="1:5" x14ac:dyDescent="0.25">
      <c r="A277" s="159">
        <v>276</v>
      </c>
      <c r="B277" s="159" t="s">
        <v>96</v>
      </c>
      <c r="C277" s="160" t="s">
        <v>371</v>
      </c>
      <c r="D277" s="159" t="s">
        <v>86</v>
      </c>
      <c r="E277" s="161" t="s">
        <v>406</v>
      </c>
    </row>
    <row r="278" spans="1:5" x14ac:dyDescent="0.25">
      <c r="A278" s="156">
        <v>277</v>
      </c>
      <c r="B278" s="156" t="s">
        <v>96</v>
      </c>
      <c r="C278" s="157" t="s">
        <v>372</v>
      </c>
      <c r="D278" s="156" t="s">
        <v>86</v>
      </c>
      <c r="E278" s="158" t="s">
        <v>406</v>
      </c>
    </row>
    <row r="279" spans="1:5" x14ac:dyDescent="0.25">
      <c r="A279" s="159">
        <v>278</v>
      </c>
      <c r="B279" s="159" t="s">
        <v>96</v>
      </c>
      <c r="C279" s="160" t="s">
        <v>373</v>
      </c>
      <c r="D279" s="159" t="s">
        <v>86</v>
      </c>
      <c r="E279" s="161" t="s">
        <v>406</v>
      </c>
    </row>
    <row r="280" spans="1:5" x14ac:dyDescent="0.25">
      <c r="A280" s="156">
        <v>279</v>
      </c>
      <c r="B280" s="156" t="s">
        <v>96</v>
      </c>
      <c r="C280" s="157" t="s">
        <v>374</v>
      </c>
      <c r="D280" s="156" t="s">
        <v>86</v>
      </c>
      <c r="E280" s="158" t="s">
        <v>406</v>
      </c>
    </row>
    <row r="281" spans="1:5" x14ac:dyDescent="0.25">
      <c r="A281" s="159">
        <v>280</v>
      </c>
      <c r="B281" s="159" t="s">
        <v>96</v>
      </c>
      <c r="C281" s="160" t="s">
        <v>375</v>
      </c>
      <c r="D281" s="159" t="s">
        <v>86</v>
      </c>
      <c r="E281" s="161" t="s">
        <v>406</v>
      </c>
    </row>
    <row r="282" spans="1:5" x14ac:dyDescent="0.25">
      <c r="A282" s="156">
        <v>281</v>
      </c>
      <c r="B282" s="156" t="s">
        <v>96</v>
      </c>
      <c r="C282" s="157" t="s">
        <v>376</v>
      </c>
      <c r="D282" s="156" t="s">
        <v>86</v>
      </c>
      <c r="E282" s="158" t="s">
        <v>406</v>
      </c>
    </row>
    <row r="283" spans="1:5" x14ac:dyDescent="0.25">
      <c r="A283" s="159">
        <v>282</v>
      </c>
      <c r="B283" s="159" t="s">
        <v>96</v>
      </c>
      <c r="C283" s="160" t="s">
        <v>377</v>
      </c>
      <c r="D283" s="159" t="s">
        <v>86</v>
      </c>
      <c r="E283" s="161" t="s">
        <v>406</v>
      </c>
    </row>
    <row r="284" spans="1:5" x14ac:dyDescent="0.25">
      <c r="A284" s="156">
        <v>283</v>
      </c>
      <c r="B284" s="156" t="s">
        <v>96</v>
      </c>
      <c r="C284" s="157" t="s">
        <v>378</v>
      </c>
      <c r="D284" s="156" t="s">
        <v>86</v>
      </c>
      <c r="E284" s="158" t="s">
        <v>406</v>
      </c>
    </row>
    <row r="285" spans="1:5" x14ac:dyDescent="0.25">
      <c r="A285" s="159">
        <v>284</v>
      </c>
      <c r="B285" s="159" t="s">
        <v>96</v>
      </c>
      <c r="C285" s="160" t="s">
        <v>379</v>
      </c>
      <c r="D285" s="159" t="s">
        <v>86</v>
      </c>
      <c r="E285" s="161" t="s">
        <v>406</v>
      </c>
    </row>
    <row r="286" spans="1:5" x14ac:dyDescent="0.25">
      <c r="A286" s="156">
        <v>285</v>
      </c>
      <c r="B286" s="156" t="s">
        <v>96</v>
      </c>
      <c r="C286" s="157" t="s">
        <v>380</v>
      </c>
      <c r="D286" s="156" t="s">
        <v>86</v>
      </c>
      <c r="E286" s="158" t="s">
        <v>406</v>
      </c>
    </row>
    <row r="287" spans="1:5" x14ac:dyDescent="0.25">
      <c r="A287" s="159">
        <v>286</v>
      </c>
      <c r="B287" s="159" t="s">
        <v>96</v>
      </c>
      <c r="C287" s="160" t="s">
        <v>381</v>
      </c>
      <c r="D287" s="159" t="s">
        <v>86</v>
      </c>
      <c r="E287" s="161" t="s">
        <v>406</v>
      </c>
    </row>
    <row r="288" spans="1:5" x14ac:dyDescent="0.25">
      <c r="A288" s="156">
        <v>287</v>
      </c>
      <c r="B288" s="156" t="s">
        <v>96</v>
      </c>
      <c r="C288" s="157" t="s">
        <v>382</v>
      </c>
      <c r="D288" s="156" t="s">
        <v>86</v>
      </c>
      <c r="E288" s="158" t="s">
        <v>407</v>
      </c>
    </row>
    <row r="289" spans="1:5" x14ac:dyDescent="0.25">
      <c r="A289" s="159">
        <v>288</v>
      </c>
      <c r="B289" s="159" t="s">
        <v>96</v>
      </c>
      <c r="C289" s="160" t="s">
        <v>383</v>
      </c>
      <c r="D289" s="159" t="s">
        <v>86</v>
      </c>
      <c r="E289" s="161" t="s">
        <v>406</v>
      </c>
    </row>
    <row r="290" spans="1:5" x14ac:dyDescent="0.25">
      <c r="A290" s="156">
        <v>289</v>
      </c>
      <c r="B290" s="156" t="s">
        <v>96</v>
      </c>
      <c r="C290" s="157" t="s">
        <v>384</v>
      </c>
      <c r="D290" s="156" t="s">
        <v>86</v>
      </c>
      <c r="E290" s="158" t="s">
        <v>406</v>
      </c>
    </row>
    <row r="291" spans="1:5" x14ac:dyDescent="0.25">
      <c r="A291" s="159">
        <v>290</v>
      </c>
      <c r="B291" s="159" t="s">
        <v>96</v>
      </c>
      <c r="C291" s="160" t="s">
        <v>385</v>
      </c>
      <c r="D291" s="159" t="s">
        <v>86</v>
      </c>
      <c r="E291" s="161" t="s">
        <v>407</v>
      </c>
    </row>
    <row r="292" spans="1:5" x14ac:dyDescent="0.25">
      <c r="A292" s="156">
        <v>291</v>
      </c>
      <c r="B292" s="156" t="s">
        <v>96</v>
      </c>
      <c r="C292" s="157" t="s">
        <v>386</v>
      </c>
      <c r="D292" s="156" t="s">
        <v>86</v>
      </c>
      <c r="E292" s="158" t="s">
        <v>407</v>
      </c>
    </row>
    <row r="293" spans="1:5" x14ac:dyDescent="0.25">
      <c r="A293" s="159">
        <v>292</v>
      </c>
      <c r="B293" s="159" t="s">
        <v>96</v>
      </c>
      <c r="C293" s="160" t="s">
        <v>387</v>
      </c>
      <c r="D293" s="159" t="s">
        <v>86</v>
      </c>
      <c r="E293" s="161" t="s">
        <v>407</v>
      </c>
    </row>
    <row r="294" spans="1:5" x14ac:dyDescent="0.25">
      <c r="A294" s="156">
        <v>293</v>
      </c>
      <c r="B294" s="156" t="s">
        <v>96</v>
      </c>
      <c r="C294" s="157" t="s">
        <v>388</v>
      </c>
      <c r="D294" s="156" t="s">
        <v>86</v>
      </c>
      <c r="E294" s="158" t="s">
        <v>406</v>
      </c>
    </row>
    <row r="295" spans="1:5" x14ac:dyDescent="0.25">
      <c r="A295" s="159">
        <v>294</v>
      </c>
      <c r="B295" s="159" t="s">
        <v>96</v>
      </c>
      <c r="C295" s="160" t="s">
        <v>389</v>
      </c>
      <c r="D295" s="159" t="s">
        <v>86</v>
      </c>
      <c r="E295" s="161" t="s">
        <v>406</v>
      </c>
    </row>
    <row r="296" spans="1:5" x14ac:dyDescent="0.25">
      <c r="A296" s="156">
        <v>295</v>
      </c>
      <c r="B296" s="156" t="s">
        <v>96</v>
      </c>
      <c r="C296" s="157" t="s">
        <v>390</v>
      </c>
      <c r="D296" s="156" t="s">
        <v>86</v>
      </c>
      <c r="E296" s="158" t="s">
        <v>406</v>
      </c>
    </row>
    <row r="297" spans="1:5" x14ac:dyDescent="0.25">
      <c r="A297" s="159">
        <v>296</v>
      </c>
      <c r="B297" s="159" t="s">
        <v>96</v>
      </c>
      <c r="C297" s="160" t="s">
        <v>76</v>
      </c>
      <c r="D297" s="159" t="s">
        <v>86</v>
      </c>
      <c r="E297" s="161" t="s">
        <v>407</v>
      </c>
    </row>
    <row r="298" spans="1:5" x14ac:dyDescent="0.25">
      <c r="A298" s="156">
        <v>297</v>
      </c>
      <c r="B298" s="156" t="s">
        <v>96</v>
      </c>
      <c r="C298" s="157" t="s">
        <v>391</v>
      </c>
      <c r="D298" s="156" t="s">
        <v>86</v>
      </c>
      <c r="E298" s="158" t="s">
        <v>407</v>
      </c>
    </row>
    <row r="299" spans="1:5" x14ac:dyDescent="0.25">
      <c r="A299" s="159">
        <v>298</v>
      </c>
      <c r="B299" s="159" t="s">
        <v>96</v>
      </c>
      <c r="C299" s="160" t="s">
        <v>392</v>
      </c>
      <c r="D299" s="159" t="s">
        <v>408</v>
      </c>
      <c r="E299" s="161" t="s">
        <v>407</v>
      </c>
    </row>
    <row r="300" spans="1:5" x14ac:dyDescent="0.25">
      <c r="A300" s="156">
        <v>299</v>
      </c>
      <c r="B300" s="156" t="s">
        <v>96</v>
      </c>
      <c r="C300" s="157" t="s">
        <v>393</v>
      </c>
      <c r="D300" s="156" t="s">
        <v>408</v>
      </c>
      <c r="E300" s="158" t="s">
        <v>407</v>
      </c>
    </row>
    <row r="301" spans="1:5" x14ac:dyDescent="0.25">
      <c r="A301" s="159">
        <v>300</v>
      </c>
      <c r="B301" s="159" t="s">
        <v>96</v>
      </c>
      <c r="C301" s="160" t="s">
        <v>394</v>
      </c>
      <c r="D301" s="159" t="s">
        <v>86</v>
      </c>
      <c r="E301" s="161" t="s">
        <v>407</v>
      </c>
    </row>
    <row r="302" spans="1:5" x14ac:dyDescent="0.25">
      <c r="A302" s="156">
        <v>301</v>
      </c>
      <c r="B302" s="156" t="s">
        <v>96</v>
      </c>
      <c r="C302" s="157" t="s">
        <v>395</v>
      </c>
      <c r="D302" s="156" t="s">
        <v>86</v>
      </c>
      <c r="E302" s="158" t="s">
        <v>406</v>
      </c>
    </row>
    <row r="303" spans="1:5" x14ac:dyDescent="0.25">
      <c r="A303" s="159">
        <v>302</v>
      </c>
      <c r="B303" s="159" t="s">
        <v>96</v>
      </c>
      <c r="C303" s="160" t="s">
        <v>396</v>
      </c>
      <c r="D303" s="159" t="s">
        <v>92</v>
      </c>
      <c r="E303" s="161" t="s">
        <v>407</v>
      </c>
    </row>
    <row r="304" spans="1:5" x14ac:dyDescent="0.25">
      <c r="A304" s="156">
        <v>303</v>
      </c>
      <c r="B304" s="156" t="s">
        <v>96</v>
      </c>
      <c r="C304" s="157" t="s">
        <v>397</v>
      </c>
      <c r="D304" s="156" t="s">
        <v>92</v>
      </c>
      <c r="E304" s="158" t="s">
        <v>407</v>
      </c>
    </row>
    <row r="305" spans="1:5" x14ac:dyDescent="0.25">
      <c r="A305" s="159">
        <v>304</v>
      </c>
      <c r="B305" s="159" t="s">
        <v>96</v>
      </c>
      <c r="C305" s="160" t="s">
        <v>398</v>
      </c>
      <c r="D305" s="159" t="s">
        <v>92</v>
      </c>
      <c r="E305" s="161" t="s">
        <v>407</v>
      </c>
    </row>
    <row r="306" spans="1:5" x14ac:dyDescent="0.25">
      <c r="A306" s="156">
        <v>305</v>
      </c>
      <c r="B306" s="156" t="s">
        <v>96</v>
      </c>
      <c r="C306" s="157" t="s">
        <v>399</v>
      </c>
      <c r="D306" s="156" t="s">
        <v>86</v>
      </c>
      <c r="E306" s="158" t="s">
        <v>407</v>
      </c>
    </row>
    <row r="307" spans="1:5" x14ac:dyDescent="0.25">
      <c r="A307" s="159">
        <v>306</v>
      </c>
      <c r="B307" s="159" t="s">
        <v>96</v>
      </c>
      <c r="C307" s="160" t="s">
        <v>400</v>
      </c>
      <c r="D307" s="159" t="s">
        <v>86</v>
      </c>
      <c r="E307" s="161" t="s">
        <v>406</v>
      </c>
    </row>
    <row r="308" spans="1:5" x14ac:dyDescent="0.25">
      <c r="A308" s="156">
        <v>307</v>
      </c>
      <c r="B308" s="156" t="s">
        <v>96</v>
      </c>
      <c r="C308" s="157" t="s">
        <v>401</v>
      </c>
      <c r="D308" s="156" t="s">
        <v>86</v>
      </c>
      <c r="E308" s="158" t="s">
        <v>407</v>
      </c>
    </row>
    <row r="309" spans="1:5" x14ac:dyDescent="0.25">
      <c r="A309" s="159">
        <v>308</v>
      </c>
      <c r="B309" s="159" t="s">
        <v>96</v>
      </c>
      <c r="C309" s="160" t="s">
        <v>402</v>
      </c>
      <c r="D309" s="159" t="s">
        <v>86</v>
      </c>
      <c r="E309" s="161" t="s">
        <v>406</v>
      </c>
    </row>
    <row r="310" spans="1:5" x14ac:dyDescent="0.25">
      <c r="A310" s="156">
        <v>309</v>
      </c>
      <c r="B310" s="156" t="s">
        <v>96</v>
      </c>
      <c r="C310" s="157" t="s">
        <v>403</v>
      </c>
      <c r="D310" s="156" t="s">
        <v>92</v>
      </c>
      <c r="E310" s="158" t="s">
        <v>407</v>
      </c>
    </row>
    <row r="311" spans="1:5" x14ac:dyDescent="0.25">
      <c r="A311" s="159">
        <v>310</v>
      </c>
      <c r="B311" s="159" t="s">
        <v>96</v>
      </c>
      <c r="C311" s="160" t="s">
        <v>404</v>
      </c>
      <c r="D311" s="159" t="s">
        <v>86</v>
      </c>
      <c r="E311" s="161" t="s">
        <v>406</v>
      </c>
    </row>
  </sheetData>
  <sortState ref="A2:E311">
    <sortCondition ref="C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>
    <tabColor theme="5"/>
    <pageSetUpPr fitToPage="1"/>
  </sheetPr>
  <dimension ref="A1:K21"/>
  <sheetViews>
    <sheetView zoomScale="85" zoomScaleNormal="85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3" width="9.140625" style="6"/>
    <col min="4" max="4" width="7.5703125" style="1" customWidth="1"/>
    <col min="5" max="5" width="29.28515625" customWidth="1"/>
    <col min="6" max="6" width="19" customWidth="1"/>
    <col min="7" max="7" width="29.85546875" style="4" customWidth="1"/>
    <col min="8" max="8" width="22.42578125" style="1" customWidth="1"/>
    <col min="9" max="9" width="12.5703125" style="1" customWidth="1"/>
    <col min="10" max="10" width="11.28515625" style="3" customWidth="1"/>
    <col min="11" max="11" width="16" style="4" customWidth="1"/>
  </cols>
  <sheetData>
    <row r="1" spans="1:11" s="5" customFormat="1" ht="42" customHeight="1" x14ac:dyDescent="0.25">
      <c r="A1" s="8"/>
      <c r="B1" s="8"/>
      <c r="C1" s="8"/>
      <c r="D1" s="5" t="s">
        <v>13</v>
      </c>
      <c r="E1" s="5" t="s">
        <v>3</v>
      </c>
      <c r="F1" s="13" t="s">
        <v>62</v>
      </c>
      <c r="G1" s="5" t="s">
        <v>63</v>
      </c>
      <c r="H1" s="5" t="s">
        <v>11</v>
      </c>
      <c r="I1" s="16" t="s">
        <v>12</v>
      </c>
      <c r="J1" s="16" t="s">
        <v>8</v>
      </c>
    </row>
    <row r="2" spans="1:11" x14ac:dyDescent="0.25">
      <c r="A2" s="78" t="s">
        <v>45</v>
      </c>
      <c r="B2" s="79"/>
      <c r="C2" s="80"/>
      <c r="D2" s="1">
        <v>0</v>
      </c>
      <c r="F2" s="2"/>
      <c r="G2" s="1"/>
      <c r="I2" s="3"/>
      <c r="K2"/>
    </row>
    <row r="3" spans="1:11" x14ac:dyDescent="0.25">
      <c r="A3" s="81"/>
      <c r="B3" s="82"/>
      <c r="C3" s="83"/>
      <c r="D3" s="1">
        <v>1</v>
      </c>
      <c r="E3" t="s">
        <v>56</v>
      </c>
      <c r="F3" s="2">
        <v>120</v>
      </c>
      <c r="G3" s="12" t="s">
        <v>64</v>
      </c>
      <c r="I3" s="17">
        <v>42986</v>
      </c>
      <c r="J3" s="3">
        <v>42986</v>
      </c>
      <c r="K3"/>
    </row>
    <row r="4" spans="1:11" x14ac:dyDescent="0.25">
      <c r="A4" s="84" t="str">
        <f>ENTRADAS!A4</f>
        <v>OUTUBRO / 2017</v>
      </c>
      <c r="B4" s="85"/>
      <c r="C4" s="86"/>
      <c r="D4" s="1">
        <v>2</v>
      </c>
      <c r="E4" t="s">
        <v>58</v>
      </c>
      <c r="F4" s="2">
        <v>400</v>
      </c>
      <c r="G4" s="12" t="s">
        <v>64</v>
      </c>
      <c r="I4" s="17">
        <v>42986</v>
      </c>
      <c r="J4" s="3">
        <v>42986</v>
      </c>
      <c r="K4"/>
    </row>
    <row r="5" spans="1:11" x14ac:dyDescent="0.25">
      <c r="A5" s="87"/>
      <c r="B5" s="88"/>
      <c r="C5" s="89"/>
      <c r="D5" s="1">
        <v>3</v>
      </c>
      <c r="E5" t="s">
        <v>86</v>
      </c>
      <c r="F5" s="2">
        <v>500</v>
      </c>
      <c r="G5" s="12" t="s">
        <v>64</v>
      </c>
      <c r="H5" s="1">
        <v>4521</v>
      </c>
      <c r="I5" s="60">
        <v>42865</v>
      </c>
      <c r="J5" s="18">
        <v>42865</v>
      </c>
    </row>
    <row r="6" spans="1:11" ht="15" customHeight="1" x14ac:dyDescent="0.25">
      <c r="A6" s="66" t="s">
        <v>53</v>
      </c>
      <c r="B6" s="67"/>
      <c r="C6" s="68"/>
      <c r="D6" s="1">
        <v>4</v>
      </c>
      <c r="E6" t="s">
        <v>90</v>
      </c>
      <c r="F6" s="2">
        <v>20</v>
      </c>
      <c r="G6" s="12" t="s">
        <v>417</v>
      </c>
      <c r="H6" s="1">
        <v>21514</v>
      </c>
      <c r="I6" s="60">
        <v>42865</v>
      </c>
      <c r="J6" s="18">
        <v>42865</v>
      </c>
    </row>
    <row r="7" spans="1:11" x14ac:dyDescent="0.25">
      <c r="A7" s="69"/>
      <c r="B7" s="70"/>
      <c r="C7" s="71"/>
    </row>
    <row r="8" spans="1:11" ht="15" customHeight="1" x14ac:dyDescent="0.25">
      <c r="A8" s="72">
        <f>SUM(F:F)</f>
        <v>1040</v>
      </c>
      <c r="B8" s="73"/>
      <c r="C8" s="74"/>
    </row>
    <row r="9" spans="1:11" ht="15" customHeight="1" x14ac:dyDescent="0.25">
      <c r="A9" s="75"/>
      <c r="B9" s="76"/>
      <c r="C9" s="77"/>
    </row>
    <row r="10" spans="1:11" ht="15" customHeight="1" x14ac:dyDescent="0.25"/>
    <row r="12" spans="1:11" ht="15" customHeight="1" x14ac:dyDescent="0.25"/>
    <row r="13" spans="1:11" ht="15" customHeight="1" x14ac:dyDescent="0.25"/>
    <row r="14" spans="1:11" ht="15" customHeight="1" x14ac:dyDescent="0.25"/>
    <row r="16" spans="1:11" ht="15" customHeight="1" x14ac:dyDescent="0.25"/>
    <row r="17" ht="15" customHeight="1" x14ac:dyDescent="0.25"/>
    <row r="18" ht="15" customHeight="1" x14ac:dyDescent="0.25"/>
    <row r="20" ht="15" customHeight="1" x14ac:dyDescent="0.25"/>
    <row r="21" ht="15" customHeight="1" x14ac:dyDescent="0.25"/>
  </sheetData>
  <mergeCells count="4">
    <mergeCell ref="A6:C7"/>
    <mergeCell ref="A8:C9"/>
    <mergeCell ref="A2:C3"/>
    <mergeCell ref="A4:C5"/>
  </mergeCells>
  <pageMargins left="0.511811024" right="0.511811024" top="0.78740157499999996" bottom="0.78740157499999996" header="0.31496062000000002" footer="0.31496062000000002"/>
  <pageSetup paperSize="9" scale="57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104775</xdr:rowOff>
              </from>
              <to>
                <xdr:col>2</xdr:col>
                <xdr:colOff>485775</xdr:colOff>
                <xdr:row>0</xdr:row>
                <xdr:rowOff>485775</xdr:rowOff>
              </to>
            </anchor>
          </controlPr>
        </control>
      </mc:Choice>
      <mc:Fallback>
        <control shapeId="7169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rgb="FF92D050"/>
    <pageSetUpPr fitToPage="1"/>
  </sheetPr>
  <dimension ref="A1:O25"/>
  <sheetViews>
    <sheetView topLeftCell="B1" zoomScale="85" zoomScaleNormal="85"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3" width="9.140625" style="6"/>
    <col min="4" max="4" width="7.5703125" style="1" customWidth="1"/>
    <col min="5" max="5" width="37.85546875" customWidth="1"/>
    <col min="6" max="6" width="27.85546875" bestFit="1" customWidth="1"/>
    <col min="7" max="7" width="14.5703125" style="4" customWidth="1"/>
    <col min="8" max="8" width="12.7109375" style="4" customWidth="1"/>
    <col min="9" max="9" width="15" style="4" customWidth="1"/>
    <col min="10" max="10" width="20.140625" style="1" customWidth="1"/>
    <col min="11" max="11" width="12.5703125" style="1" customWidth="1"/>
    <col min="12" max="12" width="14.42578125" style="3" customWidth="1"/>
    <col min="13" max="13" width="15.42578125" style="3" customWidth="1"/>
    <col min="14" max="14" width="16" style="4" customWidth="1"/>
    <col min="15" max="15" width="9.140625" style="1"/>
  </cols>
  <sheetData>
    <row r="1" spans="1:15" s="5" customFormat="1" ht="40.5" customHeight="1" x14ac:dyDescent="0.25">
      <c r="A1" s="8"/>
      <c r="B1" s="8"/>
      <c r="C1" s="8"/>
      <c r="D1" s="25" t="s">
        <v>13</v>
      </c>
      <c r="E1" s="25" t="s">
        <v>10</v>
      </c>
      <c r="F1" s="25" t="s">
        <v>3</v>
      </c>
      <c r="G1" s="26" t="s">
        <v>4</v>
      </c>
      <c r="H1" s="26" t="s">
        <v>5</v>
      </c>
      <c r="I1" s="26" t="s">
        <v>6</v>
      </c>
      <c r="J1" s="25" t="s">
        <v>7</v>
      </c>
      <c r="K1" s="25" t="s">
        <v>11</v>
      </c>
      <c r="L1" s="152" t="s">
        <v>12</v>
      </c>
      <c r="M1" s="153" t="s">
        <v>8</v>
      </c>
      <c r="N1" s="26" t="s">
        <v>9</v>
      </c>
      <c r="O1" s="1" t="s">
        <v>405</v>
      </c>
    </row>
    <row r="2" spans="1:15" s="52" customFormat="1" ht="6.75" customHeight="1" x14ac:dyDescent="0.25">
      <c r="A2" s="78" t="s">
        <v>45</v>
      </c>
      <c r="B2" s="79"/>
      <c r="C2" s="80"/>
      <c r="D2" s="51">
        <v>0</v>
      </c>
      <c r="G2" s="53"/>
      <c r="H2" s="53"/>
      <c r="I2" s="53"/>
      <c r="J2" s="51"/>
      <c r="K2" s="51"/>
      <c r="L2" s="54"/>
      <c r="M2" s="54"/>
      <c r="N2" s="53">
        <f t="shared" ref="N2:N12" si="0">SUM(G2,H2,I2)</f>
        <v>0</v>
      </c>
      <c r="O2" s="51"/>
    </row>
    <row r="3" spans="1:15" x14ac:dyDescent="0.25">
      <c r="A3" s="81"/>
      <c r="B3" s="82"/>
      <c r="C3" s="83"/>
      <c r="D3" s="1">
        <v>1</v>
      </c>
      <c r="E3" t="s">
        <v>55</v>
      </c>
      <c r="F3" t="s">
        <v>56</v>
      </c>
      <c r="G3" s="2">
        <v>45.65</v>
      </c>
      <c r="H3" s="2">
        <v>1.2</v>
      </c>
      <c r="I3" s="2">
        <v>12.35</v>
      </c>
      <c r="J3" s="1" t="s">
        <v>4</v>
      </c>
      <c r="K3" s="1">
        <v>56545</v>
      </c>
      <c r="L3" s="3">
        <v>42955</v>
      </c>
      <c r="M3" s="3">
        <v>42955</v>
      </c>
      <c r="N3" s="2">
        <f t="shared" si="0"/>
        <v>59.2</v>
      </c>
      <c r="O3" s="1" t="s">
        <v>406</v>
      </c>
    </row>
    <row r="4" spans="1:15" x14ac:dyDescent="0.25">
      <c r="A4" s="91" t="str">
        <f>CONFIGS!E2</f>
        <v>OUTUBRO / 2017</v>
      </c>
      <c r="B4" s="85"/>
      <c r="C4" s="86"/>
      <c r="D4" s="1">
        <v>2</v>
      </c>
      <c r="E4" t="s">
        <v>57</v>
      </c>
      <c r="F4" t="s">
        <v>58</v>
      </c>
      <c r="G4" s="2">
        <v>0</v>
      </c>
      <c r="H4" s="2">
        <v>0</v>
      </c>
      <c r="I4" s="2">
        <v>0</v>
      </c>
      <c r="J4" s="1" t="s">
        <v>4</v>
      </c>
      <c r="L4" s="3">
        <v>42986</v>
      </c>
      <c r="M4" s="3">
        <v>42986</v>
      </c>
      <c r="N4" s="2">
        <f t="shared" si="0"/>
        <v>0</v>
      </c>
      <c r="O4" s="1" t="s">
        <v>406</v>
      </c>
    </row>
    <row r="5" spans="1:15" x14ac:dyDescent="0.25">
      <c r="A5" s="87"/>
      <c r="B5" s="88"/>
      <c r="C5" s="89"/>
      <c r="D5" s="1">
        <v>3</v>
      </c>
      <c r="E5" t="s">
        <v>66</v>
      </c>
      <c r="F5" t="s">
        <v>58</v>
      </c>
      <c r="G5" s="2">
        <v>36.56</v>
      </c>
      <c r="H5" s="2">
        <v>89.85</v>
      </c>
      <c r="I5" s="2">
        <v>12</v>
      </c>
      <c r="J5" s="1" t="s">
        <v>4</v>
      </c>
      <c r="K5" s="1">
        <v>8532</v>
      </c>
      <c r="L5" s="3">
        <v>42986</v>
      </c>
      <c r="M5" s="3">
        <v>42986</v>
      </c>
      <c r="N5" s="2">
        <f t="shared" si="0"/>
        <v>138.41</v>
      </c>
      <c r="O5" s="1" t="s">
        <v>406</v>
      </c>
    </row>
    <row r="6" spans="1:15" x14ac:dyDescent="0.25">
      <c r="A6" s="90" t="s">
        <v>44</v>
      </c>
      <c r="B6" s="90"/>
      <c r="C6" s="90"/>
      <c r="D6" s="1">
        <v>4</v>
      </c>
      <c r="E6" t="s">
        <v>76</v>
      </c>
      <c r="F6" t="s">
        <v>59</v>
      </c>
      <c r="G6" s="2">
        <v>60</v>
      </c>
      <c r="H6" s="2">
        <v>0</v>
      </c>
      <c r="I6" s="2">
        <v>0</v>
      </c>
      <c r="J6" s="1" t="s">
        <v>4</v>
      </c>
      <c r="K6" s="1">
        <v>2546</v>
      </c>
      <c r="L6" s="3">
        <v>42804</v>
      </c>
      <c r="M6" s="3">
        <v>42804</v>
      </c>
      <c r="N6" s="2">
        <f t="shared" si="0"/>
        <v>60</v>
      </c>
      <c r="O6" s="1" t="s">
        <v>407</v>
      </c>
    </row>
    <row r="7" spans="1:15" x14ac:dyDescent="0.25">
      <c r="A7" s="90"/>
      <c r="B7" s="90"/>
      <c r="C7" s="90"/>
      <c r="D7" s="1">
        <v>5</v>
      </c>
      <c r="E7" t="s">
        <v>77</v>
      </c>
      <c r="F7" t="s">
        <v>59</v>
      </c>
      <c r="G7" s="2">
        <v>42.5</v>
      </c>
      <c r="H7" s="2">
        <v>0</v>
      </c>
      <c r="I7" s="2">
        <v>0</v>
      </c>
      <c r="J7" s="1" t="s">
        <v>4</v>
      </c>
      <c r="K7" s="1">
        <v>5654</v>
      </c>
      <c r="L7" s="3">
        <v>42804</v>
      </c>
      <c r="M7" s="3">
        <v>42804</v>
      </c>
      <c r="N7" s="2">
        <f t="shared" si="0"/>
        <v>42.5</v>
      </c>
      <c r="O7" s="1" t="s">
        <v>407</v>
      </c>
    </row>
    <row r="8" spans="1:15" x14ac:dyDescent="0.25">
      <c r="A8" s="92">
        <f>SUM(N:N)</f>
        <v>1427.84</v>
      </c>
      <c r="B8" s="93"/>
      <c r="C8" s="93"/>
      <c r="D8" s="1">
        <v>6</v>
      </c>
      <c r="E8" t="s">
        <v>76</v>
      </c>
      <c r="F8" t="s">
        <v>59</v>
      </c>
      <c r="G8" s="2">
        <v>12.23</v>
      </c>
      <c r="H8" s="2">
        <v>0</v>
      </c>
      <c r="I8" s="2">
        <v>0</v>
      </c>
      <c r="J8" s="1" t="s">
        <v>4</v>
      </c>
      <c r="L8" s="3">
        <v>42804</v>
      </c>
      <c r="M8" s="3">
        <v>42804</v>
      </c>
      <c r="N8" s="2">
        <f t="shared" si="0"/>
        <v>12.23</v>
      </c>
      <c r="O8" s="1" t="s">
        <v>406</v>
      </c>
    </row>
    <row r="9" spans="1:15" x14ac:dyDescent="0.25">
      <c r="A9" s="93"/>
      <c r="B9" s="93"/>
      <c r="C9" s="93"/>
      <c r="D9" s="1">
        <v>7</v>
      </c>
      <c r="E9" t="s">
        <v>78</v>
      </c>
      <c r="F9" t="s">
        <v>59</v>
      </c>
      <c r="G9" s="2">
        <v>456</v>
      </c>
      <c r="H9" s="2">
        <v>0</v>
      </c>
      <c r="I9" s="2">
        <v>0</v>
      </c>
      <c r="J9" s="1" t="s">
        <v>4</v>
      </c>
      <c r="L9" s="18">
        <v>42804</v>
      </c>
      <c r="M9" s="18">
        <v>42804</v>
      </c>
      <c r="N9" s="2">
        <f t="shared" si="0"/>
        <v>456</v>
      </c>
      <c r="O9" s="1" t="s">
        <v>406</v>
      </c>
    </row>
    <row r="10" spans="1:15" x14ac:dyDescent="0.25">
      <c r="A10" s="66" t="s">
        <v>50</v>
      </c>
      <c r="B10" s="67"/>
      <c r="C10" s="68"/>
      <c r="D10" s="1">
        <v>8</v>
      </c>
      <c r="E10" t="s">
        <v>95</v>
      </c>
      <c r="F10" t="s">
        <v>56</v>
      </c>
      <c r="G10" s="2">
        <v>32.340000000000003</v>
      </c>
      <c r="H10" s="2">
        <v>0</v>
      </c>
      <c r="I10" s="2">
        <v>0</v>
      </c>
      <c r="J10" s="1" t="s">
        <v>4</v>
      </c>
      <c r="L10" s="18">
        <v>42835</v>
      </c>
      <c r="M10" s="18">
        <v>42835</v>
      </c>
      <c r="N10" s="2">
        <f t="shared" si="0"/>
        <v>32.340000000000003</v>
      </c>
      <c r="O10" s="1" t="s">
        <v>407</v>
      </c>
    </row>
    <row r="11" spans="1:15" x14ac:dyDescent="0.25">
      <c r="A11" s="69"/>
      <c r="B11" s="70"/>
      <c r="C11" s="71"/>
      <c r="D11" s="1">
        <v>9</v>
      </c>
      <c r="E11" t="s">
        <v>95</v>
      </c>
      <c r="F11" t="s">
        <v>56</v>
      </c>
      <c r="G11" s="2"/>
      <c r="H11" s="2"/>
      <c r="I11" s="2"/>
      <c r="L11" s="18"/>
      <c r="M11" s="18"/>
      <c r="N11" s="2">
        <f t="shared" si="0"/>
        <v>0</v>
      </c>
      <c r="O11" s="1" t="s">
        <v>407</v>
      </c>
    </row>
    <row r="12" spans="1:15" ht="15" customHeight="1" x14ac:dyDescent="0.25">
      <c r="A12" s="72">
        <f>SUM(G:G)</f>
        <v>1230.8800000000001</v>
      </c>
      <c r="B12" s="73"/>
      <c r="C12" s="74"/>
      <c r="D12" s="1">
        <v>10</v>
      </c>
      <c r="E12" t="s">
        <v>101</v>
      </c>
      <c r="F12" t="s">
        <v>56</v>
      </c>
      <c r="G12" s="2">
        <v>0</v>
      </c>
      <c r="H12" s="2">
        <v>0</v>
      </c>
      <c r="I12" s="2">
        <v>0</v>
      </c>
      <c r="J12" s="1" t="s">
        <v>4</v>
      </c>
      <c r="L12" s="18">
        <v>42835</v>
      </c>
      <c r="M12" s="18">
        <v>42835</v>
      </c>
      <c r="N12" s="2">
        <f t="shared" si="0"/>
        <v>0</v>
      </c>
      <c r="O12" s="1" t="s">
        <v>406</v>
      </c>
    </row>
    <row r="13" spans="1:15" ht="15" customHeight="1" x14ac:dyDescent="0.25">
      <c r="A13" s="75"/>
      <c r="B13" s="76"/>
      <c r="C13" s="77"/>
      <c r="D13" s="1">
        <v>11</v>
      </c>
      <c r="E13" t="s">
        <v>119</v>
      </c>
      <c r="F13" t="s">
        <v>58</v>
      </c>
      <c r="G13" s="2">
        <v>0</v>
      </c>
      <c r="H13" s="2">
        <v>0</v>
      </c>
      <c r="I13" s="2">
        <v>0</v>
      </c>
      <c r="J13" s="1" t="s">
        <v>4</v>
      </c>
      <c r="L13" s="18">
        <v>42865</v>
      </c>
      <c r="M13" s="18">
        <v>42865</v>
      </c>
      <c r="N13" s="2">
        <f>SUM(G13,H13,I13)</f>
        <v>0</v>
      </c>
      <c r="O13" s="1" t="s">
        <v>407</v>
      </c>
    </row>
    <row r="14" spans="1:15" x14ac:dyDescent="0.25">
      <c r="A14" s="66" t="s">
        <v>51</v>
      </c>
      <c r="B14" s="67"/>
      <c r="C14" s="68"/>
      <c r="D14" s="1">
        <v>12</v>
      </c>
      <c r="E14" t="s">
        <v>143</v>
      </c>
      <c r="F14" t="s">
        <v>90</v>
      </c>
      <c r="G14" s="2">
        <v>450.05</v>
      </c>
      <c r="H14" s="2">
        <v>54.56</v>
      </c>
      <c r="I14" s="2">
        <v>0</v>
      </c>
      <c r="J14" s="1" t="s">
        <v>4</v>
      </c>
      <c r="K14" s="1">
        <v>56598</v>
      </c>
      <c r="L14" s="18">
        <v>42865</v>
      </c>
      <c r="M14" s="18">
        <v>42865</v>
      </c>
      <c r="N14" s="2">
        <f>SUM(G14,H14,I14)</f>
        <v>504.61</v>
      </c>
      <c r="O14" s="1" t="s">
        <v>406</v>
      </c>
    </row>
    <row r="15" spans="1:15" x14ac:dyDescent="0.25">
      <c r="A15" s="69"/>
      <c r="B15" s="70"/>
      <c r="C15" s="71"/>
      <c r="D15" s="1">
        <v>13</v>
      </c>
      <c r="E15" t="s">
        <v>385</v>
      </c>
      <c r="F15" t="s">
        <v>89</v>
      </c>
      <c r="G15" s="2">
        <v>45.55</v>
      </c>
      <c r="H15" s="2">
        <v>22</v>
      </c>
      <c r="I15" s="2">
        <v>5</v>
      </c>
      <c r="J15" s="1" t="s">
        <v>4</v>
      </c>
      <c r="K15" s="1">
        <v>21321</v>
      </c>
      <c r="L15" s="18">
        <v>42865</v>
      </c>
      <c r="M15" s="18">
        <v>42865</v>
      </c>
      <c r="N15" s="2">
        <f>SUM(G15,H15,I15)</f>
        <v>72.55</v>
      </c>
      <c r="O15" s="1" t="s">
        <v>407</v>
      </c>
    </row>
    <row r="16" spans="1:15" ht="15" customHeight="1" x14ac:dyDescent="0.25">
      <c r="A16" s="72">
        <f>SUM(H:H)</f>
        <v>167.61</v>
      </c>
      <c r="B16" s="73"/>
      <c r="C16" s="74"/>
      <c r="D16" s="1">
        <v>14</v>
      </c>
      <c r="E16" t="s">
        <v>414</v>
      </c>
      <c r="F16" t="s">
        <v>91</v>
      </c>
      <c r="G16" s="2">
        <v>50</v>
      </c>
      <c r="H16" s="2">
        <v>0</v>
      </c>
      <c r="I16" s="2">
        <v>0</v>
      </c>
      <c r="J16" s="1" t="s">
        <v>4</v>
      </c>
      <c r="L16" s="18">
        <v>42865</v>
      </c>
      <c r="M16" s="18">
        <v>42865</v>
      </c>
      <c r="N16" s="2">
        <f>SUM(G16,H16,I16)</f>
        <v>50</v>
      </c>
      <c r="O16" s="1" t="s">
        <v>406</v>
      </c>
    </row>
    <row r="17" spans="1:15" ht="15" customHeight="1" x14ac:dyDescent="0.25">
      <c r="A17" s="75"/>
      <c r="B17" s="76"/>
      <c r="C17" s="77"/>
      <c r="D17" s="1">
        <v>1</v>
      </c>
      <c r="E17" t="s">
        <v>258</v>
      </c>
      <c r="F17" t="s">
        <v>86</v>
      </c>
      <c r="G17" s="4">
        <v>0</v>
      </c>
      <c r="H17" s="4">
        <v>0</v>
      </c>
      <c r="I17" s="4">
        <v>0</v>
      </c>
      <c r="J17" s="1" t="s">
        <v>4</v>
      </c>
      <c r="L17" s="3">
        <v>42865</v>
      </c>
      <c r="M17" s="3">
        <v>42865</v>
      </c>
      <c r="O17" s="1" t="s">
        <v>406</v>
      </c>
    </row>
    <row r="18" spans="1:15" x14ac:dyDescent="0.25">
      <c r="A18" s="66" t="s">
        <v>52</v>
      </c>
      <c r="B18" s="67"/>
      <c r="C18" s="68"/>
    </row>
    <row r="19" spans="1:15" x14ac:dyDescent="0.25">
      <c r="A19" s="69"/>
      <c r="B19" s="70"/>
      <c r="C19" s="71"/>
    </row>
    <row r="20" spans="1:15" x14ac:dyDescent="0.25">
      <c r="A20" s="72">
        <f>SUM(I:I)</f>
        <v>29.35</v>
      </c>
      <c r="B20" s="73"/>
      <c r="C20" s="74"/>
    </row>
    <row r="21" spans="1:15" x14ac:dyDescent="0.25">
      <c r="A21" s="75"/>
      <c r="B21" s="76"/>
      <c r="C21" s="77"/>
    </row>
    <row r="22" spans="1:15" x14ac:dyDescent="0.25">
      <c r="A22" s="66" t="s">
        <v>53</v>
      </c>
      <c r="B22" s="67"/>
      <c r="C22" s="68"/>
    </row>
    <row r="23" spans="1:15" x14ac:dyDescent="0.25">
      <c r="A23" s="69"/>
      <c r="B23" s="70"/>
      <c r="C23" s="71"/>
    </row>
    <row r="24" spans="1:15" x14ac:dyDescent="0.25">
      <c r="A24" s="72">
        <f>REPASSES!A8</f>
        <v>1040</v>
      </c>
      <c r="B24" s="73"/>
      <c r="C24" s="74"/>
    </row>
    <row r="25" spans="1:15" x14ac:dyDescent="0.25">
      <c r="A25" s="75"/>
      <c r="B25" s="76"/>
      <c r="C25" s="77"/>
    </row>
  </sheetData>
  <mergeCells count="12">
    <mergeCell ref="A24:C25"/>
    <mergeCell ref="A2:C3"/>
    <mergeCell ref="A6:C7"/>
    <mergeCell ref="A4:C5"/>
    <mergeCell ref="A8:C9"/>
    <mergeCell ref="A10:C11"/>
    <mergeCell ref="A12:C13"/>
    <mergeCell ref="A14:C15"/>
    <mergeCell ref="A16:C17"/>
    <mergeCell ref="A18:C19"/>
    <mergeCell ref="A20:C21"/>
    <mergeCell ref="A22:C23"/>
  </mergeCells>
  <pageMargins left="0.511811024" right="0.511811024" top="0.78740157499999996" bottom="0.78740157499999996" header="0.31496062000000002" footer="0.31496062000000002"/>
  <pageSetup paperSize="9" scale="41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104775</xdr:rowOff>
              </from>
              <to>
                <xdr:col>2</xdr:col>
                <xdr:colOff>485775</xdr:colOff>
                <xdr:row>0</xdr:row>
                <xdr:rowOff>485775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EF6557"/>
    <pageSetUpPr fitToPage="1"/>
  </sheetPr>
  <dimension ref="A1:N1197"/>
  <sheetViews>
    <sheetView zoomScale="85" zoomScaleNormal="85" workbookViewId="0">
      <pane ySplit="1" topLeftCell="A2" activePane="bottomLeft" state="frozen"/>
      <selection pane="bottomLeft" activeCell="F1" sqref="F1"/>
    </sheetView>
  </sheetViews>
  <sheetFormatPr defaultRowHeight="15" x14ac:dyDescent="0.25"/>
  <cols>
    <col min="1" max="3" width="9.140625" style="6"/>
    <col min="4" max="4" width="8.42578125" style="1" bestFit="1" customWidth="1"/>
    <col min="5" max="5" width="21.7109375" style="1" customWidth="1"/>
    <col min="6" max="6" width="19.140625" style="25" bestFit="1" customWidth="1"/>
    <col min="7" max="7" width="20.85546875" style="5" bestFit="1" customWidth="1"/>
    <col min="8" max="8" width="23.5703125" style="65" bestFit="1" customWidth="1"/>
    <col min="9" max="9" width="24.85546875" style="10" bestFit="1" customWidth="1"/>
    <col min="10" max="10" width="24.5703125" style="10" bestFit="1" customWidth="1"/>
    <col min="11" max="11" width="24.5703125" style="12" bestFit="1" customWidth="1"/>
    <col min="12" max="12" width="17.5703125" style="12" bestFit="1" customWidth="1"/>
    <col min="13" max="13" width="20.28515625" style="7" customWidth="1"/>
    <col min="14" max="14" width="15.140625" style="42" customWidth="1"/>
  </cols>
  <sheetData>
    <row r="1" spans="1:14" s="5" customFormat="1" ht="42" customHeight="1" x14ac:dyDescent="0.25">
      <c r="A1" s="8"/>
      <c r="B1" s="8"/>
      <c r="C1" s="8"/>
      <c r="D1" s="43" t="s">
        <v>13</v>
      </c>
      <c r="E1" s="44" t="s">
        <v>3</v>
      </c>
      <c r="F1" s="44" t="s">
        <v>33</v>
      </c>
      <c r="G1" s="44" t="s">
        <v>34</v>
      </c>
      <c r="H1" s="45" t="s">
        <v>35</v>
      </c>
      <c r="I1" s="46" t="s">
        <v>36</v>
      </c>
      <c r="J1" s="46" t="s">
        <v>37</v>
      </c>
      <c r="K1" s="47" t="s">
        <v>38</v>
      </c>
      <c r="L1" s="47" t="s">
        <v>39</v>
      </c>
      <c r="M1" s="48" t="s">
        <v>8</v>
      </c>
      <c r="N1" s="49" t="s">
        <v>40</v>
      </c>
    </row>
    <row r="2" spans="1:14" ht="3.75" customHeight="1" x14ac:dyDescent="0.25">
      <c r="D2" s="35">
        <v>0</v>
      </c>
      <c r="E2" s="35"/>
      <c r="F2" s="61"/>
      <c r="G2" s="35"/>
      <c r="H2" s="63"/>
      <c r="I2" s="35"/>
      <c r="J2" s="35"/>
      <c r="K2" s="36"/>
      <c r="L2" s="36"/>
      <c r="M2" s="35"/>
      <c r="N2" s="50">
        <f t="shared" ref="N2:N7" si="0">IF(K2-L2&lt;&gt;0,K2-L2,0)</f>
        <v>0</v>
      </c>
    </row>
    <row r="3" spans="1:14" x14ac:dyDescent="0.25">
      <c r="A3" s="14"/>
      <c r="B3" s="106" t="s">
        <v>42</v>
      </c>
      <c r="C3" s="106"/>
      <c r="D3" s="1">
        <v>1</v>
      </c>
      <c r="E3" s="1" t="s">
        <v>59</v>
      </c>
      <c r="F3" s="25" t="s">
        <v>15</v>
      </c>
      <c r="G3">
        <v>123245</v>
      </c>
      <c r="H3" s="2" t="s">
        <v>49</v>
      </c>
      <c r="I3" s="11">
        <v>42955</v>
      </c>
      <c r="J3" s="11">
        <v>42955</v>
      </c>
      <c r="K3" s="12">
        <v>45.65</v>
      </c>
      <c r="L3" s="12">
        <v>45.8</v>
      </c>
      <c r="M3" s="3">
        <v>42955</v>
      </c>
      <c r="N3" s="41">
        <f t="shared" si="0"/>
        <v>-0.14999999999999858</v>
      </c>
    </row>
    <row r="4" spans="1:14" x14ac:dyDescent="0.25">
      <c r="A4" s="15"/>
      <c r="B4" s="106" t="s">
        <v>43</v>
      </c>
      <c r="C4" s="106"/>
      <c r="D4" s="1">
        <v>2</v>
      </c>
      <c r="E4" s="1" t="s">
        <v>59</v>
      </c>
      <c r="F4" s="25" t="s">
        <v>23</v>
      </c>
      <c r="G4">
        <v>5654</v>
      </c>
      <c r="H4" s="2" t="s">
        <v>49</v>
      </c>
      <c r="I4" s="11">
        <v>42955</v>
      </c>
      <c r="J4" s="11">
        <v>42955</v>
      </c>
      <c r="K4" s="12">
        <v>120</v>
      </c>
      <c r="L4" s="12">
        <v>118</v>
      </c>
      <c r="M4" s="3">
        <v>42955</v>
      </c>
      <c r="N4" s="41">
        <f t="shared" si="0"/>
        <v>2</v>
      </c>
    </row>
    <row r="5" spans="1:14" x14ac:dyDescent="0.25">
      <c r="D5" s="1">
        <v>3</v>
      </c>
      <c r="E5" s="1" t="s">
        <v>59</v>
      </c>
      <c r="F5" s="25" t="s">
        <v>23</v>
      </c>
      <c r="G5">
        <v>4562</v>
      </c>
      <c r="H5" s="2" t="s">
        <v>41</v>
      </c>
      <c r="I5" s="11">
        <v>42986</v>
      </c>
      <c r="J5" s="11">
        <v>42986</v>
      </c>
      <c r="K5" s="12">
        <v>28.95</v>
      </c>
      <c r="L5" s="12">
        <v>289.52</v>
      </c>
      <c r="M5" s="3">
        <v>42986</v>
      </c>
      <c r="N5" s="41">
        <f t="shared" si="0"/>
        <v>-260.57</v>
      </c>
    </row>
    <row r="6" spans="1:14" x14ac:dyDescent="0.25">
      <c r="A6" s="66" t="s">
        <v>45</v>
      </c>
      <c r="B6" s="67"/>
      <c r="C6" s="68"/>
      <c r="D6" s="1">
        <v>4</v>
      </c>
      <c r="E6" s="1" t="s">
        <v>60</v>
      </c>
      <c r="F6" s="25" t="s">
        <v>19</v>
      </c>
      <c r="G6"/>
      <c r="H6" s="2" t="s">
        <v>65</v>
      </c>
      <c r="I6" s="11">
        <v>42986</v>
      </c>
      <c r="J6" s="11">
        <v>42986</v>
      </c>
      <c r="K6" s="12">
        <v>480</v>
      </c>
      <c r="L6" s="12">
        <v>520</v>
      </c>
      <c r="M6" s="3">
        <v>42986</v>
      </c>
      <c r="N6" s="41">
        <f t="shared" si="0"/>
        <v>-40</v>
      </c>
    </row>
    <row r="7" spans="1:14" x14ac:dyDescent="0.25">
      <c r="A7" s="69"/>
      <c r="B7" s="70"/>
      <c r="C7" s="71"/>
      <c r="D7" s="1">
        <v>5</v>
      </c>
      <c r="E7" s="1" t="s">
        <v>59</v>
      </c>
      <c r="F7" s="25" t="s">
        <v>28</v>
      </c>
      <c r="G7"/>
      <c r="H7" s="2" t="s">
        <v>41</v>
      </c>
      <c r="I7" s="11">
        <v>42986</v>
      </c>
      <c r="J7" s="11">
        <v>42986</v>
      </c>
      <c r="K7" s="12">
        <v>400</v>
      </c>
      <c r="L7" s="12">
        <v>400</v>
      </c>
      <c r="M7" s="3">
        <v>42986</v>
      </c>
      <c r="N7" s="41">
        <f t="shared" si="0"/>
        <v>0</v>
      </c>
    </row>
    <row r="8" spans="1:14" x14ac:dyDescent="0.25">
      <c r="A8" s="107" t="str">
        <f>ENTRADAS!A4</f>
        <v>OUTUBRO / 2017</v>
      </c>
      <c r="B8" s="108"/>
      <c r="C8" s="109"/>
      <c r="D8" s="1">
        <v>6</v>
      </c>
      <c r="E8" s="1" t="s">
        <v>59</v>
      </c>
      <c r="F8" s="25" t="s">
        <v>22</v>
      </c>
      <c r="G8"/>
      <c r="H8" s="2" t="s">
        <v>41</v>
      </c>
      <c r="I8" s="11">
        <v>42986</v>
      </c>
      <c r="J8" s="11">
        <v>42986</v>
      </c>
      <c r="K8" s="12">
        <v>65.650000000000006</v>
      </c>
      <c r="L8" s="12">
        <v>65.650000000000006</v>
      </c>
      <c r="M8" s="3">
        <v>42986</v>
      </c>
      <c r="N8" s="41">
        <f t="shared" ref="N8:N12" si="1">IF(K8-L8&lt;&gt;0,K8-L8,0)</f>
        <v>0</v>
      </c>
    </row>
    <row r="9" spans="1:14" x14ac:dyDescent="0.25">
      <c r="A9" s="110"/>
      <c r="B9" s="111"/>
      <c r="C9" s="112"/>
      <c r="D9" s="1">
        <v>7</v>
      </c>
      <c r="E9" s="1" t="s">
        <v>56</v>
      </c>
      <c r="F9" s="25" t="s">
        <v>24</v>
      </c>
      <c r="G9"/>
      <c r="H9" s="2" t="s">
        <v>41</v>
      </c>
      <c r="I9" s="11">
        <v>42986</v>
      </c>
      <c r="J9" s="11">
        <v>42986</v>
      </c>
      <c r="K9" s="12">
        <v>380</v>
      </c>
      <c r="L9" s="12">
        <v>380</v>
      </c>
      <c r="M9" s="3">
        <v>42986</v>
      </c>
      <c r="N9" s="41">
        <f t="shared" si="1"/>
        <v>0</v>
      </c>
    </row>
    <row r="10" spans="1:14" x14ac:dyDescent="0.25">
      <c r="A10" s="66" t="s">
        <v>46</v>
      </c>
      <c r="B10" s="67"/>
      <c r="C10" s="68"/>
      <c r="D10" s="1">
        <v>8</v>
      </c>
      <c r="E10" s="1" t="s">
        <v>59</v>
      </c>
      <c r="F10" s="25" t="s">
        <v>27</v>
      </c>
      <c r="G10"/>
      <c r="H10" s="2" t="s">
        <v>41</v>
      </c>
      <c r="I10" s="11">
        <v>42986</v>
      </c>
      <c r="J10" s="11">
        <v>42986</v>
      </c>
      <c r="K10" s="12">
        <v>680</v>
      </c>
      <c r="L10" s="12">
        <v>680</v>
      </c>
      <c r="M10" s="3">
        <v>42986</v>
      </c>
      <c r="N10" s="41">
        <f t="shared" si="1"/>
        <v>0</v>
      </c>
    </row>
    <row r="11" spans="1:14" x14ac:dyDescent="0.25">
      <c r="A11" s="69"/>
      <c r="B11" s="70"/>
      <c r="C11" s="71"/>
      <c r="D11" s="1">
        <v>9</v>
      </c>
      <c r="E11" s="1" t="s">
        <v>59</v>
      </c>
      <c r="F11" s="25" t="s">
        <v>30</v>
      </c>
      <c r="G11"/>
      <c r="H11" s="2" t="s">
        <v>41</v>
      </c>
      <c r="I11" s="11">
        <v>42986</v>
      </c>
      <c r="J11" s="11">
        <v>42986</v>
      </c>
      <c r="K11" s="12">
        <v>645.45000000000005</v>
      </c>
      <c r="L11" s="12">
        <v>645.45000000000005</v>
      </c>
      <c r="M11" s="3">
        <v>42986</v>
      </c>
      <c r="N11" s="41">
        <f t="shared" si="1"/>
        <v>0</v>
      </c>
    </row>
    <row r="12" spans="1:14" x14ac:dyDescent="0.25">
      <c r="A12" s="94">
        <f>SUM(L:L)</f>
        <v>15764.489999999998</v>
      </c>
      <c r="B12" s="95"/>
      <c r="C12" s="96"/>
      <c r="D12" s="1">
        <v>10</v>
      </c>
      <c r="E12" s="1" t="s">
        <v>59</v>
      </c>
      <c r="F12" s="25" t="s">
        <v>31</v>
      </c>
      <c r="G12"/>
      <c r="H12" s="2" t="s">
        <v>41</v>
      </c>
      <c r="I12" s="11">
        <v>42986</v>
      </c>
      <c r="J12" s="11">
        <v>42986</v>
      </c>
      <c r="K12" s="12">
        <v>48</v>
      </c>
      <c r="L12" s="12">
        <v>48</v>
      </c>
      <c r="M12" s="3">
        <v>42986</v>
      </c>
      <c r="N12" s="41">
        <f t="shared" si="1"/>
        <v>0</v>
      </c>
    </row>
    <row r="13" spans="1:14" x14ac:dyDescent="0.25">
      <c r="A13" s="97"/>
      <c r="B13" s="98"/>
      <c r="C13" s="99"/>
      <c r="D13" s="1">
        <v>11</v>
      </c>
      <c r="E13" s="1" t="s">
        <v>59</v>
      </c>
      <c r="F13" s="25" t="s">
        <v>25</v>
      </c>
      <c r="G13"/>
      <c r="H13" s="2" t="s">
        <v>41</v>
      </c>
      <c r="I13" s="11">
        <v>42986</v>
      </c>
      <c r="J13" s="11">
        <v>42986</v>
      </c>
      <c r="K13" s="12">
        <v>68.680000000000007</v>
      </c>
      <c r="L13" s="12">
        <v>68.680000000000007</v>
      </c>
      <c r="M13" s="3">
        <v>42986</v>
      </c>
      <c r="N13" s="41">
        <f t="shared" ref="N13:N17" si="2">IF(K13-L13&lt;&gt;0,K13-L13,0)</f>
        <v>0</v>
      </c>
    </row>
    <row r="14" spans="1:14" x14ac:dyDescent="0.25">
      <c r="A14" s="66" t="s">
        <v>47</v>
      </c>
      <c r="B14" s="67"/>
      <c r="C14" s="68"/>
      <c r="D14" s="1">
        <v>12</v>
      </c>
      <c r="E14" s="1" t="s">
        <v>59</v>
      </c>
      <c r="F14" s="25" t="s">
        <v>16</v>
      </c>
      <c r="G14"/>
      <c r="H14" s="2" t="s">
        <v>41</v>
      </c>
      <c r="I14" s="11">
        <v>42986</v>
      </c>
      <c r="J14" s="11">
        <v>42986</v>
      </c>
      <c r="K14" s="12">
        <v>656.54</v>
      </c>
      <c r="L14" s="12">
        <v>656.54</v>
      </c>
      <c r="M14" s="3">
        <v>42986</v>
      </c>
      <c r="N14" s="41">
        <f t="shared" si="2"/>
        <v>0</v>
      </c>
    </row>
    <row r="15" spans="1:14" x14ac:dyDescent="0.25">
      <c r="A15" s="69"/>
      <c r="B15" s="70"/>
      <c r="C15" s="71"/>
      <c r="D15" s="1">
        <v>13</v>
      </c>
      <c r="E15" s="1" t="s">
        <v>59</v>
      </c>
      <c r="F15" s="25" t="s">
        <v>16</v>
      </c>
      <c r="G15"/>
      <c r="H15" s="2" t="s">
        <v>41</v>
      </c>
      <c r="I15" s="11">
        <v>42986</v>
      </c>
      <c r="J15" s="11">
        <v>42986</v>
      </c>
      <c r="K15" s="12">
        <v>421.21</v>
      </c>
      <c r="L15" s="12">
        <v>421.21</v>
      </c>
      <c r="M15" s="3">
        <v>42986</v>
      </c>
      <c r="N15" s="41">
        <f t="shared" si="2"/>
        <v>0</v>
      </c>
    </row>
    <row r="16" spans="1:14" x14ac:dyDescent="0.25">
      <c r="A16" s="100">
        <f>SUMIF(N:N,"&lt;0")</f>
        <v>-1681.41</v>
      </c>
      <c r="B16" s="101"/>
      <c r="C16" s="102"/>
      <c r="D16" s="1">
        <v>14</v>
      </c>
      <c r="E16" s="1" t="s">
        <v>59</v>
      </c>
      <c r="F16" s="25" t="s">
        <v>26</v>
      </c>
      <c r="G16"/>
      <c r="H16" s="2" t="s">
        <v>41</v>
      </c>
      <c r="I16" s="11">
        <v>42986</v>
      </c>
      <c r="J16" s="11">
        <v>42986</v>
      </c>
      <c r="K16" s="12">
        <v>45.45</v>
      </c>
      <c r="L16" s="12">
        <v>800</v>
      </c>
      <c r="M16" s="3">
        <v>42986</v>
      </c>
      <c r="N16" s="41">
        <f t="shared" si="2"/>
        <v>-754.55</v>
      </c>
    </row>
    <row r="17" spans="1:14" x14ac:dyDescent="0.25">
      <c r="A17" s="103"/>
      <c r="B17" s="104"/>
      <c r="C17" s="105"/>
      <c r="D17" s="1">
        <v>15</v>
      </c>
      <c r="E17" s="1" t="s">
        <v>59</v>
      </c>
      <c r="F17" s="25" t="s">
        <v>32</v>
      </c>
      <c r="G17"/>
      <c r="H17" s="2" t="s">
        <v>41</v>
      </c>
      <c r="I17" s="11">
        <v>42986</v>
      </c>
      <c r="J17" s="11">
        <v>42986</v>
      </c>
      <c r="K17" s="12">
        <v>6.86</v>
      </c>
      <c r="L17" s="12">
        <v>15</v>
      </c>
      <c r="M17" s="3">
        <v>42986</v>
      </c>
      <c r="N17" s="41">
        <f t="shared" si="2"/>
        <v>-8.14</v>
      </c>
    </row>
    <row r="18" spans="1:14" x14ac:dyDescent="0.25">
      <c r="A18" s="66" t="s">
        <v>48</v>
      </c>
      <c r="B18" s="67"/>
      <c r="C18" s="68"/>
      <c r="D18" s="1">
        <v>16</v>
      </c>
      <c r="E18" s="1" t="s">
        <v>59</v>
      </c>
      <c r="F18" s="25" t="s">
        <v>20</v>
      </c>
      <c r="G18"/>
      <c r="H18" s="2" t="s">
        <v>41</v>
      </c>
      <c r="I18" s="11">
        <v>42986</v>
      </c>
      <c r="J18" s="11">
        <v>42986</v>
      </c>
      <c r="K18" s="12">
        <v>800</v>
      </c>
      <c r="L18" s="12">
        <v>1400</v>
      </c>
      <c r="M18" s="3">
        <v>42986</v>
      </c>
      <c r="N18" s="41">
        <f t="shared" ref="N18:N22" si="3">IF(K18-L18&lt;&gt;0,K18-L18,0)</f>
        <v>-600</v>
      </c>
    </row>
    <row r="19" spans="1:14" x14ac:dyDescent="0.25">
      <c r="A19" s="69"/>
      <c r="B19" s="70"/>
      <c r="C19" s="71"/>
      <c r="D19" s="1">
        <v>17</v>
      </c>
      <c r="E19" s="1" t="s">
        <v>59</v>
      </c>
      <c r="F19" s="25" t="s">
        <v>18</v>
      </c>
      <c r="G19"/>
      <c r="H19" s="2" t="s">
        <v>41</v>
      </c>
      <c r="I19" s="11">
        <v>42986</v>
      </c>
      <c r="J19" s="11">
        <v>42986</v>
      </c>
      <c r="K19" s="12">
        <v>8000</v>
      </c>
      <c r="L19" s="12">
        <v>1000</v>
      </c>
      <c r="M19" s="3">
        <v>42986</v>
      </c>
      <c r="N19" s="41">
        <f t="shared" si="3"/>
        <v>7000</v>
      </c>
    </row>
    <row r="20" spans="1:14" x14ac:dyDescent="0.25">
      <c r="A20" s="72">
        <f>SUMIF(N:N,"&gt;0")</f>
        <v>7033</v>
      </c>
      <c r="B20" s="73"/>
      <c r="C20" s="74"/>
      <c r="D20" s="1">
        <v>18</v>
      </c>
      <c r="E20" s="1" t="s">
        <v>59</v>
      </c>
      <c r="F20" s="25" t="s">
        <v>18</v>
      </c>
      <c r="G20"/>
      <c r="H20" s="2" t="s">
        <v>41</v>
      </c>
      <c r="I20" s="11">
        <v>42986</v>
      </c>
      <c r="J20" s="11">
        <v>42986</v>
      </c>
      <c r="K20" s="12">
        <v>2500</v>
      </c>
      <c r="L20" s="12">
        <v>2480</v>
      </c>
      <c r="M20" s="3">
        <v>42986</v>
      </c>
      <c r="N20" s="41">
        <f t="shared" si="3"/>
        <v>20</v>
      </c>
    </row>
    <row r="21" spans="1:14" x14ac:dyDescent="0.25">
      <c r="A21" s="75"/>
      <c r="B21" s="76"/>
      <c r="C21" s="77"/>
      <c r="D21" s="1">
        <v>19</v>
      </c>
      <c r="E21" s="1" t="s">
        <v>59</v>
      </c>
      <c r="F21" s="25" t="s">
        <v>54</v>
      </c>
      <c r="G21"/>
      <c r="H21" s="2" t="s">
        <v>41</v>
      </c>
      <c r="I21" s="11">
        <v>42986</v>
      </c>
      <c r="J21" s="11">
        <v>42986</v>
      </c>
      <c r="K21" s="12">
        <v>320</v>
      </c>
      <c r="L21" s="12">
        <v>320</v>
      </c>
      <c r="M21" s="3">
        <v>42986</v>
      </c>
      <c r="N21" s="41">
        <f t="shared" si="3"/>
        <v>0</v>
      </c>
    </row>
    <row r="22" spans="1:14" x14ac:dyDescent="0.25">
      <c r="D22" s="1">
        <v>20</v>
      </c>
      <c r="E22" s="1" t="s">
        <v>59</v>
      </c>
      <c r="F22" s="25" t="s">
        <v>21</v>
      </c>
      <c r="G22"/>
      <c r="H22" s="2" t="s">
        <v>41</v>
      </c>
      <c r="I22" s="11">
        <v>42986</v>
      </c>
      <c r="J22" s="11">
        <v>42986</v>
      </c>
      <c r="K22" s="12">
        <v>280</v>
      </c>
      <c r="L22" s="12">
        <v>280</v>
      </c>
      <c r="M22" s="3">
        <v>42986</v>
      </c>
      <c r="N22" s="41">
        <f t="shared" si="3"/>
        <v>0</v>
      </c>
    </row>
    <row r="23" spans="1:14" x14ac:dyDescent="0.25">
      <c r="D23" s="1">
        <v>21</v>
      </c>
      <c r="E23" s="1" t="s">
        <v>59</v>
      </c>
      <c r="F23" s="25" t="s">
        <v>29</v>
      </c>
      <c r="G23"/>
      <c r="H23" s="2" t="s">
        <v>41</v>
      </c>
      <c r="I23" s="11">
        <v>42986</v>
      </c>
      <c r="J23" s="11">
        <v>42986</v>
      </c>
      <c r="K23" s="12">
        <v>4565.6400000000003</v>
      </c>
      <c r="L23" s="12">
        <v>4565.6400000000003</v>
      </c>
      <c r="M23" s="3">
        <v>42986</v>
      </c>
      <c r="N23" s="41">
        <f t="shared" ref="N23:N24" si="4">IF(K23-L23&lt;&gt;0,K23-L23,0)</f>
        <v>0</v>
      </c>
    </row>
    <row r="24" spans="1:14" x14ac:dyDescent="0.25">
      <c r="D24" s="1">
        <v>22</v>
      </c>
      <c r="E24" s="1" t="s">
        <v>59</v>
      </c>
      <c r="F24" s="25" t="s">
        <v>17</v>
      </c>
      <c r="G24"/>
      <c r="H24" s="2" t="s">
        <v>41</v>
      </c>
      <c r="I24" s="11">
        <v>42986</v>
      </c>
      <c r="J24" s="11">
        <v>42986</v>
      </c>
      <c r="K24" s="12">
        <v>228</v>
      </c>
      <c r="L24" s="12">
        <v>236</v>
      </c>
      <c r="M24" s="3">
        <v>42986</v>
      </c>
      <c r="N24" s="41">
        <f t="shared" si="4"/>
        <v>-8</v>
      </c>
    </row>
    <row r="25" spans="1:14" x14ac:dyDescent="0.25">
      <c r="D25" s="37">
        <v>1</v>
      </c>
      <c r="E25" s="37" t="s">
        <v>59</v>
      </c>
      <c r="F25" s="62" t="s">
        <v>25</v>
      </c>
      <c r="G25" s="37">
        <v>545651</v>
      </c>
      <c r="H25" s="64" t="s">
        <v>25</v>
      </c>
      <c r="I25" s="40">
        <v>42770</v>
      </c>
      <c r="J25" s="40">
        <v>42865</v>
      </c>
      <c r="K25" s="39">
        <v>80</v>
      </c>
      <c r="L25" s="39">
        <v>90</v>
      </c>
      <c r="M25" s="38">
        <v>42865</v>
      </c>
      <c r="N25" s="41">
        <f>IF(K25-L25&lt;&gt;0,K25-L25,0)</f>
        <v>-10</v>
      </c>
    </row>
    <row r="26" spans="1:14" x14ac:dyDescent="0.25">
      <c r="D26" s="37">
        <v>2</v>
      </c>
      <c r="E26" s="37" t="s">
        <v>59</v>
      </c>
      <c r="F26" s="62" t="s">
        <v>15</v>
      </c>
      <c r="G26" s="37">
        <v>1454</v>
      </c>
      <c r="H26" s="64" t="s">
        <v>415</v>
      </c>
      <c r="I26" s="40">
        <v>42865</v>
      </c>
      <c r="J26" s="40">
        <v>42865</v>
      </c>
      <c r="K26" s="39">
        <v>0</v>
      </c>
      <c r="L26" s="39">
        <v>0</v>
      </c>
      <c r="M26" s="38">
        <v>42865</v>
      </c>
      <c r="N26" s="41">
        <f>IF(K26-L26&lt;&gt;0,K26-L26,0)</f>
        <v>0</v>
      </c>
    </row>
    <row r="27" spans="1:14" x14ac:dyDescent="0.25">
      <c r="D27" s="37">
        <v>3</v>
      </c>
      <c r="E27" s="37" t="s">
        <v>89</v>
      </c>
      <c r="F27" s="62" t="s">
        <v>27</v>
      </c>
      <c r="G27" s="37">
        <v>7898</v>
      </c>
      <c r="H27" s="64" t="s">
        <v>41</v>
      </c>
      <c r="I27" s="40">
        <v>42865</v>
      </c>
      <c r="J27" s="40">
        <v>42865</v>
      </c>
      <c r="K27" s="39">
        <v>250</v>
      </c>
      <c r="L27" s="39">
        <v>239</v>
      </c>
      <c r="M27" s="38">
        <v>42865</v>
      </c>
      <c r="N27" s="41">
        <f>IF(K27-L27&lt;&gt;0,K27-L27,0)</f>
        <v>11</v>
      </c>
    </row>
    <row r="28" spans="1:14" x14ac:dyDescent="0.25">
      <c r="D28" s="37">
        <v>4</v>
      </c>
      <c r="E28" s="37" t="s">
        <v>89</v>
      </c>
      <c r="F28" s="62" t="s">
        <v>22</v>
      </c>
      <c r="G28" s="37">
        <v>22151</v>
      </c>
      <c r="H28" s="64">
        <v>1251</v>
      </c>
      <c r="I28" s="40">
        <v>42865</v>
      </c>
      <c r="J28" s="40">
        <v>42865</v>
      </c>
      <c r="K28" s="39">
        <v>0</v>
      </c>
      <c r="L28" s="39">
        <v>0</v>
      </c>
      <c r="M28" s="38">
        <v>42865</v>
      </c>
      <c r="N28" s="41">
        <f>IF(K28-L28&lt;&gt;0,K28-L28,0)</f>
        <v>0</v>
      </c>
    </row>
    <row r="29" spans="1:14" x14ac:dyDescent="0.25">
      <c r="D29" s="37">
        <v>5</v>
      </c>
      <c r="E29" s="37"/>
      <c r="F29" s="62" t="s">
        <v>28</v>
      </c>
      <c r="G29" s="37"/>
      <c r="H29" s="64"/>
      <c r="I29" s="40">
        <v>42865</v>
      </c>
      <c r="J29" s="40">
        <v>42865</v>
      </c>
      <c r="K29" s="39">
        <v>0</v>
      </c>
      <c r="L29" s="39">
        <v>0</v>
      </c>
      <c r="M29" s="38">
        <v>42865</v>
      </c>
      <c r="N29" s="41">
        <f>IF(K29-L29&lt;&gt;0,K29-L29,0)</f>
        <v>0</v>
      </c>
    </row>
    <row r="30" spans="1:14" x14ac:dyDescent="0.25">
      <c r="D30" s="34"/>
      <c r="E30" s="34"/>
      <c r="F30" s="62"/>
      <c r="G30" s="37"/>
      <c r="H30" s="64"/>
      <c r="I30" s="40"/>
      <c r="J30" s="40"/>
      <c r="K30" s="33"/>
      <c r="L30" s="33"/>
      <c r="M30" s="38"/>
      <c r="N30" s="41"/>
    </row>
    <row r="31" spans="1:14" x14ac:dyDescent="0.25">
      <c r="D31" s="34"/>
      <c r="E31" s="34"/>
      <c r="F31" s="62"/>
      <c r="G31" s="37"/>
      <c r="H31" s="64"/>
      <c r="I31" s="40"/>
      <c r="J31" s="40"/>
      <c r="K31" s="33"/>
      <c r="L31" s="33"/>
      <c r="M31" s="38"/>
      <c r="N31" s="41"/>
    </row>
    <row r="32" spans="1:14" x14ac:dyDescent="0.25">
      <c r="D32" s="34"/>
      <c r="E32" s="34"/>
      <c r="F32" s="62"/>
      <c r="G32" s="37"/>
      <c r="H32" s="64"/>
      <c r="I32" s="40"/>
      <c r="J32" s="40"/>
      <c r="K32" s="33"/>
      <c r="L32" s="33"/>
      <c r="M32" s="38"/>
      <c r="N32" s="41"/>
    </row>
    <row r="33" spans="4:14" x14ac:dyDescent="0.25">
      <c r="D33" s="34"/>
      <c r="E33" s="34"/>
      <c r="F33" s="62"/>
      <c r="G33" s="37"/>
      <c r="H33" s="64"/>
      <c r="I33" s="40"/>
      <c r="J33" s="40"/>
      <c r="K33" s="33"/>
      <c r="L33" s="33"/>
      <c r="M33" s="38"/>
      <c r="N33" s="41"/>
    </row>
    <row r="34" spans="4:14" x14ac:dyDescent="0.25">
      <c r="D34" s="34"/>
      <c r="E34" s="34"/>
      <c r="F34" s="62"/>
      <c r="G34" s="37"/>
      <c r="H34" s="64"/>
      <c r="I34" s="40"/>
      <c r="J34" s="40"/>
      <c r="K34" s="33"/>
      <c r="L34" s="33"/>
      <c r="M34" s="38"/>
      <c r="N34" s="41"/>
    </row>
    <row r="35" spans="4:14" x14ac:dyDescent="0.25">
      <c r="D35" s="34"/>
      <c r="E35" s="34"/>
      <c r="F35" s="62"/>
      <c r="G35" s="37"/>
      <c r="H35" s="64"/>
      <c r="I35" s="40"/>
      <c r="J35" s="40"/>
      <c r="K35" s="33"/>
      <c r="L35" s="33"/>
      <c r="M35" s="38"/>
      <c r="N35" s="41"/>
    </row>
    <row r="36" spans="4:14" x14ac:dyDescent="0.25">
      <c r="D36" s="34"/>
      <c r="E36" s="34"/>
      <c r="F36" s="62"/>
      <c r="G36" s="37"/>
      <c r="H36" s="64"/>
      <c r="I36" s="40"/>
      <c r="J36" s="40"/>
      <c r="K36" s="33"/>
      <c r="L36" s="33"/>
      <c r="M36" s="38"/>
      <c r="N36" s="41"/>
    </row>
    <row r="37" spans="4:14" x14ac:dyDescent="0.25">
      <c r="D37" s="34"/>
      <c r="E37" s="34"/>
      <c r="F37" s="62"/>
      <c r="G37" s="37"/>
      <c r="H37" s="64"/>
      <c r="I37" s="40"/>
      <c r="J37" s="40"/>
      <c r="K37" s="33"/>
      <c r="L37" s="33"/>
      <c r="M37" s="38"/>
      <c r="N37" s="41"/>
    </row>
    <row r="38" spans="4:14" x14ac:dyDescent="0.25">
      <c r="D38" s="34"/>
      <c r="E38" s="34"/>
      <c r="F38" s="62"/>
      <c r="G38" s="37"/>
      <c r="H38" s="64"/>
      <c r="I38" s="40"/>
      <c r="J38" s="40"/>
      <c r="K38" s="33"/>
      <c r="L38" s="33"/>
      <c r="M38" s="38"/>
      <c r="N38" s="41"/>
    </row>
    <row r="39" spans="4:14" x14ac:dyDescent="0.25">
      <c r="D39" s="34"/>
      <c r="E39" s="34"/>
      <c r="F39" s="62"/>
      <c r="G39" s="37"/>
      <c r="H39" s="64"/>
      <c r="I39" s="40"/>
      <c r="J39" s="40"/>
      <c r="K39" s="33"/>
      <c r="L39" s="33"/>
      <c r="M39" s="38"/>
      <c r="N39" s="41"/>
    </row>
    <row r="40" spans="4:14" x14ac:dyDescent="0.25">
      <c r="D40" s="34"/>
      <c r="E40" s="34"/>
      <c r="F40" s="62"/>
      <c r="G40" s="37"/>
      <c r="H40" s="64"/>
      <c r="I40" s="40"/>
      <c r="J40" s="40"/>
      <c r="K40" s="33"/>
      <c r="L40" s="33"/>
      <c r="M40" s="38"/>
      <c r="N40" s="41"/>
    </row>
    <row r="41" spans="4:14" x14ac:dyDescent="0.25">
      <c r="D41" s="34"/>
      <c r="E41" s="34"/>
      <c r="F41" s="62"/>
      <c r="G41" s="37"/>
      <c r="H41" s="64"/>
      <c r="I41" s="40"/>
      <c r="J41" s="40"/>
      <c r="K41" s="33"/>
      <c r="L41" s="33"/>
      <c r="M41" s="38"/>
      <c r="N41" s="41"/>
    </row>
    <row r="42" spans="4:14" x14ac:dyDescent="0.25">
      <c r="D42" s="34"/>
      <c r="E42" s="34"/>
      <c r="F42" s="62"/>
      <c r="G42" s="37"/>
      <c r="H42" s="64"/>
      <c r="I42" s="40"/>
      <c r="J42" s="40"/>
      <c r="K42" s="33"/>
      <c r="L42" s="33"/>
      <c r="M42" s="38"/>
      <c r="N42" s="41"/>
    </row>
    <row r="43" spans="4:14" x14ac:dyDescent="0.25">
      <c r="D43" s="34"/>
      <c r="E43" s="34"/>
      <c r="F43" s="62"/>
      <c r="G43" s="37"/>
      <c r="H43" s="64"/>
      <c r="I43" s="40"/>
      <c r="J43" s="40"/>
      <c r="K43" s="33"/>
      <c r="L43" s="33"/>
      <c r="M43" s="38"/>
      <c r="N43" s="41"/>
    </row>
    <row r="44" spans="4:14" x14ac:dyDescent="0.25">
      <c r="D44" s="34"/>
      <c r="E44" s="34"/>
      <c r="F44" s="62"/>
      <c r="G44" s="37"/>
      <c r="H44" s="64"/>
      <c r="I44" s="40"/>
      <c r="J44" s="40"/>
      <c r="K44" s="33"/>
      <c r="L44" s="33"/>
      <c r="M44" s="38"/>
      <c r="N44" s="41"/>
    </row>
    <row r="45" spans="4:14" x14ac:dyDescent="0.25">
      <c r="D45" s="34"/>
      <c r="E45" s="34"/>
      <c r="F45" s="62"/>
      <c r="G45" s="37"/>
      <c r="H45" s="64"/>
      <c r="I45" s="40"/>
      <c r="J45" s="40"/>
      <c r="K45" s="33"/>
      <c r="L45" s="33"/>
      <c r="M45" s="38"/>
      <c r="N45" s="41"/>
    </row>
    <row r="46" spans="4:14" x14ac:dyDescent="0.25">
      <c r="D46" s="34"/>
      <c r="E46" s="34"/>
      <c r="F46" s="62"/>
      <c r="G46" s="37"/>
      <c r="H46" s="64"/>
      <c r="I46" s="40"/>
      <c r="J46" s="40"/>
      <c r="K46" s="33"/>
      <c r="L46" s="33"/>
      <c r="M46" s="38"/>
      <c r="N46" s="41"/>
    </row>
    <row r="47" spans="4:14" x14ac:dyDescent="0.25">
      <c r="D47" s="34"/>
      <c r="E47" s="34"/>
      <c r="F47" s="62"/>
      <c r="G47" s="37"/>
      <c r="H47" s="64"/>
      <c r="I47" s="40"/>
      <c r="J47" s="40"/>
      <c r="K47" s="33"/>
      <c r="L47" s="33"/>
      <c r="M47" s="38"/>
      <c r="N47" s="41"/>
    </row>
    <row r="48" spans="4:14" x14ac:dyDescent="0.25">
      <c r="D48" s="34"/>
      <c r="E48" s="34"/>
      <c r="F48" s="62"/>
      <c r="G48" s="37"/>
      <c r="H48" s="64"/>
      <c r="I48" s="40"/>
      <c r="J48" s="40"/>
      <c r="K48" s="33"/>
      <c r="L48" s="33"/>
      <c r="M48" s="38"/>
      <c r="N48" s="41"/>
    </row>
    <row r="49" spans="4:14" x14ac:dyDescent="0.25">
      <c r="D49" s="34"/>
      <c r="E49" s="34"/>
      <c r="F49" s="62"/>
      <c r="G49" s="37"/>
      <c r="H49" s="64"/>
      <c r="I49" s="40"/>
      <c r="J49" s="40"/>
      <c r="K49" s="33"/>
      <c r="L49" s="33"/>
      <c r="M49" s="38"/>
      <c r="N49" s="41"/>
    </row>
    <row r="50" spans="4:14" x14ac:dyDescent="0.25">
      <c r="D50" s="34"/>
      <c r="E50" s="34"/>
      <c r="F50" s="62"/>
      <c r="G50" s="37"/>
      <c r="H50" s="64"/>
      <c r="I50" s="40"/>
      <c r="J50" s="40"/>
      <c r="K50" s="33"/>
      <c r="L50" s="33"/>
      <c r="M50" s="38"/>
      <c r="N50" s="41"/>
    </row>
    <row r="51" spans="4:14" x14ac:dyDescent="0.25">
      <c r="D51" s="34"/>
      <c r="E51" s="34"/>
      <c r="F51" s="62"/>
      <c r="G51" s="37"/>
      <c r="H51" s="64"/>
      <c r="I51" s="40"/>
      <c r="J51" s="40"/>
      <c r="K51" s="33"/>
      <c r="L51" s="33"/>
      <c r="M51" s="38"/>
      <c r="N51" s="41"/>
    </row>
    <row r="52" spans="4:14" x14ac:dyDescent="0.25">
      <c r="D52" s="34"/>
      <c r="E52" s="34"/>
      <c r="F52" s="62"/>
      <c r="G52" s="37"/>
      <c r="H52" s="64"/>
      <c r="I52" s="40"/>
      <c r="J52" s="40"/>
      <c r="K52" s="33"/>
      <c r="L52" s="33"/>
      <c r="M52" s="38"/>
      <c r="N52" s="41"/>
    </row>
    <row r="53" spans="4:14" x14ac:dyDescent="0.25">
      <c r="D53" s="34"/>
      <c r="E53" s="34"/>
      <c r="F53" s="62"/>
      <c r="G53" s="37"/>
      <c r="H53" s="64"/>
      <c r="I53" s="40"/>
      <c r="J53" s="40"/>
      <c r="K53" s="33"/>
      <c r="L53" s="33"/>
      <c r="M53" s="38"/>
      <c r="N53" s="41"/>
    </row>
    <row r="54" spans="4:14" x14ac:dyDescent="0.25">
      <c r="D54" s="34"/>
      <c r="E54" s="34"/>
      <c r="F54" s="62"/>
      <c r="G54" s="37"/>
      <c r="H54" s="64"/>
      <c r="I54" s="40"/>
      <c r="J54" s="40"/>
      <c r="K54" s="33"/>
      <c r="L54" s="33"/>
      <c r="M54" s="38"/>
      <c r="N54" s="41"/>
    </row>
    <row r="55" spans="4:14" x14ac:dyDescent="0.25">
      <c r="D55" s="34"/>
      <c r="E55" s="34"/>
      <c r="F55" s="62"/>
      <c r="G55" s="37"/>
      <c r="H55" s="64"/>
      <c r="I55" s="40"/>
      <c r="J55" s="40"/>
      <c r="K55" s="33"/>
      <c r="L55" s="33"/>
      <c r="M55" s="38"/>
      <c r="N55" s="41"/>
    </row>
    <row r="56" spans="4:14" x14ac:dyDescent="0.25">
      <c r="D56" s="34"/>
      <c r="E56" s="34"/>
      <c r="F56" s="62"/>
      <c r="G56" s="37"/>
      <c r="H56" s="64"/>
      <c r="I56" s="40"/>
      <c r="J56" s="40"/>
      <c r="K56" s="33"/>
      <c r="L56" s="33"/>
      <c r="M56" s="38"/>
      <c r="N56" s="41"/>
    </row>
    <row r="57" spans="4:14" x14ac:dyDescent="0.25">
      <c r="D57" s="34"/>
      <c r="E57" s="34"/>
      <c r="F57" s="62"/>
      <c r="G57" s="37"/>
      <c r="H57" s="64"/>
      <c r="I57" s="40"/>
      <c r="J57" s="40"/>
      <c r="K57" s="33"/>
      <c r="L57" s="33"/>
      <c r="M57" s="38"/>
      <c r="N57" s="41"/>
    </row>
    <row r="58" spans="4:14" x14ac:dyDescent="0.25">
      <c r="D58" s="34"/>
      <c r="E58" s="34"/>
      <c r="F58" s="62"/>
      <c r="G58" s="37"/>
      <c r="H58" s="64"/>
      <c r="I58" s="40"/>
      <c r="J58" s="40"/>
      <c r="K58" s="33"/>
      <c r="L58" s="33"/>
      <c r="M58" s="38"/>
      <c r="N58" s="41"/>
    </row>
    <row r="59" spans="4:14" x14ac:dyDescent="0.25">
      <c r="D59" s="34"/>
      <c r="E59" s="34"/>
      <c r="F59" s="62"/>
      <c r="G59" s="37"/>
      <c r="H59" s="64"/>
      <c r="I59" s="40"/>
      <c r="J59" s="40"/>
      <c r="K59" s="33"/>
      <c r="L59" s="33"/>
      <c r="M59" s="38"/>
      <c r="N59" s="41"/>
    </row>
    <row r="60" spans="4:14" x14ac:dyDescent="0.25">
      <c r="D60" s="34"/>
      <c r="E60" s="34"/>
      <c r="F60" s="62"/>
      <c r="G60" s="37"/>
      <c r="H60" s="64"/>
      <c r="I60" s="40"/>
      <c r="J60" s="40"/>
      <c r="K60" s="33"/>
      <c r="L60" s="33"/>
      <c r="M60" s="38"/>
      <c r="N60" s="41"/>
    </row>
    <row r="61" spans="4:14" x14ac:dyDescent="0.25">
      <c r="D61" s="34"/>
      <c r="E61" s="34"/>
      <c r="F61" s="62"/>
      <c r="G61" s="37"/>
      <c r="H61" s="64"/>
      <c r="I61" s="40"/>
      <c r="J61" s="40"/>
      <c r="K61" s="33"/>
      <c r="L61" s="33"/>
      <c r="M61" s="38"/>
      <c r="N61" s="41"/>
    </row>
    <row r="62" spans="4:14" x14ac:dyDescent="0.25">
      <c r="D62" s="34"/>
      <c r="E62" s="34"/>
      <c r="F62" s="62"/>
      <c r="G62" s="37"/>
      <c r="H62" s="64"/>
      <c r="I62" s="40"/>
      <c r="J62" s="40"/>
      <c r="K62" s="33"/>
      <c r="L62" s="33"/>
      <c r="M62" s="38"/>
      <c r="N62" s="41"/>
    </row>
    <row r="63" spans="4:14" x14ac:dyDescent="0.25">
      <c r="D63" s="34"/>
      <c r="E63" s="34"/>
      <c r="F63" s="62"/>
      <c r="G63" s="37"/>
      <c r="H63" s="64"/>
      <c r="I63" s="40"/>
      <c r="J63" s="40"/>
      <c r="K63" s="33"/>
      <c r="L63" s="33"/>
      <c r="M63" s="38"/>
      <c r="N63" s="41"/>
    </row>
    <row r="64" spans="4:14" x14ac:dyDescent="0.25">
      <c r="D64" s="34"/>
      <c r="E64" s="34"/>
      <c r="F64" s="62"/>
      <c r="G64" s="37"/>
      <c r="H64" s="64"/>
      <c r="I64" s="40"/>
      <c r="J64" s="40"/>
      <c r="K64" s="33"/>
      <c r="L64" s="33"/>
      <c r="M64" s="38"/>
      <c r="N64" s="41"/>
    </row>
    <row r="65" spans="4:14" x14ac:dyDescent="0.25">
      <c r="D65" s="34"/>
      <c r="E65" s="34"/>
      <c r="F65" s="62"/>
      <c r="G65" s="37"/>
      <c r="H65" s="64"/>
      <c r="I65" s="40"/>
      <c r="J65" s="40"/>
      <c r="K65" s="33"/>
      <c r="L65" s="33"/>
      <c r="M65" s="38"/>
      <c r="N65" s="41"/>
    </row>
    <row r="66" spans="4:14" x14ac:dyDescent="0.25">
      <c r="D66" s="34"/>
      <c r="E66" s="34"/>
      <c r="F66" s="62"/>
      <c r="G66" s="37"/>
      <c r="H66" s="64"/>
      <c r="I66" s="40"/>
      <c r="J66" s="40"/>
      <c r="K66" s="33"/>
      <c r="L66" s="33"/>
      <c r="M66" s="38"/>
      <c r="N66" s="41"/>
    </row>
    <row r="67" spans="4:14" x14ac:dyDescent="0.25">
      <c r="D67" s="34"/>
      <c r="E67" s="34"/>
      <c r="F67" s="62"/>
      <c r="G67" s="37"/>
      <c r="H67" s="64"/>
      <c r="I67" s="40"/>
      <c r="J67" s="40"/>
      <c r="K67" s="33"/>
      <c r="L67" s="33"/>
      <c r="M67" s="38"/>
      <c r="N67" s="41"/>
    </row>
    <row r="68" spans="4:14" x14ac:dyDescent="0.25">
      <c r="D68" s="34"/>
      <c r="E68" s="34"/>
      <c r="F68" s="62"/>
      <c r="G68" s="37"/>
      <c r="H68" s="64"/>
      <c r="I68" s="40"/>
      <c r="J68" s="40"/>
      <c r="K68" s="33"/>
      <c r="L68" s="33"/>
      <c r="M68" s="38"/>
      <c r="N68" s="41"/>
    </row>
    <row r="69" spans="4:14" x14ac:dyDescent="0.25">
      <c r="D69" s="34"/>
      <c r="E69" s="34"/>
      <c r="F69" s="62"/>
      <c r="G69" s="37"/>
      <c r="H69" s="64"/>
      <c r="I69" s="40"/>
      <c r="J69" s="40"/>
      <c r="K69" s="33"/>
      <c r="L69" s="33"/>
      <c r="M69" s="38"/>
      <c r="N69" s="41"/>
    </row>
    <row r="70" spans="4:14" x14ac:dyDescent="0.25">
      <c r="D70" s="34"/>
      <c r="E70" s="34"/>
      <c r="F70" s="62"/>
      <c r="G70" s="37"/>
      <c r="H70" s="64"/>
      <c r="I70" s="40"/>
      <c r="J70" s="40"/>
      <c r="K70" s="33"/>
      <c r="L70" s="33"/>
      <c r="M70" s="38"/>
      <c r="N70" s="41"/>
    </row>
    <row r="71" spans="4:14" x14ac:dyDescent="0.25">
      <c r="D71" s="34"/>
      <c r="E71" s="34"/>
      <c r="F71" s="62"/>
      <c r="G71" s="37"/>
      <c r="H71" s="64"/>
      <c r="I71" s="40"/>
      <c r="J71" s="40"/>
      <c r="K71" s="33"/>
      <c r="L71" s="33"/>
      <c r="M71" s="38"/>
      <c r="N71" s="41"/>
    </row>
    <row r="72" spans="4:14" x14ac:dyDescent="0.25">
      <c r="D72" s="34"/>
      <c r="E72" s="34"/>
      <c r="F72" s="62"/>
      <c r="G72" s="37"/>
      <c r="H72" s="64"/>
      <c r="I72" s="40"/>
      <c r="J72" s="40"/>
      <c r="K72" s="33"/>
      <c r="L72" s="33"/>
      <c r="M72" s="38"/>
      <c r="N72" s="41"/>
    </row>
    <row r="73" spans="4:14" x14ac:dyDescent="0.25">
      <c r="D73" s="34"/>
      <c r="E73" s="34"/>
      <c r="F73" s="62"/>
      <c r="G73" s="37"/>
      <c r="H73" s="64"/>
      <c r="I73" s="40"/>
      <c r="J73" s="40"/>
      <c r="K73" s="33"/>
      <c r="L73" s="33"/>
      <c r="M73" s="38"/>
      <c r="N73" s="41"/>
    </row>
    <row r="74" spans="4:14" x14ac:dyDescent="0.25">
      <c r="D74" s="34"/>
      <c r="E74" s="34"/>
      <c r="F74" s="62"/>
      <c r="G74" s="37"/>
      <c r="H74" s="64"/>
      <c r="I74" s="40"/>
      <c r="J74" s="40"/>
      <c r="K74" s="33"/>
      <c r="L74" s="33"/>
      <c r="M74" s="38"/>
      <c r="N74" s="41"/>
    </row>
    <row r="75" spans="4:14" x14ac:dyDescent="0.25">
      <c r="D75" s="34"/>
      <c r="E75" s="34"/>
      <c r="F75" s="62"/>
      <c r="G75" s="37"/>
      <c r="H75" s="64"/>
      <c r="I75" s="40"/>
      <c r="J75" s="40"/>
      <c r="K75" s="33"/>
      <c r="L75" s="33"/>
      <c r="M75" s="38"/>
      <c r="N75" s="41"/>
    </row>
    <row r="76" spans="4:14" x14ac:dyDescent="0.25">
      <c r="D76" s="34"/>
      <c r="E76" s="34"/>
      <c r="F76" s="62"/>
      <c r="G76" s="37"/>
      <c r="H76" s="64"/>
      <c r="I76" s="40"/>
      <c r="J76" s="40"/>
      <c r="K76" s="33"/>
      <c r="L76" s="33"/>
      <c r="M76" s="38"/>
      <c r="N76" s="41"/>
    </row>
    <row r="77" spans="4:14" x14ac:dyDescent="0.25">
      <c r="D77" s="34"/>
      <c r="E77" s="34"/>
      <c r="F77" s="62"/>
      <c r="G77" s="37"/>
      <c r="H77" s="64"/>
      <c r="I77" s="40"/>
      <c r="J77" s="40"/>
      <c r="K77" s="33"/>
      <c r="L77" s="33"/>
      <c r="M77" s="38"/>
      <c r="N77" s="41"/>
    </row>
    <row r="78" spans="4:14" x14ac:dyDescent="0.25">
      <c r="D78" s="34"/>
      <c r="E78" s="34"/>
      <c r="F78" s="62"/>
      <c r="G78" s="37"/>
      <c r="H78" s="64"/>
      <c r="I78" s="40"/>
      <c r="J78" s="40"/>
      <c r="K78" s="33"/>
      <c r="L78" s="33"/>
      <c r="M78" s="38"/>
      <c r="N78" s="41"/>
    </row>
    <row r="79" spans="4:14" x14ac:dyDescent="0.25">
      <c r="D79" s="34"/>
      <c r="E79" s="34"/>
      <c r="F79" s="62"/>
      <c r="G79" s="37"/>
      <c r="H79" s="64"/>
      <c r="I79" s="40"/>
      <c r="J79" s="40"/>
      <c r="K79" s="33"/>
      <c r="L79" s="33"/>
      <c r="M79" s="38"/>
      <c r="N79" s="41"/>
    </row>
    <row r="80" spans="4:14" x14ac:dyDescent="0.25">
      <c r="D80" s="34"/>
      <c r="E80" s="34"/>
      <c r="F80" s="62"/>
      <c r="G80" s="37"/>
      <c r="H80" s="64"/>
      <c r="I80" s="40"/>
      <c r="J80" s="40"/>
      <c r="K80" s="33"/>
      <c r="L80" s="33"/>
      <c r="M80" s="38"/>
      <c r="N80" s="41"/>
    </row>
    <row r="81" spans="4:14" x14ac:dyDescent="0.25">
      <c r="D81" s="34"/>
      <c r="E81" s="34"/>
      <c r="F81" s="62"/>
      <c r="G81" s="37"/>
      <c r="H81" s="64"/>
      <c r="I81" s="40"/>
      <c r="J81" s="40"/>
      <c r="K81" s="33"/>
      <c r="L81" s="33"/>
      <c r="M81" s="38"/>
      <c r="N81" s="41"/>
    </row>
    <row r="82" spans="4:14" x14ac:dyDescent="0.25">
      <c r="D82" s="34"/>
      <c r="E82" s="34"/>
      <c r="F82" s="62"/>
      <c r="G82" s="37"/>
      <c r="H82" s="64"/>
      <c r="I82" s="40"/>
      <c r="J82" s="40"/>
      <c r="K82" s="33"/>
      <c r="L82" s="33"/>
      <c r="M82" s="38"/>
      <c r="N82" s="41"/>
    </row>
    <row r="83" spans="4:14" x14ac:dyDescent="0.25">
      <c r="D83" s="34"/>
      <c r="E83" s="34"/>
      <c r="F83" s="62"/>
      <c r="G83" s="37"/>
      <c r="H83" s="64"/>
      <c r="I83" s="40"/>
      <c r="J83" s="40"/>
      <c r="K83" s="33"/>
      <c r="L83" s="33"/>
      <c r="M83" s="38"/>
      <c r="N83" s="41"/>
    </row>
    <row r="84" spans="4:14" x14ac:dyDescent="0.25">
      <c r="D84" s="34"/>
      <c r="E84" s="34"/>
      <c r="F84" s="62"/>
      <c r="G84" s="37"/>
      <c r="H84" s="64"/>
      <c r="I84" s="40"/>
      <c r="J84" s="40"/>
      <c r="K84" s="33"/>
      <c r="L84" s="33"/>
      <c r="M84" s="38"/>
      <c r="N84" s="41"/>
    </row>
    <row r="85" spans="4:14" x14ac:dyDescent="0.25">
      <c r="D85" s="34"/>
      <c r="E85" s="34"/>
      <c r="F85" s="62"/>
      <c r="G85" s="37"/>
      <c r="H85" s="64"/>
      <c r="I85" s="40"/>
      <c r="J85" s="40"/>
      <c r="K85" s="33"/>
      <c r="L85" s="33"/>
      <c r="M85" s="38"/>
      <c r="N85" s="41"/>
    </row>
    <row r="86" spans="4:14" x14ac:dyDescent="0.25">
      <c r="D86" s="34"/>
      <c r="E86" s="34"/>
      <c r="F86" s="62"/>
      <c r="G86" s="37"/>
      <c r="H86" s="64"/>
      <c r="I86" s="40"/>
      <c r="J86" s="40"/>
      <c r="K86" s="33"/>
      <c r="L86" s="33"/>
      <c r="M86" s="38"/>
      <c r="N86" s="41"/>
    </row>
    <row r="87" spans="4:14" x14ac:dyDescent="0.25">
      <c r="D87" s="34"/>
      <c r="E87" s="34"/>
      <c r="F87" s="62"/>
      <c r="G87" s="37"/>
      <c r="H87" s="64"/>
      <c r="I87" s="40"/>
      <c r="J87" s="40"/>
      <c r="K87" s="33"/>
      <c r="L87" s="33"/>
      <c r="M87" s="38"/>
      <c r="N87" s="41"/>
    </row>
    <row r="88" spans="4:14" x14ac:dyDescent="0.25">
      <c r="D88" s="34"/>
      <c r="E88" s="34"/>
      <c r="F88" s="62"/>
      <c r="G88" s="37"/>
      <c r="H88" s="64"/>
      <c r="I88" s="40"/>
      <c r="J88" s="40"/>
      <c r="K88" s="33"/>
      <c r="L88" s="33"/>
      <c r="M88" s="38"/>
      <c r="N88" s="41"/>
    </row>
    <row r="89" spans="4:14" x14ac:dyDescent="0.25">
      <c r="D89" s="34"/>
      <c r="E89" s="34"/>
      <c r="F89" s="62"/>
      <c r="G89" s="37"/>
      <c r="H89" s="64"/>
      <c r="I89" s="40"/>
      <c r="J89" s="40"/>
      <c r="K89" s="33"/>
      <c r="L89" s="33"/>
      <c r="M89" s="38"/>
      <c r="N89" s="41"/>
    </row>
    <row r="90" spans="4:14" x14ac:dyDescent="0.25">
      <c r="D90" s="34"/>
      <c r="E90" s="34"/>
      <c r="F90" s="62"/>
      <c r="G90" s="37"/>
      <c r="H90" s="64"/>
      <c r="I90" s="40"/>
      <c r="J90" s="40"/>
      <c r="K90" s="33"/>
      <c r="L90" s="33"/>
      <c r="M90" s="38"/>
      <c r="N90" s="41"/>
    </row>
    <row r="91" spans="4:14" x14ac:dyDescent="0.25">
      <c r="D91" s="34"/>
      <c r="E91" s="34"/>
      <c r="F91" s="62"/>
      <c r="G91" s="37"/>
      <c r="H91" s="64"/>
      <c r="I91" s="40"/>
      <c r="J91" s="40"/>
      <c r="K91" s="33"/>
      <c r="L91" s="33"/>
      <c r="M91" s="38"/>
      <c r="N91" s="41"/>
    </row>
    <row r="92" spans="4:14" x14ac:dyDescent="0.25">
      <c r="D92" s="34"/>
      <c r="E92" s="34"/>
      <c r="F92" s="62"/>
      <c r="G92" s="37"/>
      <c r="H92" s="64"/>
      <c r="I92" s="40"/>
      <c r="J92" s="40"/>
      <c r="K92" s="33"/>
      <c r="L92" s="33"/>
      <c r="M92" s="38"/>
      <c r="N92" s="41"/>
    </row>
    <row r="93" spans="4:14" x14ac:dyDescent="0.25">
      <c r="D93" s="34"/>
      <c r="E93" s="34"/>
      <c r="F93" s="62"/>
      <c r="G93" s="37"/>
      <c r="H93" s="64"/>
      <c r="I93" s="40"/>
      <c r="J93" s="40"/>
      <c r="K93" s="33"/>
      <c r="L93" s="33"/>
      <c r="M93" s="38"/>
      <c r="N93" s="41"/>
    </row>
    <row r="94" spans="4:14" x14ac:dyDescent="0.25">
      <c r="D94" s="34"/>
      <c r="E94" s="34"/>
      <c r="F94" s="62"/>
      <c r="G94" s="37"/>
      <c r="H94" s="64"/>
      <c r="I94" s="40"/>
      <c r="J94" s="40"/>
      <c r="K94" s="33"/>
      <c r="L94" s="33"/>
      <c r="M94" s="38"/>
      <c r="N94" s="41"/>
    </row>
    <row r="95" spans="4:14" x14ac:dyDescent="0.25">
      <c r="D95" s="34"/>
      <c r="E95" s="34"/>
      <c r="F95" s="62"/>
      <c r="G95" s="37"/>
      <c r="H95" s="64"/>
      <c r="I95" s="40"/>
      <c r="J95" s="40"/>
      <c r="K95" s="33"/>
      <c r="L95" s="33"/>
      <c r="M95" s="38"/>
      <c r="N95" s="41"/>
    </row>
    <row r="96" spans="4:14" x14ac:dyDescent="0.25">
      <c r="D96" s="34"/>
      <c r="E96" s="34"/>
      <c r="F96" s="62"/>
      <c r="G96" s="37"/>
      <c r="H96" s="64"/>
      <c r="I96" s="40"/>
      <c r="J96" s="40"/>
      <c r="K96" s="33"/>
      <c r="L96" s="33"/>
      <c r="M96" s="38"/>
      <c r="N96" s="41"/>
    </row>
    <row r="97" spans="4:14" x14ac:dyDescent="0.25">
      <c r="D97" s="34"/>
      <c r="E97" s="34"/>
      <c r="F97" s="62"/>
      <c r="G97" s="37"/>
      <c r="H97" s="64"/>
      <c r="I97" s="40"/>
      <c r="J97" s="40"/>
      <c r="K97" s="33"/>
      <c r="L97" s="33"/>
      <c r="M97" s="38"/>
      <c r="N97" s="41"/>
    </row>
    <row r="98" spans="4:14" x14ac:dyDescent="0.25">
      <c r="D98" s="34"/>
      <c r="E98" s="34"/>
      <c r="F98" s="62"/>
      <c r="G98" s="37"/>
      <c r="H98" s="64"/>
      <c r="I98" s="40"/>
      <c r="J98" s="40"/>
      <c r="K98" s="33"/>
      <c r="L98" s="33"/>
      <c r="M98" s="38"/>
      <c r="N98" s="41"/>
    </row>
    <row r="99" spans="4:14" x14ac:dyDescent="0.25">
      <c r="D99" s="34"/>
      <c r="E99" s="34"/>
      <c r="F99" s="62"/>
      <c r="G99" s="37"/>
      <c r="H99" s="64"/>
      <c r="I99" s="40"/>
      <c r="J99" s="40"/>
      <c r="K99" s="33"/>
      <c r="L99" s="33"/>
      <c r="M99" s="38"/>
      <c r="N99" s="41"/>
    </row>
    <row r="100" spans="4:14" x14ac:dyDescent="0.25">
      <c r="D100" s="34"/>
      <c r="E100" s="34"/>
      <c r="F100" s="62"/>
      <c r="G100" s="37"/>
      <c r="H100" s="64"/>
      <c r="I100" s="40"/>
      <c r="J100" s="40"/>
      <c r="K100" s="33"/>
      <c r="L100" s="33"/>
      <c r="M100" s="38"/>
      <c r="N100" s="41"/>
    </row>
    <row r="101" spans="4:14" x14ac:dyDescent="0.25">
      <c r="D101" s="34"/>
      <c r="E101" s="34"/>
      <c r="F101" s="62"/>
      <c r="G101" s="37"/>
      <c r="H101" s="64"/>
      <c r="I101" s="40"/>
      <c r="J101" s="40"/>
      <c r="K101" s="33"/>
      <c r="L101" s="33"/>
      <c r="M101" s="38"/>
      <c r="N101" s="41"/>
    </row>
    <row r="102" spans="4:14" x14ac:dyDescent="0.25">
      <c r="D102" s="34"/>
      <c r="E102" s="34"/>
      <c r="F102" s="62"/>
      <c r="G102" s="37"/>
      <c r="H102" s="64"/>
      <c r="I102" s="40"/>
      <c r="J102" s="40"/>
      <c r="K102" s="33"/>
      <c r="L102" s="33"/>
      <c r="M102" s="38"/>
      <c r="N102" s="41"/>
    </row>
    <row r="103" spans="4:14" x14ac:dyDescent="0.25">
      <c r="D103" s="34"/>
      <c r="E103" s="34"/>
      <c r="F103" s="62"/>
      <c r="G103" s="37"/>
      <c r="H103" s="64"/>
      <c r="I103" s="40"/>
      <c r="J103" s="40"/>
      <c r="K103" s="33"/>
      <c r="L103" s="33"/>
      <c r="M103" s="38"/>
      <c r="N103" s="41"/>
    </row>
    <row r="104" spans="4:14" x14ac:dyDescent="0.25">
      <c r="D104" s="34"/>
      <c r="E104" s="34"/>
      <c r="F104" s="62"/>
      <c r="G104" s="37"/>
      <c r="H104" s="64"/>
      <c r="I104" s="40"/>
      <c r="J104" s="40"/>
      <c r="K104" s="33"/>
      <c r="L104" s="33"/>
      <c r="M104" s="38"/>
      <c r="N104" s="41"/>
    </row>
    <row r="105" spans="4:14" x14ac:dyDescent="0.25">
      <c r="D105" s="34"/>
      <c r="E105" s="34"/>
      <c r="F105" s="62"/>
      <c r="G105" s="37"/>
      <c r="H105" s="64"/>
      <c r="I105" s="40"/>
      <c r="J105" s="40"/>
      <c r="K105" s="33"/>
      <c r="L105" s="33"/>
      <c r="M105" s="38"/>
      <c r="N105" s="41"/>
    </row>
    <row r="106" spans="4:14" x14ac:dyDescent="0.25">
      <c r="D106" s="34"/>
      <c r="E106" s="34"/>
      <c r="F106" s="62"/>
      <c r="G106" s="37"/>
      <c r="H106" s="64"/>
      <c r="I106" s="40"/>
      <c r="J106" s="40"/>
      <c r="K106" s="33"/>
      <c r="L106" s="33"/>
      <c r="M106" s="38"/>
      <c r="N106" s="41"/>
    </row>
    <row r="107" spans="4:14" x14ac:dyDescent="0.25">
      <c r="D107" s="34"/>
      <c r="E107" s="34"/>
      <c r="F107" s="62"/>
      <c r="G107" s="37"/>
      <c r="H107" s="64"/>
      <c r="I107" s="40"/>
      <c r="J107" s="40"/>
      <c r="K107" s="33"/>
      <c r="L107" s="33"/>
      <c r="M107" s="38"/>
      <c r="N107" s="41"/>
    </row>
    <row r="108" spans="4:14" x14ac:dyDescent="0.25">
      <c r="D108" s="34"/>
      <c r="E108" s="34"/>
      <c r="F108" s="62"/>
      <c r="G108" s="37"/>
      <c r="H108" s="64"/>
      <c r="I108" s="40"/>
      <c r="J108" s="40"/>
      <c r="K108" s="33"/>
      <c r="L108" s="33"/>
      <c r="M108" s="38"/>
      <c r="N108" s="41"/>
    </row>
    <row r="109" spans="4:14" x14ac:dyDescent="0.25">
      <c r="D109" s="34"/>
      <c r="E109" s="34"/>
      <c r="F109" s="62"/>
      <c r="G109" s="37"/>
      <c r="H109" s="64"/>
      <c r="I109" s="40"/>
      <c r="J109" s="40"/>
      <c r="K109" s="33"/>
      <c r="L109" s="33"/>
      <c r="M109" s="38"/>
      <c r="N109" s="41"/>
    </row>
    <row r="110" spans="4:14" x14ac:dyDescent="0.25">
      <c r="D110" s="34"/>
      <c r="E110" s="34"/>
      <c r="F110" s="62"/>
      <c r="G110" s="37"/>
      <c r="H110" s="64"/>
      <c r="I110" s="40"/>
      <c r="J110" s="40"/>
      <c r="K110" s="33"/>
      <c r="L110" s="33"/>
      <c r="M110" s="38"/>
      <c r="N110" s="41"/>
    </row>
    <row r="111" spans="4:14" x14ac:dyDescent="0.25">
      <c r="D111" s="34"/>
      <c r="E111" s="34"/>
      <c r="F111" s="62"/>
      <c r="G111" s="37"/>
      <c r="H111" s="64"/>
      <c r="I111" s="40"/>
      <c r="J111" s="40"/>
      <c r="K111" s="33"/>
      <c r="L111" s="33"/>
      <c r="M111" s="38"/>
      <c r="N111" s="41"/>
    </row>
    <row r="112" spans="4:14" x14ac:dyDescent="0.25">
      <c r="D112" s="34"/>
      <c r="E112" s="34"/>
      <c r="F112" s="62"/>
      <c r="G112" s="37"/>
      <c r="H112" s="64"/>
      <c r="I112" s="40"/>
      <c r="J112" s="40"/>
      <c r="K112" s="33"/>
      <c r="L112" s="33"/>
      <c r="M112" s="38"/>
      <c r="N112" s="41"/>
    </row>
    <row r="113" spans="4:14" x14ac:dyDescent="0.25">
      <c r="D113" s="34"/>
      <c r="E113" s="34"/>
      <c r="F113" s="62"/>
      <c r="G113" s="37"/>
      <c r="H113" s="64"/>
      <c r="I113" s="40"/>
      <c r="J113" s="40"/>
      <c r="K113" s="33"/>
      <c r="L113" s="33"/>
      <c r="M113" s="38"/>
      <c r="N113" s="41"/>
    </row>
    <row r="114" spans="4:14" x14ac:dyDescent="0.25">
      <c r="D114" s="34"/>
      <c r="E114" s="34"/>
      <c r="F114" s="62"/>
      <c r="G114" s="37"/>
      <c r="H114" s="64"/>
      <c r="I114" s="40"/>
      <c r="J114" s="40"/>
      <c r="K114" s="33"/>
      <c r="L114" s="33"/>
      <c r="M114" s="38"/>
      <c r="N114" s="41"/>
    </row>
    <row r="115" spans="4:14" x14ac:dyDescent="0.25">
      <c r="D115" s="34"/>
      <c r="E115" s="34"/>
      <c r="F115" s="62"/>
      <c r="G115" s="37"/>
      <c r="H115" s="64"/>
      <c r="I115" s="40"/>
      <c r="J115" s="40"/>
      <c r="K115" s="33"/>
      <c r="L115" s="33"/>
      <c r="M115" s="38"/>
      <c r="N115" s="41"/>
    </row>
    <row r="116" spans="4:14" x14ac:dyDescent="0.25">
      <c r="D116" s="34"/>
      <c r="E116" s="34"/>
      <c r="F116" s="62"/>
      <c r="G116" s="37"/>
      <c r="H116" s="64"/>
      <c r="I116" s="40"/>
      <c r="J116" s="40"/>
      <c r="K116" s="33"/>
      <c r="L116" s="33"/>
      <c r="M116" s="38"/>
      <c r="N116" s="41"/>
    </row>
    <row r="117" spans="4:14" x14ac:dyDescent="0.25">
      <c r="D117" s="34"/>
      <c r="E117" s="34"/>
      <c r="F117" s="62"/>
      <c r="G117" s="37"/>
      <c r="H117" s="64"/>
      <c r="I117" s="40"/>
      <c r="J117" s="40"/>
      <c r="K117" s="33"/>
      <c r="L117" s="33"/>
      <c r="M117" s="38"/>
      <c r="N117" s="41"/>
    </row>
    <row r="118" spans="4:14" x14ac:dyDescent="0.25">
      <c r="D118" s="34"/>
      <c r="E118" s="34"/>
      <c r="F118" s="62"/>
      <c r="G118" s="37"/>
      <c r="H118" s="64"/>
      <c r="I118" s="40"/>
      <c r="J118" s="40"/>
      <c r="K118" s="33"/>
      <c r="L118" s="33"/>
      <c r="M118" s="38"/>
      <c r="N118" s="41"/>
    </row>
    <row r="119" spans="4:14" x14ac:dyDescent="0.25">
      <c r="D119" s="34"/>
      <c r="E119" s="34"/>
      <c r="F119" s="62"/>
      <c r="G119" s="37"/>
      <c r="H119" s="64"/>
      <c r="I119" s="40"/>
      <c r="J119" s="40"/>
      <c r="K119" s="33"/>
      <c r="L119" s="33"/>
      <c r="M119" s="38"/>
      <c r="N119" s="41"/>
    </row>
    <row r="120" spans="4:14" x14ac:dyDescent="0.25">
      <c r="D120" s="34"/>
      <c r="E120" s="34"/>
      <c r="F120" s="62"/>
      <c r="G120" s="37"/>
      <c r="H120" s="64"/>
      <c r="I120" s="40"/>
      <c r="J120" s="40"/>
      <c r="K120" s="33"/>
      <c r="L120" s="33"/>
      <c r="M120" s="38"/>
      <c r="N120" s="41"/>
    </row>
    <row r="121" spans="4:14" x14ac:dyDescent="0.25">
      <c r="D121" s="34"/>
      <c r="E121" s="34"/>
      <c r="F121" s="62"/>
      <c r="G121" s="37"/>
      <c r="H121" s="64"/>
      <c r="I121" s="40"/>
      <c r="J121" s="40"/>
      <c r="K121" s="33"/>
      <c r="L121" s="33"/>
      <c r="M121" s="38"/>
      <c r="N121" s="41"/>
    </row>
    <row r="122" spans="4:14" x14ac:dyDescent="0.25">
      <c r="D122" s="34"/>
      <c r="E122" s="34"/>
      <c r="F122" s="62"/>
      <c r="G122" s="37"/>
      <c r="H122" s="64"/>
      <c r="I122" s="40"/>
      <c r="J122" s="40"/>
      <c r="K122" s="33"/>
      <c r="L122" s="33"/>
      <c r="M122" s="38"/>
      <c r="N122" s="41"/>
    </row>
    <row r="123" spans="4:14" x14ac:dyDescent="0.25">
      <c r="D123" s="34"/>
      <c r="E123" s="34"/>
      <c r="F123" s="62"/>
      <c r="G123" s="37"/>
      <c r="H123" s="64"/>
      <c r="I123" s="40"/>
      <c r="J123" s="40"/>
      <c r="K123" s="33"/>
      <c r="L123" s="33"/>
      <c r="M123" s="38"/>
      <c r="N123" s="41"/>
    </row>
    <row r="124" spans="4:14" x14ac:dyDescent="0.25">
      <c r="D124" s="34"/>
      <c r="E124" s="34"/>
      <c r="F124" s="62"/>
      <c r="G124" s="37"/>
      <c r="H124" s="64"/>
      <c r="I124" s="40"/>
      <c r="J124" s="40"/>
      <c r="K124" s="33"/>
      <c r="L124" s="33"/>
      <c r="M124" s="38"/>
      <c r="N124" s="41"/>
    </row>
    <row r="125" spans="4:14" x14ac:dyDescent="0.25">
      <c r="D125" s="34"/>
      <c r="E125" s="34"/>
      <c r="F125" s="62"/>
      <c r="G125" s="37"/>
      <c r="H125" s="64"/>
      <c r="I125" s="40"/>
      <c r="J125" s="40"/>
      <c r="K125" s="33"/>
      <c r="L125" s="33"/>
      <c r="M125" s="38"/>
      <c r="N125" s="41"/>
    </row>
    <row r="126" spans="4:14" x14ac:dyDescent="0.25">
      <c r="D126" s="34"/>
      <c r="E126" s="34"/>
      <c r="F126" s="62"/>
      <c r="G126" s="37"/>
      <c r="H126" s="64"/>
      <c r="I126" s="40"/>
      <c r="J126" s="40"/>
      <c r="K126" s="33"/>
      <c r="L126" s="33"/>
      <c r="M126" s="38"/>
      <c r="N126" s="41"/>
    </row>
    <row r="127" spans="4:14" x14ac:dyDescent="0.25">
      <c r="D127" s="34"/>
      <c r="E127" s="34"/>
      <c r="F127" s="62"/>
      <c r="G127" s="37"/>
      <c r="H127" s="64"/>
      <c r="I127" s="40"/>
      <c r="J127" s="40"/>
      <c r="K127" s="33"/>
      <c r="L127" s="33"/>
      <c r="M127" s="38"/>
      <c r="N127" s="41"/>
    </row>
    <row r="128" spans="4:14" x14ac:dyDescent="0.25">
      <c r="D128" s="34"/>
      <c r="E128" s="34"/>
      <c r="F128" s="62"/>
      <c r="G128" s="37"/>
      <c r="H128" s="64"/>
      <c r="I128" s="40"/>
      <c r="J128" s="40"/>
      <c r="K128" s="33"/>
      <c r="L128" s="33"/>
      <c r="M128" s="38"/>
      <c r="N128" s="41"/>
    </row>
    <row r="129" spans="4:14" x14ac:dyDescent="0.25">
      <c r="D129" s="34"/>
      <c r="E129" s="34"/>
      <c r="F129" s="62"/>
      <c r="G129" s="37"/>
      <c r="H129" s="64"/>
      <c r="I129" s="40"/>
      <c r="J129" s="40"/>
      <c r="K129" s="33"/>
      <c r="L129" s="33"/>
      <c r="M129" s="38"/>
      <c r="N129" s="41"/>
    </row>
    <row r="130" spans="4:14" x14ac:dyDescent="0.25">
      <c r="D130" s="34"/>
      <c r="E130" s="34"/>
      <c r="F130" s="62"/>
      <c r="G130" s="37"/>
      <c r="H130" s="64"/>
      <c r="I130" s="40"/>
      <c r="J130" s="40"/>
      <c r="K130" s="33"/>
      <c r="L130" s="33"/>
      <c r="M130" s="38"/>
      <c r="N130" s="41"/>
    </row>
    <row r="131" spans="4:14" x14ac:dyDescent="0.25">
      <c r="D131" s="34"/>
      <c r="E131" s="34"/>
      <c r="F131" s="62"/>
      <c r="G131" s="37"/>
      <c r="H131" s="64"/>
      <c r="I131" s="40"/>
      <c r="J131" s="40"/>
      <c r="K131" s="33"/>
      <c r="L131" s="33"/>
      <c r="M131" s="38"/>
      <c r="N131" s="41"/>
    </row>
    <row r="132" spans="4:14" x14ac:dyDescent="0.25">
      <c r="D132" s="34"/>
      <c r="E132" s="34"/>
      <c r="F132" s="62"/>
      <c r="G132" s="37"/>
      <c r="H132" s="64"/>
      <c r="I132" s="40"/>
      <c r="J132" s="40"/>
      <c r="K132" s="33"/>
      <c r="L132" s="33"/>
      <c r="M132" s="38"/>
      <c r="N132" s="41"/>
    </row>
    <row r="133" spans="4:14" x14ac:dyDescent="0.25">
      <c r="D133" s="34"/>
      <c r="E133" s="34"/>
      <c r="F133" s="62"/>
      <c r="G133" s="37"/>
      <c r="H133" s="64"/>
      <c r="I133" s="40"/>
      <c r="J133" s="40"/>
      <c r="K133" s="33"/>
      <c r="L133" s="33"/>
      <c r="M133" s="38"/>
      <c r="N133" s="41"/>
    </row>
    <row r="134" spans="4:14" x14ac:dyDescent="0.25">
      <c r="D134" s="34"/>
      <c r="E134" s="34"/>
      <c r="F134" s="62"/>
      <c r="G134" s="37"/>
      <c r="H134" s="64"/>
      <c r="I134" s="40"/>
      <c r="J134" s="40"/>
      <c r="K134" s="33"/>
      <c r="L134" s="33"/>
      <c r="M134" s="38"/>
      <c r="N134" s="41"/>
    </row>
    <row r="135" spans="4:14" x14ac:dyDescent="0.25">
      <c r="D135" s="34"/>
      <c r="E135" s="34"/>
      <c r="F135" s="62"/>
      <c r="G135" s="37"/>
      <c r="H135" s="64"/>
      <c r="I135" s="40"/>
      <c r="J135" s="40"/>
      <c r="K135" s="33"/>
      <c r="L135" s="33"/>
      <c r="M135" s="38"/>
      <c r="N135" s="41"/>
    </row>
    <row r="136" spans="4:14" x14ac:dyDescent="0.25">
      <c r="D136" s="34"/>
      <c r="E136" s="34"/>
      <c r="F136" s="62"/>
      <c r="G136" s="37"/>
      <c r="H136" s="64"/>
      <c r="I136" s="40"/>
      <c r="J136" s="40"/>
      <c r="K136" s="33"/>
      <c r="L136" s="33"/>
      <c r="M136" s="38"/>
      <c r="N136" s="41"/>
    </row>
    <row r="137" spans="4:14" x14ac:dyDescent="0.25">
      <c r="D137" s="34"/>
      <c r="E137" s="34"/>
      <c r="F137" s="62"/>
      <c r="G137" s="37"/>
      <c r="H137" s="64"/>
      <c r="I137" s="40"/>
      <c r="J137" s="40"/>
      <c r="K137" s="33"/>
      <c r="L137" s="33"/>
      <c r="M137" s="38"/>
      <c r="N137" s="41"/>
    </row>
    <row r="138" spans="4:14" x14ac:dyDescent="0.25">
      <c r="D138" s="34"/>
      <c r="E138" s="34"/>
      <c r="F138" s="62"/>
      <c r="G138" s="37"/>
      <c r="H138" s="64"/>
      <c r="I138" s="40"/>
      <c r="J138" s="40"/>
      <c r="K138" s="33"/>
      <c r="L138" s="33"/>
      <c r="M138" s="38"/>
      <c r="N138" s="41"/>
    </row>
    <row r="139" spans="4:14" x14ac:dyDescent="0.25">
      <c r="D139" s="34"/>
      <c r="E139" s="34"/>
      <c r="F139" s="62"/>
      <c r="G139" s="37"/>
      <c r="H139" s="64"/>
      <c r="I139" s="40"/>
      <c r="J139" s="40"/>
      <c r="K139" s="33"/>
      <c r="L139" s="33"/>
      <c r="M139" s="38"/>
      <c r="N139" s="41"/>
    </row>
    <row r="140" spans="4:14" x14ac:dyDescent="0.25">
      <c r="D140" s="34"/>
      <c r="E140" s="34"/>
      <c r="F140" s="62"/>
      <c r="G140" s="37"/>
      <c r="H140" s="64"/>
      <c r="I140" s="40"/>
      <c r="J140" s="40"/>
      <c r="K140" s="33"/>
      <c r="L140" s="33"/>
      <c r="M140" s="38"/>
      <c r="N140" s="41"/>
    </row>
    <row r="141" spans="4:14" x14ac:dyDescent="0.25">
      <c r="D141" s="34"/>
      <c r="E141" s="34"/>
      <c r="F141" s="62"/>
      <c r="G141" s="37"/>
      <c r="H141" s="64"/>
      <c r="I141" s="40"/>
      <c r="J141" s="40"/>
      <c r="K141" s="33"/>
      <c r="L141" s="33"/>
      <c r="M141" s="38"/>
      <c r="N141" s="41"/>
    </row>
    <row r="142" spans="4:14" x14ac:dyDescent="0.25">
      <c r="D142" s="34"/>
      <c r="E142" s="34"/>
      <c r="F142" s="62"/>
      <c r="G142" s="37"/>
      <c r="H142" s="64"/>
      <c r="I142" s="40"/>
      <c r="J142" s="40"/>
      <c r="K142" s="33"/>
      <c r="L142" s="33"/>
      <c r="M142" s="38"/>
      <c r="N142" s="41"/>
    </row>
    <row r="143" spans="4:14" x14ac:dyDescent="0.25">
      <c r="D143" s="34"/>
      <c r="E143" s="34"/>
      <c r="F143" s="62"/>
      <c r="G143" s="37"/>
      <c r="H143" s="64"/>
      <c r="I143" s="40"/>
      <c r="J143" s="40"/>
      <c r="K143" s="33"/>
      <c r="L143" s="33"/>
      <c r="M143" s="38"/>
      <c r="N143" s="41"/>
    </row>
    <row r="144" spans="4:14" x14ac:dyDescent="0.25">
      <c r="D144" s="34"/>
      <c r="E144" s="34"/>
      <c r="F144" s="62"/>
      <c r="G144" s="37"/>
      <c r="H144" s="64"/>
      <c r="I144" s="40"/>
      <c r="J144" s="40"/>
      <c r="K144" s="33"/>
      <c r="L144" s="33"/>
      <c r="M144" s="38"/>
      <c r="N144" s="41"/>
    </row>
    <row r="145" spans="4:14" x14ac:dyDescent="0.25">
      <c r="D145" s="34"/>
      <c r="E145" s="34"/>
      <c r="F145" s="62"/>
      <c r="G145" s="37"/>
      <c r="H145" s="64"/>
      <c r="I145" s="40"/>
      <c r="J145" s="40"/>
      <c r="K145" s="33"/>
      <c r="L145" s="33"/>
      <c r="M145" s="38"/>
      <c r="N145" s="41"/>
    </row>
    <row r="146" spans="4:14" x14ac:dyDescent="0.25">
      <c r="D146" s="34"/>
      <c r="E146" s="34"/>
      <c r="F146" s="62"/>
      <c r="G146" s="37"/>
      <c r="H146" s="64"/>
      <c r="I146" s="40"/>
      <c r="J146" s="40"/>
      <c r="K146" s="33"/>
      <c r="L146" s="33"/>
      <c r="M146" s="38"/>
      <c r="N146" s="41"/>
    </row>
    <row r="147" spans="4:14" x14ac:dyDescent="0.25">
      <c r="D147" s="34"/>
      <c r="E147" s="34"/>
      <c r="F147" s="62"/>
      <c r="G147" s="37"/>
      <c r="H147" s="64"/>
      <c r="I147" s="40"/>
      <c r="J147" s="40"/>
      <c r="K147" s="33"/>
      <c r="L147" s="33"/>
      <c r="M147" s="38"/>
      <c r="N147" s="41"/>
    </row>
    <row r="148" spans="4:14" x14ac:dyDescent="0.25">
      <c r="D148" s="34"/>
      <c r="E148" s="34"/>
      <c r="F148" s="62"/>
      <c r="G148" s="37"/>
      <c r="H148" s="64"/>
      <c r="I148" s="40"/>
      <c r="J148" s="40"/>
      <c r="K148" s="33"/>
      <c r="L148" s="33"/>
      <c r="M148" s="38"/>
      <c r="N148" s="41"/>
    </row>
    <row r="149" spans="4:14" x14ac:dyDescent="0.25">
      <c r="D149" s="34"/>
      <c r="E149" s="34"/>
      <c r="F149" s="62"/>
      <c r="G149" s="37"/>
      <c r="H149" s="64"/>
      <c r="I149" s="40"/>
      <c r="J149" s="40"/>
      <c r="K149" s="33"/>
      <c r="L149" s="33"/>
      <c r="M149" s="38"/>
      <c r="N149" s="41"/>
    </row>
    <row r="150" spans="4:14" x14ac:dyDescent="0.25">
      <c r="D150" s="34"/>
      <c r="E150" s="34"/>
      <c r="F150" s="62"/>
      <c r="G150" s="37"/>
      <c r="H150" s="64"/>
      <c r="I150" s="40"/>
      <c r="J150" s="40"/>
      <c r="K150" s="33"/>
      <c r="L150" s="33"/>
      <c r="M150" s="38"/>
      <c r="N150" s="41"/>
    </row>
    <row r="151" spans="4:14" x14ac:dyDescent="0.25">
      <c r="D151" s="34"/>
      <c r="E151" s="34"/>
      <c r="F151" s="62"/>
      <c r="G151" s="37"/>
      <c r="H151" s="64"/>
      <c r="I151" s="40"/>
      <c r="J151" s="40"/>
      <c r="K151" s="33"/>
      <c r="L151" s="33"/>
      <c r="M151" s="38"/>
      <c r="N151" s="41"/>
    </row>
    <row r="152" spans="4:14" x14ac:dyDescent="0.25">
      <c r="D152" s="34"/>
      <c r="E152" s="34"/>
      <c r="F152" s="62"/>
      <c r="G152" s="37"/>
      <c r="H152" s="64"/>
      <c r="I152" s="40"/>
      <c r="J152" s="40"/>
      <c r="K152" s="33"/>
      <c r="L152" s="33"/>
      <c r="M152" s="38"/>
      <c r="N152" s="41"/>
    </row>
    <row r="153" spans="4:14" x14ac:dyDescent="0.25">
      <c r="D153" s="34"/>
      <c r="E153" s="34"/>
      <c r="F153" s="62"/>
      <c r="G153" s="37"/>
      <c r="H153" s="64"/>
      <c r="I153" s="40"/>
      <c r="J153" s="40"/>
      <c r="K153" s="33"/>
      <c r="L153" s="33"/>
      <c r="M153" s="38"/>
      <c r="N153" s="41"/>
    </row>
    <row r="154" spans="4:14" x14ac:dyDescent="0.25">
      <c r="D154" s="34"/>
      <c r="E154" s="34"/>
      <c r="F154" s="62"/>
      <c r="G154" s="37"/>
      <c r="H154" s="64"/>
      <c r="I154" s="40"/>
      <c r="J154" s="40"/>
      <c r="K154" s="33"/>
      <c r="L154" s="33"/>
      <c r="M154" s="38"/>
      <c r="N154" s="41"/>
    </row>
    <row r="155" spans="4:14" x14ac:dyDescent="0.25">
      <c r="D155" s="34"/>
      <c r="E155" s="34"/>
      <c r="F155" s="62"/>
      <c r="G155" s="37"/>
      <c r="H155" s="64"/>
      <c r="I155" s="40"/>
      <c r="J155" s="40"/>
      <c r="K155" s="33"/>
      <c r="L155" s="33"/>
      <c r="M155" s="38"/>
      <c r="N155" s="41"/>
    </row>
    <row r="156" spans="4:14" x14ac:dyDescent="0.25">
      <c r="D156" s="34"/>
      <c r="E156" s="34"/>
      <c r="F156" s="62"/>
      <c r="G156" s="37"/>
      <c r="H156" s="64"/>
      <c r="I156" s="40"/>
      <c r="J156" s="40"/>
      <c r="K156" s="33"/>
      <c r="L156" s="33"/>
      <c r="M156" s="38"/>
      <c r="N156" s="41"/>
    </row>
    <row r="157" spans="4:14" x14ac:dyDescent="0.25">
      <c r="D157" s="34"/>
      <c r="E157" s="34"/>
      <c r="F157" s="62"/>
      <c r="G157" s="37"/>
      <c r="H157" s="64"/>
      <c r="I157" s="40"/>
      <c r="J157" s="40"/>
      <c r="K157" s="33"/>
      <c r="L157" s="33"/>
      <c r="M157" s="38"/>
      <c r="N157" s="41"/>
    </row>
    <row r="158" spans="4:14" x14ac:dyDescent="0.25">
      <c r="D158" s="34"/>
      <c r="E158" s="34"/>
      <c r="F158" s="62"/>
      <c r="G158" s="37"/>
      <c r="H158" s="64"/>
      <c r="I158" s="40"/>
      <c r="J158" s="40"/>
      <c r="K158" s="33"/>
      <c r="L158" s="33"/>
      <c r="M158" s="38"/>
      <c r="N158" s="41"/>
    </row>
    <row r="159" spans="4:14" x14ac:dyDescent="0.25">
      <c r="D159" s="34"/>
      <c r="E159" s="34"/>
      <c r="F159" s="62"/>
      <c r="G159" s="37"/>
      <c r="H159" s="64"/>
      <c r="I159" s="40"/>
      <c r="J159" s="40"/>
      <c r="K159" s="33"/>
      <c r="L159" s="33"/>
      <c r="M159" s="38"/>
      <c r="N159" s="41"/>
    </row>
    <row r="160" spans="4:14" x14ac:dyDescent="0.25">
      <c r="D160" s="34"/>
      <c r="E160" s="34"/>
      <c r="F160" s="62"/>
      <c r="G160" s="37"/>
      <c r="H160" s="64"/>
      <c r="I160" s="40"/>
      <c r="J160" s="40"/>
      <c r="K160" s="33"/>
      <c r="L160" s="33"/>
      <c r="M160" s="38"/>
      <c r="N160" s="41"/>
    </row>
    <row r="161" spans="4:14" x14ac:dyDescent="0.25">
      <c r="D161" s="34"/>
      <c r="E161" s="34"/>
      <c r="F161" s="62"/>
      <c r="G161" s="37"/>
      <c r="H161" s="64"/>
      <c r="I161" s="40"/>
      <c r="J161" s="40"/>
      <c r="K161" s="33"/>
      <c r="L161" s="33"/>
      <c r="M161" s="38"/>
      <c r="N161" s="41"/>
    </row>
    <row r="162" spans="4:14" x14ac:dyDescent="0.25">
      <c r="D162" s="34"/>
      <c r="E162" s="34"/>
      <c r="F162" s="62"/>
      <c r="G162" s="37"/>
      <c r="H162" s="64"/>
      <c r="I162" s="40"/>
      <c r="J162" s="40"/>
      <c r="K162" s="33"/>
      <c r="L162" s="33"/>
      <c r="M162" s="38"/>
      <c r="N162" s="41"/>
    </row>
    <row r="163" spans="4:14" x14ac:dyDescent="0.25">
      <c r="D163" s="34"/>
      <c r="E163" s="34"/>
      <c r="F163" s="62"/>
      <c r="G163" s="37"/>
      <c r="H163" s="64"/>
      <c r="I163" s="40"/>
      <c r="J163" s="40"/>
      <c r="K163" s="33"/>
      <c r="L163" s="33"/>
      <c r="M163" s="38"/>
      <c r="N163" s="41"/>
    </row>
    <row r="164" spans="4:14" x14ac:dyDescent="0.25">
      <c r="D164" s="34"/>
      <c r="E164" s="34"/>
      <c r="F164" s="62"/>
      <c r="G164" s="37"/>
      <c r="H164" s="64"/>
      <c r="I164" s="40"/>
      <c r="J164" s="40"/>
      <c r="K164" s="33"/>
      <c r="L164" s="33"/>
      <c r="M164" s="38"/>
      <c r="N164" s="41"/>
    </row>
    <row r="165" spans="4:14" x14ac:dyDescent="0.25">
      <c r="D165" s="34"/>
      <c r="E165" s="34"/>
      <c r="F165" s="62"/>
      <c r="G165" s="37"/>
      <c r="H165" s="64"/>
      <c r="I165" s="40"/>
      <c r="J165" s="40"/>
      <c r="K165" s="33"/>
      <c r="L165" s="33"/>
      <c r="M165" s="38"/>
      <c r="N165" s="41"/>
    </row>
    <row r="166" spans="4:14" x14ac:dyDescent="0.25">
      <c r="D166" s="34"/>
      <c r="E166" s="34"/>
      <c r="F166" s="62"/>
      <c r="G166" s="37"/>
      <c r="H166" s="64"/>
      <c r="I166" s="40"/>
      <c r="J166" s="40"/>
      <c r="K166" s="33"/>
      <c r="L166" s="33"/>
      <c r="M166" s="38"/>
      <c r="N166" s="41"/>
    </row>
    <row r="167" spans="4:14" x14ac:dyDescent="0.25">
      <c r="D167" s="34"/>
      <c r="E167" s="34"/>
      <c r="F167" s="62"/>
      <c r="G167" s="37"/>
      <c r="H167" s="64"/>
      <c r="I167" s="40"/>
      <c r="J167" s="40"/>
      <c r="K167" s="33"/>
      <c r="L167" s="33"/>
      <c r="M167" s="38"/>
      <c r="N167" s="41"/>
    </row>
    <row r="168" spans="4:14" x14ac:dyDescent="0.25">
      <c r="D168" s="34"/>
      <c r="E168" s="34"/>
      <c r="F168" s="62"/>
      <c r="G168" s="37"/>
      <c r="H168" s="64"/>
      <c r="I168" s="40"/>
      <c r="J168" s="40"/>
      <c r="K168" s="33"/>
      <c r="L168" s="33"/>
      <c r="M168" s="38"/>
      <c r="N168" s="41"/>
    </row>
    <row r="169" spans="4:14" x14ac:dyDescent="0.25">
      <c r="D169" s="34"/>
      <c r="E169" s="34"/>
      <c r="F169" s="62"/>
      <c r="G169" s="37"/>
      <c r="H169" s="64"/>
      <c r="I169" s="40"/>
      <c r="J169" s="40"/>
      <c r="K169" s="33"/>
      <c r="L169" s="33"/>
      <c r="M169" s="38"/>
      <c r="N169" s="41"/>
    </row>
    <row r="170" spans="4:14" x14ac:dyDescent="0.25">
      <c r="D170" s="34"/>
      <c r="E170" s="34"/>
      <c r="F170" s="62"/>
      <c r="G170" s="37"/>
      <c r="H170" s="64"/>
      <c r="I170" s="40"/>
      <c r="J170" s="40"/>
      <c r="K170" s="33"/>
      <c r="L170" s="33"/>
      <c r="M170" s="38"/>
      <c r="N170" s="41"/>
    </row>
    <row r="171" spans="4:14" x14ac:dyDescent="0.25">
      <c r="D171" s="34"/>
      <c r="E171" s="34"/>
      <c r="F171" s="62"/>
      <c r="G171" s="37"/>
      <c r="H171" s="64"/>
      <c r="I171" s="40"/>
      <c r="J171" s="40"/>
      <c r="K171" s="33"/>
      <c r="L171" s="33"/>
      <c r="M171" s="38"/>
      <c r="N171" s="41"/>
    </row>
    <row r="172" spans="4:14" x14ac:dyDescent="0.25">
      <c r="D172" s="34"/>
      <c r="E172" s="34"/>
      <c r="F172" s="62"/>
      <c r="G172" s="37"/>
      <c r="H172" s="64"/>
      <c r="I172" s="40"/>
      <c r="J172" s="40"/>
      <c r="K172" s="33"/>
      <c r="L172" s="33"/>
      <c r="M172" s="38"/>
      <c r="N172" s="41"/>
    </row>
    <row r="173" spans="4:14" x14ac:dyDescent="0.25">
      <c r="D173" s="34"/>
      <c r="E173" s="34"/>
      <c r="F173" s="62"/>
      <c r="G173" s="37"/>
      <c r="H173" s="64"/>
      <c r="I173" s="40"/>
      <c r="J173" s="40"/>
      <c r="K173" s="33"/>
      <c r="L173" s="33"/>
      <c r="M173" s="38"/>
      <c r="N173" s="41"/>
    </row>
    <row r="174" spans="4:14" x14ac:dyDescent="0.25">
      <c r="D174" s="34"/>
      <c r="E174" s="34"/>
      <c r="F174" s="62"/>
      <c r="G174" s="37"/>
      <c r="H174" s="64"/>
      <c r="I174" s="40"/>
      <c r="J174" s="40"/>
      <c r="K174" s="33"/>
      <c r="L174" s="33"/>
      <c r="M174" s="38"/>
      <c r="N174" s="41"/>
    </row>
    <row r="175" spans="4:14" x14ac:dyDescent="0.25">
      <c r="D175" s="34"/>
      <c r="E175" s="34"/>
      <c r="F175" s="62"/>
      <c r="G175" s="37"/>
      <c r="H175" s="64"/>
      <c r="I175" s="40"/>
      <c r="J175" s="40"/>
      <c r="K175" s="33"/>
      <c r="L175" s="33"/>
      <c r="M175" s="38"/>
      <c r="N175" s="41"/>
    </row>
    <row r="176" spans="4:14" x14ac:dyDescent="0.25">
      <c r="D176" s="34"/>
      <c r="E176" s="34"/>
      <c r="F176" s="62"/>
      <c r="G176" s="37"/>
      <c r="H176" s="64"/>
      <c r="I176" s="40"/>
      <c r="J176" s="40"/>
      <c r="K176" s="33"/>
      <c r="L176" s="33"/>
      <c r="M176" s="38"/>
      <c r="N176" s="41"/>
    </row>
    <row r="177" spans="4:14" x14ac:dyDescent="0.25">
      <c r="D177" s="34"/>
      <c r="E177" s="34"/>
      <c r="F177" s="62"/>
      <c r="G177" s="37"/>
      <c r="H177" s="64"/>
      <c r="I177" s="40"/>
      <c r="J177" s="40"/>
      <c r="K177" s="33"/>
      <c r="L177" s="33"/>
      <c r="M177" s="38"/>
      <c r="N177" s="41"/>
    </row>
    <row r="178" spans="4:14" x14ac:dyDescent="0.25">
      <c r="D178" s="34"/>
      <c r="E178" s="34"/>
      <c r="F178" s="62"/>
      <c r="G178" s="37"/>
      <c r="H178" s="64"/>
      <c r="I178" s="40"/>
      <c r="J178" s="40"/>
      <c r="K178" s="33"/>
      <c r="L178" s="33"/>
      <c r="M178" s="38"/>
      <c r="N178" s="41"/>
    </row>
    <row r="179" spans="4:14" x14ac:dyDescent="0.25">
      <c r="D179" s="34"/>
      <c r="E179" s="34"/>
      <c r="F179" s="62"/>
      <c r="G179" s="37"/>
      <c r="H179" s="64"/>
      <c r="I179" s="40"/>
      <c r="J179" s="40"/>
      <c r="K179" s="33"/>
      <c r="L179" s="33"/>
      <c r="M179" s="38"/>
      <c r="N179" s="41"/>
    </row>
    <row r="180" spans="4:14" x14ac:dyDescent="0.25">
      <c r="D180" s="34"/>
      <c r="E180" s="34"/>
      <c r="F180" s="62"/>
      <c r="G180" s="37"/>
      <c r="H180" s="64"/>
      <c r="I180" s="40"/>
      <c r="J180" s="40"/>
      <c r="K180" s="33"/>
      <c r="L180" s="33"/>
      <c r="M180" s="38"/>
      <c r="N180" s="41"/>
    </row>
    <row r="181" spans="4:14" x14ac:dyDescent="0.25">
      <c r="D181" s="34"/>
      <c r="E181" s="34"/>
      <c r="F181" s="62"/>
      <c r="G181" s="37"/>
      <c r="H181" s="64"/>
      <c r="I181" s="40"/>
      <c r="J181" s="40"/>
      <c r="K181" s="33"/>
      <c r="L181" s="33"/>
      <c r="M181" s="38"/>
      <c r="N181" s="41"/>
    </row>
    <row r="182" spans="4:14" x14ac:dyDescent="0.25">
      <c r="D182" s="34"/>
      <c r="E182" s="34"/>
      <c r="F182" s="62"/>
      <c r="G182" s="37"/>
      <c r="H182" s="64"/>
      <c r="I182" s="40"/>
      <c r="J182" s="40"/>
      <c r="K182" s="33"/>
      <c r="L182" s="33"/>
      <c r="M182" s="38"/>
      <c r="N182" s="41"/>
    </row>
    <row r="183" spans="4:14" x14ac:dyDescent="0.25">
      <c r="D183" s="34"/>
      <c r="E183" s="34"/>
      <c r="F183" s="62"/>
      <c r="G183" s="37"/>
      <c r="H183" s="64"/>
      <c r="I183" s="40"/>
      <c r="J183" s="40"/>
      <c r="K183" s="33"/>
      <c r="L183" s="33"/>
      <c r="M183" s="38"/>
      <c r="N183" s="41"/>
    </row>
    <row r="184" spans="4:14" x14ac:dyDescent="0.25">
      <c r="D184" s="34"/>
      <c r="E184" s="34"/>
      <c r="F184" s="62"/>
      <c r="G184" s="37"/>
      <c r="H184" s="64"/>
      <c r="I184" s="40"/>
      <c r="J184" s="40"/>
      <c r="K184" s="33"/>
      <c r="L184" s="33"/>
      <c r="M184" s="38"/>
      <c r="N184" s="41"/>
    </row>
    <row r="185" spans="4:14" x14ac:dyDescent="0.25">
      <c r="D185" s="34"/>
      <c r="E185" s="34"/>
      <c r="F185" s="62"/>
      <c r="G185" s="37"/>
      <c r="H185" s="64"/>
      <c r="I185" s="40"/>
      <c r="J185" s="40"/>
      <c r="K185" s="33"/>
      <c r="L185" s="33"/>
      <c r="M185" s="38"/>
      <c r="N185" s="41"/>
    </row>
    <row r="186" spans="4:14" x14ac:dyDescent="0.25">
      <c r="D186" s="34"/>
      <c r="E186" s="34"/>
      <c r="F186" s="62"/>
      <c r="G186" s="37"/>
      <c r="H186" s="64"/>
      <c r="I186" s="40"/>
      <c r="J186" s="40"/>
      <c r="K186" s="33"/>
      <c r="L186" s="33"/>
      <c r="M186" s="38"/>
      <c r="N186" s="41"/>
    </row>
    <row r="187" spans="4:14" x14ac:dyDescent="0.25">
      <c r="D187" s="34"/>
      <c r="E187" s="34"/>
      <c r="F187" s="62"/>
      <c r="G187" s="37"/>
      <c r="H187" s="64"/>
      <c r="I187" s="40"/>
      <c r="J187" s="40"/>
      <c r="K187" s="33"/>
      <c r="L187" s="33"/>
      <c r="M187" s="38"/>
      <c r="N187" s="41"/>
    </row>
    <row r="188" spans="4:14" x14ac:dyDescent="0.25">
      <c r="D188" s="34"/>
      <c r="E188" s="34"/>
      <c r="F188" s="62"/>
      <c r="G188" s="37"/>
      <c r="H188" s="64"/>
      <c r="I188" s="40"/>
      <c r="J188" s="40"/>
      <c r="K188" s="33"/>
      <c r="L188" s="33"/>
      <c r="M188" s="38"/>
      <c r="N188" s="41"/>
    </row>
    <row r="189" spans="4:14" x14ac:dyDescent="0.25">
      <c r="D189" s="34"/>
      <c r="E189" s="34"/>
      <c r="F189" s="62"/>
      <c r="G189" s="37"/>
      <c r="H189" s="64"/>
      <c r="I189" s="40"/>
      <c r="J189" s="40"/>
      <c r="K189" s="33"/>
      <c r="L189" s="33"/>
      <c r="M189" s="38"/>
      <c r="N189" s="41"/>
    </row>
    <row r="190" spans="4:14" x14ac:dyDescent="0.25">
      <c r="D190" s="34"/>
      <c r="E190" s="34"/>
      <c r="F190" s="62"/>
      <c r="G190" s="37"/>
      <c r="H190" s="64"/>
      <c r="I190" s="40"/>
      <c r="J190" s="40"/>
      <c r="K190" s="33"/>
      <c r="L190" s="33"/>
      <c r="M190" s="38"/>
      <c r="N190" s="41"/>
    </row>
    <row r="191" spans="4:14" x14ac:dyDescent="0.25">
      <c r="D191" s="34"/>
      <c r="E191" s="34"/>
      <c r="F191" s="62"/>
      <c r="G191" s="37"/>
      <c r="H191" s="64"/>
      <c r="I191" s="40"/>
      <c r="J191" s="40"/>
      <c r="K191" s="33"/>
      <c r="L191" s="33"/>
      <c r="M191" s="38"/>
      <c r="N191" s="41"/>
    </row>
    <row r="192" spans="4:14" x14ac:dyDescent="0.25">
      <c r="D192" s="34"/>
      <c r="E192" s="34"/>
      <c r="F192" s="62"/>
      <c r="G192" s="37"/>
      <c r="H192" s="64"/>
      <c r="I192" s="40"/>
      <c r="J192" s="40"/>
      <c r="K192" s="33"/>
      <c r="L192" s="33"/>
      <c r="M192" s="38"/>
      <c r="N192" s="41"/>
    </row>
    <row r="193" spans="4:14" x14ac:dyDescent="0.25">
      <c r="D193" s="34"/>
      <c r="E193" s="34"/>
      <c r="F193" s="62"/>
      <c r="G193" s="37"/>
      <c r="H193" s="64"/>
      <c r="I193" s="40"/>
      <c r="J193" s="40"/>
      <c r="K193" s="33"/>
      <c r="L193" s="33"/>
      <c r="M193" s="38"/>
      <c r="N193" s="41"/>
    </row>
    <row r="194" spans="4:14" x14ac:dyDescent="0.25">
      <c r="D194" s="34"/>
      <c r="E194" s="34"/>
      <c r="F194" s="62"/>
      <c r="G194" s="37"/>
      <c r="H194" s="64"/>
      <c r="I194" s="40"/>
      <c r="J194" s="40"/>
      <c r="K194" s="33"/>
      <c r="L194" s="33"/>
      <c r="M194" s="38"/>
      <c r="N194" s="41"/>
    </row>
    <row r="195" spans="4:14" x14ac:dyDescent="0.25">
      <c r="D195" s="34"/>
      <c r="E195" s="34"/>
      <c r="F195" s="62"/>
      <c r="G195" s="37"/>
      <c r="H195" s="64"/>
      <c r="I195" s="40"/>
      <c r="J195" s="40"/>
      <c r="K195" s="33"/>
      <c r="L195" s="33"/>
      <c r="M195" s="38"/>
      <c r="N195" s="41"/>
    </row>
    <row r="196" spans="4:14" x14ac:dyDescent="0.25">
      <c r="D196" s="34"/>
      <c r="E196" s="34"/>
      <c r="F196" s="62"/>
      <c r="G196" s="37"/>
      <c r="H196" s="64"/>
      <c r="I196" s="40"/>
      <c r="J196" s="40"/>
      <c r="K196" s="33"/>
      <c r="L196" s="33"/>
      <c r="M196" s="38"/>
      <c r="N196" s="41"/>
    </row>
    <row r="197" spans="4:14" x14ac:dyDescent="0.25">
      <c r="D197" s="34"/>
      <c r="E197" s="34"/>
      <c r="F197" s="62"/>
      <c r="G197" s="37"/>
      <c r="H197" s="64"/>
      <c r="I197" s="40"/>
      <c r="J197" s="40"/>
      <c r="K197" s="33"/>
      <c r="L197" s="33"/>
      <c r="M197" s="38"/>
      <c r="N197" s="41"/>
    </row>
    <row r="198" spans="4:14" x14ac:dyDescent="0.25">
      <c r="D198" s="34"/>
      <c r="E198" s="34"/>
      <c r="F198" s="62"/>
      <c r="G198" s="37"/>
      <c r="H198" s="64"/>
      <c r="I198" s="40"/>
      <c r="J198" s="40"/>
      <c r="K198" s="33"/>
      <c r="L198" s="33"/>
      <c r="M198" s="38"/>
      <c r="N198" s="41"/>
    </row>
    <row r="199" spans="4:14" x14ac:dyDescent="0.25">
      <c r="D199" s="34"/>
      <c r="E199" s="34"/>
      <c r="F199" s="62"/>
      <c r="G199" s="37"/>
      <c r="H199" s="64"/>
      <c r="I199" s="40"/>
      <c r="J199" s="40"/>
      <c r="K199" s="33"/>
      <c r="L199" s="33"/>
      <c r="M199" s="38"/>
      <c r="N199" s="41"/>
    </row>
    <row r="200" spans="4:14" x14ac:dyDescent="0.25">
      <c r="D200" s="34"/>
      <c r="E200" s="34"/>
      <c r="F200" s="62"/>
      <c r="G200" s="37"/>
      <c r="H200" s="64"/>
      <c r="I200" s="40"/>
      <c r="J200" s="40"/>
      <c r="K200" s="33"/>
      <c r="L200" s="33"/>
      <c r="M200" s="38"/>
      <c r="N200" s="41"/>
    </row>
    <row r="201" spans="4:14" x14ac:dyDescent="0.25">
      <c r="D201" s="34"/>
      <c r="E201" s="34"/>
      <c r="F201" s="62"/>
      <c r="G201" s="37"/>
      <c r="H201" s="64"/>
      <c r="I201" s="40"/>
      <c r="J201" s="40"/>
      <c r="K201" s="33"/>
      <c r="L201" s="33"/>
      <c r="M201" s="38"/>
      <c r="N201" s="41"/>
    </row>
    <row r="202" spans="4:14" x14ac:dyDescent="0.25">
      <c r="D202" s="34"/>
      <c r="E202" s="34"/>
      <c r="F202" s="62"/>
      <c r="G202" s="37"/>
      <c r="H202" s="64"/>
      <c r="I202" s="40"/>
      <c r="J202" s="40"/>
      <c r="K202" s="33"/>
      <c r="L202" s="33"/>
      <c r="M202" s="38"/>
      <c r="N202" s="41"/>
    </row>
    <row r="203" spans="4:14" x14ac:dyDescent="0.25">
      <c r="D203" s="34"/>
      <c r="E203" s="34"/>
      <c r="F203" s="62"/>
      <c r="G203" s="37"/>
      <c r="H203" s="64"/>
      <c r="I203" s="40"/>
      <c r="J203" s="40"/>
      <c r="K203" s="33"/>
      <c r="L203" s="33"/>
      <c r="M203" s="38"/>
      <c r="N203" s="41"/>
    </row>
    <row r="204" spans="4:14" x14ac:dyDescent="0.25">
      <c r="D204" s="34"/>
      <c r="E204" s="34"/>
      <c r="F204" s="62"/>
      <c r="G204" s="37"/>
      <c r="H204" s="64"/>
      <c r="I204" s="40"/>
      <c r="J204" s="40"/>
      <c r="K204" s="33"/>
      <c r="L204" s="33"/>
      <c r="M204" s="38"/>
      <c r="N204" s="41"/>
    </row>
    <row r="205" spans="4:14" x14ac:dyDescent="0.25">
      <c r="D205" s="34"/>
      <c r="E205" s="34"/>
      <c r="F205" s="62"/>
      <c r="G205" s="37"/>
      <c r="H205" s="64"/>
      <c r="I205" s="40"/>
      <c r="J205" s="40"/>
      <c r="K205" s="33"/>
      <c r="L205" s="33"/>
      <c r="M205" s="38"/>
      <c r="N205" s="41"/>
    </row>
    <row r="206" spans="4:14" x14ac:dyDescent="0.25">
      <c r="D206" s="34"/>
      <c r="E206" s="34"/>
      <c r="F206" s="62"/>
      <c r="G206" s="37"/>
      <c r="H206" s="64"/>
      <c r="I206" s="40"/>
      <c r="J206" s="40"/>
      <c r="K206" s="33"/>
      <c r="L206" s="33"/>
      <c r="M206" s="38"/>
      <c r="N206" s="41"/>
    </row>
    <row r="207" spans="4:14" x14ac:dyDescent="0.25">
      <c r="D207" s="34"/>
      <c r="E207" s="34"/>
      <c r="F207" s="62"/>
      <c r="G207" s="37"/>
      <c r="H207" s="64"/>
      <c r="I207" s="40"/>
      <c r="J207" s="40"/>
      <c r="K207" s="33"/>
      <c r="L207" s="33"/>
      <c r="M207" s="38"/>
      <c r="N207" s="41"/>
    </row>
    <row r="208" spans="4:14" x14ac:dyDescent="0.25">
      <c r="D208" s="34"/>
      <c r="E208" s="34"/>
      <c r="F208" s="62"/>
      <c r="G208" s="37"/>
      <c r="H208" s="64"/>
      <c r="I208" s="40"/>
      <c r="J208" s="40"/>
      <c r="K208" s="33"/>
      <c r="L208" s="33"/>
      <c r="M208" s="38"/>
      <c r="N208" s="41"/>
    </row>
    <row r="209" spans="4:14" x14ac:dyDescent="0.25">
      <c r="D209" s="34"/>
      <c r="E209" s="34"/>
      <c r="F209" s="62"/>
      <c r="G209" s="37"/>
      <c r="H209" s="64"/>
      <c r="I209" s="40"/>
      <c r="J209" s="40"/>
      <c r="K209" s="33"/>
      <c r="L209" s="33"/>
      <c r="M209" s="38"/>
      <c r="N209" s="41"/>
    </row>
    <row r="210" spans="4:14" x14ac:dyDescent="0.25">
      <c r="D210" s="34"/>
      <c r="E210" s="34"/>
      <c r="F210" s="62"/>
      <c r="G210" s="37"/>
      <c r="H210" s="64"/>
      <c r="I210" s="40"/>
      <c r="J210" s="40"/>
      <c r="K210" s="33"/>
      <c r="L210" s="33"/>
      <c r="M210" s="38"/>
      <c r="N210" s="41"/>
    </row>
    <row r="211" spans="4:14" x14ac:dyDescent="0.25">
      <c r="D211" s="34"/>
      <c r="E211" s="34"/>
      <c r="F211" s="62"/>
      <c r="G211" s="37"/>
      <c r="H211" s="64"/>
      <c r="I211" s="40"/>
      <c r="J211" s="40"/>
      <c r="K211" s="33"/>
      <c r="L211" s="33"/>
      <c r="M211" s="38"/>
      <c r="N211" s="41"/>
    </row>
    <row r="212" spans="4:14" x14ac:dyDescent="0.25">
      <c r="D212" s="34"/>
      <c r="E212" s="34"/>
      <c r="F212" s="62"/>
      <c r="G212" s="37"/>
      <c r="H212" s="64"/>
      <c r="I212" s="40"/>
      <c r="J212" s="40"/>
      <c r="K212" s="33"/>
      <c r="L212" s="33"/>
      <c r="M212" s="38"/>
      <c r="N212" s="41"/>
    </row>
    <row r="213" spans="4:14" x14ac:dyDescent="0.25">
      <c r="D213" s="34"/>
      <c r="E213" s="34"/>
      <c r="F213" s="62"/>
      <c r="G213" s="37"/>
      <c r="H213" s="64"/>
      <c r="I213" s="40"/>
      <c r="J213" s="40"/>
      <c r="K213" s="33"/>
      <c r="L213" s="33"/>
      <c r="M213" s="38"/>
      <c r="N213" s="41"/>
    </row>
    <row r="214" spans="4:14" x14ac:dyDescent="0.25">
      <c r="D214" s="34"/>
      <c r="E214" s="34"/>
      <c r="F214" s="62"/>
      <c r="G214" s="37"/>
      <c r="H214" s="64"/>
      <c r="I214" s="40"/>
      <c r="J214" s="40"/>
      <c r="K214" s="33"/>
      <c r="L214" s="33"/>
      <c r="M214" s="38"/>
      <c r="N214" s="41"/>
    </row>
    <row r="215" spans="4:14" x14ac:dyDescent="0.25">
      <c r="D215" s="34"/>
      <c r="E215" s="34"/>
      <c r="F215" s="62"/>
      <c r="G215" s="37"/>
      <c r="H215" s="64"/>
      <c r="I215" s="40"/>
      <c r="J215" s="40"/>
      <c r="K215" s="33"/>
      <c r="L215" s="33"/>
      <c r="M215" s="38"/>
      <c r="N215" s="41"/>
    </row>
    <row r="216" spans="4:14" x14ac:dyDescent="0.25">
      <c r="D216" s="34"/>
      <c r="E216" s="34"/>
      <c r="F216" s="62"/>
      <c r="G216" s="37"/>
      <c r="H216" s="64"/>
      <c r="I216" s="40"/>
      <c r="J216" s="40"/>
      <c r="K216" s="33"/>
      <c r="L216" s="33"/>
      <c r="M216" s="38"/>
      <c r="N216" s="41"/>
    </row>
    <row r="217" spans="4:14" x14ac:dyDescent="0.25">
      <c r="D217" s="34"/>
      <c r="E217" s="34"/>
      <c r="F217" s="62"/>
      <c r="G217" s="37"/>
      <c r="H217" s="64"/>
      <c r="I217" s="40"/>
      <c r="J217" s="40"/>
      <c r="K217" s="33"/>
      <c r="L217" s="33"/>
      <c r="M217" s="38"/>
      <c r="N217" s="41"/>
    </row>
    <row r="218" spans="4:14" x14ac:dyDescent="0.25">
      <c r="D218" s="34"/>
      <c r="E218" s="34"/>
      <c r="F218" s="62"/>
      <c r="G218" s="37"/>
      <c r="H218" s="64"/>
      <c r="I218" s="40"/>
      <c r="J218" s="40"/>
      <c r="K218" s="33"/>
      <c r="L218" s="33"/>
      <c r="M218" s="38"/>
      <c r="N218" s="41"/>
    </row>
    <row r="219" spans="4:14" x14ac:dyDescent="0.25">
      <c r="D219" s="34"/>
      <c r="E219" s="34"/>
      <c r="F219" s="62"/>
      <c r="G219" s="37"/>
      <c r="H219" s="64"/>
      <c r="I219" s="40"/>
      <c r="J219" s="40"/>
      <c r="K219" s="33"/>
      <c r="L219" s="33"/>
      <c r="M219" s="38"/>
      <c r="N219" s="41"/>
    </row>
    <row r="220" spans="4:14" x14ac:dyDescent="0.25">
      <c r="D220" s="34"/>
      <c r="E220" s="34"/>
      <c r="F220" s="62"/>
      <c r="G220" s="37"/>
      <c r="H220" s="64"/>
      <c r="I220" s="40"/>
      <c r="J220" s="40"/>
      <c r="K220" s="33"/>
      <c r="L220" s="33"/>
      <c r="M220" s="38"/>
      <c r="N220" s="41"/>
    </row>
    <row r="221" spans="4:14" x14ac:dyDescent="0.25">
      <c r="D221" s="34"/>
      <c r="E221" s="34"/>
      <c r="F221" s="62"/>
      <c r="G221" s="37"/>
      <c r="H221" s="64"/>
      <c r="I221" s="40"/>
      <c r="J221" s="40"/>
      <c r="K221" s="33"/>
      <c r="L221" s="33"/>
      <c r="M221" s="38"/>
      <c r="N221" s="41"/>
    </row>
    <row r="222" spans="4:14" x14ac:dyDescent="0.25">
      <c r="D222" s="34"/>
      <c r="E222" s="34"/>
      <c r="F222" s="62"/>
      <c r="G222" s="37"/>
      <c r="H222" s="64"/>
      <c r="I222" s="40"/>
      <c r="J222" s="40"/>
      <c r="K222" s="33"/>
      <c r="L222" s="33"/>
      <c r="M222" s="38"/>
      <c r="N222" s="41"/>
    </row>
    <row r="223" spans="4:14" x14ac:dyDescent="0.25">
      <c r="D223" s="34"/>
      <c r="E223" s="34"/>
      <c r="F223" s="62"/>
      <c r="G223" s="37"/>
      <c r="H223" s="64"/>
      <c r="I223" s="40"/>
      <c r="J223" s="40"/>
      <c r="K223" s="33"/>
      <c r="L223" s="33"/>
      <c r="M223" s="38"/>
      <c r="N223" s="41"/>
    </row>
    <row r="224" spans="4:14" x14ac:dyDescent="0.25">
      <c r="D224" s="34"/>
      <c r="E224" s="34"/>
      <c r="F224" s="62"/>
      <c r="G224" s="37"/>
      <c r="H224" s="64"/>
      <c r="I224" s="40"/>
      <c r="J224" s="40"/>
      <c r="K224" s="33"/>
      <c r="L224" s="33"/>
      <c r="M224" s="38"/>
      <c r="N224" s="41"/>
    </row>
    <row r="225" spans="4:14" x14ac:dyDescent="0.25">
      <c r="D225" s="34"/>
      <c r="E225" s="34"/>
      <c r="F225" s="62"/>
      <c r="G225" s="37"/>
      <c r="H225" s="64"/>
      <c r="I225" s="40"/>
      <c r="J225" s="40"/>
      <c r="K225" s="33"/>
      <c r="L225" s="33"/>
      <c r="M225" s="38"/>
      <c r="N225" s="41"/>
    </row>
    <row r="226" spans="4:14" x14ac:dyDescent="0.25">
      <c r="D226" s="34"/>
      <c r="E226" s="34"/>
      <c r="F226" s="62"/>
      <c r="G226" s="37"/>
      <c r="H226" s="64"/>
      <c r="I226" s="40"/>
      <c r="J226" s="40"/>
      <c r="K226" s="33"/>
      <c r="L226" s="33"/>
      <c r="M226" s="38"/>
      <c r="N226" s="41"/>
    </row>
    <row r="227" spans="4:14" x14ac:dyDescent="0.25">
      <c r="D227" s="34"/>
      <c r="E227" s="34"/>
      <c r="F227" s="62"/>
      <c r="G227" s="37"/>
      <c r="H227" s="64"/>
      <c r="I227" s="40"/>
      <c r="J227" s="40"/>
      <c r="K227" s="33"/>
      <c r="L227" s="33"/>
      <c r="M227" s="38"/>
      <c r="N227" s="41"/>
    </row>
    <row r="228" spans="4:14" x14ac:dyDescent="0.25">
      <c r="D228" s="34"/>
      <c r="E228" s="34"/>
      <c r="F228" s="62"/>
      <c r="G228" s="37"/>
      <c r="H228" s="64"/>
      <c r="I228" s="40"/>
      <c r="J228" s="40"/>
      <c r="K228" s="33"/>
      <c r="L228" s="33"/>
      <c r="M228" s="38"/>
      <c r="N228" s="41"/>
    </row>
    <row r="229" spans="4:14" x14ac:dyDescent="0.25">
      <c r="D229" s="34"/>
      <c r="E229" s="34"/>
      <c r="F229" s="62"/>
      <c r="G229" s="37"/>
      <c r="H229" s="64"/>
      <c r="I229" s="40"/>
      <c r="J229" s="40"/>
      <c r="K229" s="33"/>
      <c r="L229" s="33"/>
      <c r="M229" s="38"/>
      <c r="N229" s="41"/>
    </row>
    <row r="230" spans="4:14" x14ac:dyDescent="0.25">
      <c r="D230" s="34"/>
      <c r="E230" s="34"/>
      <c r="F230" s="62"/>
      <c r="G230" s="37"/>
      <c r="H230" s="64"/>
      <c r="I230" s="40"/>
      <c r="J230" s="40"/>
      <c r="K230" s="33"/>
      <c r="L230" s="33"/>
      <c r="M230" s="38"/>
      <c r="N230" s="41"/>
    </row>
    <row r="231" spans="4:14" x14ac:dyDescent="0.25">
      <c r="D231" s="34"/>
      <c r="E231" s="34"/>
      <c r="F231" s="62"/>
      <c r="G231" s="37"/>
      <c r="H231" s="64"/>
      <c r="I231" s="40"/>
      <c r="J231" s="40"/>
      <c r="K231" s="33"/>
      <c r="L231" s="33"/>
      <c r="M231" s="38"/>
      <c r="N231" s="41"/>
    </row>
    <row r="232" spans="4:14" x14ac:dyDescent="0.25">
      <c r="D232" s="34"/>
      <c r="E232" s="34"/>
      <c r="F232" s="62"/>
      <c r="G232" s="37"/>
      <c r="H232" s="64"/>
      <c r="I232" s="40"/>
      <c r="J232" s="40"/>
      <c r="K232" s="33"/>
      <c r="L232" s="33"/>
      <c r="M232" s="38"/>
      <c r="N232" s="41"/>
    </row>
    <row r="233" spans="4:14" x14ac:dyDescent="0.25">
      <c r="D233" s="34"/>
      <c r="E233" s="34"/>
      <c r="F233" s="62"/>
      <c r="G233" s="37"/>
      <c r="H233" s="64"/>
      <c r="I233" s="40"/>
      <c r="J233" s="40"/>
      <c r="K233" s="33"/>
      <c r="L233" s="33"/>
      <c r="M233" s="38"/>
      <c r="N233" s="41"/>
    </row>
    <row r="234" spans="4:14" x14ac:dyDescent="0.25">
      <c r="D234" s="34"/>
      <c r="E234" s="34"/>
      <c r="F234" s="62"/>
      <c r="G234" s="37"/>
      <c r="H234" s="64"/>
      <c r="I234" s="40"/>
      <c r="J234" s="40"/>
      <c r="K234" s="33"/>
      <c r="L234" s="33"/>
      <c r="M234" s="38"/>
      <c r="N234" s="41"/>
    </row>
    <row r="235" spans="4:14" x14ac:dyDescent="0.25">
      <c r="D235" s="34"/>
      <c r="E235" s="34"/>
      <c r="F235" s="62"/>
      <c r="G235" s="37"/>
      <c r="H235" s="64"/>
      <c r="I235" s="40"/>
      <c r="J235" s="40"/>
      <c r="K235" s="33"/>
      <c r="L235" s="33"/>
      <c r="M235" s="38"/>
      <c r="N235" s="41"/>
    </row>
    <row r="236" spans="4:14" x14ac:dyDescent="0.25">
      <c r="D236" s="34"/>
      <c r="E236" s="34"/>
      <c r="F236" s="62"/>
      <c r="G236" s="37"/>
      <c r="H236" s="64"/>
      <c r="I236" s="40"/>
      <c r="J236" s="40"/>
      <c r="K236" s="33"/>
      <c r="L236" s="33"/>
      <c r="M236" s="38"/>
      <c r="N236" s="41"/>
    </row>
    <row r="237" spans="4:14" x14ac:dyDescent="0.25">
      <c r="D237" s="34"/>
      <c r="E237" s="34"/>
      <c r="F237" s="62"/>
      <c r="G237" s="37"/>
      <c r="H237" s="64"/>
      <c r="I237" s="40"/>
      <c r="J237" s="40"/>
      <c r="K237" s="33"/>
      <c r="L237" s="33"/>
      <c r="M237" s="38"/>
      <c r="N237" s="41"/>
    </row>
    <row r="238" spans="4:14" x14ac:dyDescent="0.25">
      <c r="D238" s="34"/>
      <c r="E238" s="34"/>
      <c r="F238" s="62"/>
      <c r="G238" s="37"/>
      <c r="H238" s="64"/>
      <c r="I238" s="40"/>
      <c r="J238" s="40"/>
      <c r="K238" s="33"/>
      <c r="L238" s="33"/>
      <c r="M238" s="38"/>
      <c r="N238" s="41"/>
    </row>
    <row r="239" spans="4:14" x14ac:dyDescent="0.25">
      <c r="D239" s="34"/>
      <c r="E239" s="34"/>
      <c r="F239" s="62"/>
      <c r="G239" s="37"/>
      <c r="H239" s="64"/>
      <c r="I239" s="40"/>
      <c r="J239" s="40"/>
      <c r="K239" s="33"/>
      <c r="L239" s="33"/>
      <c r="M239" s="38"/>
      <c r="N239" s="41"/>
    </row>
    <row r="240" spans="4:14" x14ac:dyDescent="0.25">
      <c r="D240" s="34"/>
      <c r="E240" s="34"/>
      <c r="F240" s="62"/>
      <c r="G240" s="37"/>
      <c r="H240" s="64"/>
      <c r="I240" s="40"/>
      <c r="J240" s="40"/>
      <c r="K240" s="33"/>
      <c r="L240" s="33"/>
      <c r="M240" s="38"/>
      <c r="N240" s="41"/>
    </row>
    <row r="241" spans="4:14" x14ac:dyDescent="0.25">
      <c r="D241" s="34"/>
      <c r="E241" s="34"/>
      <c r="F241" s="62"/>
      <c r="G241" s="37"/>
      <c r="H241" s="64"/>
      <c r="I241" s="40"/>
      <c r="J241" s="40"/>
      <c r="K241" s="33"/>
      <c r="L241" s="33"/>
      <c r="M241" s="38"/>
      <c r="N241" s="41"/>
    </row>
    <row r="242" spans="4:14" x14ac:dyDescent="0.25">
      <c r="D242" s="34"/>
      <c r="E242" s="34"/>
      <c r="F242" s="62"/>
      <c r="G242" s="37"/>
      <c r="H242" s="64"/>
      <c r="I242" s="40"/>
      <c r="J242" s="40"/>
      <c r="K242" s="33"/>
      <c r="L242" s="33"/>
      <c r="M242" s="38"/>
      <c r="N242" s="41"/>
    </row>
    <row r="243" spans="4:14" x14ac:dyDescent="0.25">
      <c r="D243" s="34"/>
      <c r="E243" s="34"/>
      <c r="F243" s="62"/>
      <c r="G243" s="37"/>
      <c r="H243" s="64"/>
      <c r="I243" s="40"/>
      <c r="J243" s="40"/>
      <c r="K243" s="33"/>
      <c r="L243" s="33"/>
      <c r="M243" s="38"/>
      <c r="N243" s="41"/>
    </row>
    <row r="244" spans="4:14" x14ac:dyDescent="0.25">
      <c r="D244" s="34"/>
      <c r="E244" s="34"/>
      <c r="F244" s="62"/>
      <c r="G244" s="37"/>
      <c r="H244" s="64"/>
      <c r="I244" s="40"/>
      <c r="J244" s="40"/>
      <c r="K244" s="33"/>
      <c r="L244" s="33"/>
      <c r="M244" s="38"/>
      <c r="N244" s="41"/>
    </row>
    <row r="245" spans="4:14" x14ac:dyDescent="0.25">
      <c r="D245" s="34"/>
      <c r="E245" s="34"/>
      <c r="F245" s="62"/>
      <c r="G245" s="37"/>
      <c r="H245" s="64"/>
      <c r="I245" s="40"/>
      <c r="J245" s="40"/>
      <c r="K245" s="33"/>
      <c r="L245" s="33"/>
      <c r="M245" s="38"/>
      <c r="N245" s="41"/>
    </row>
    <row r="246" spans="4:14" x14ac:dyDescent="0.25">
      <c r="D246" s="34"/>
      <c r="E246" s="34"/>
      <c r="F246" s="62"/>
      <c r="G246" s="37"/>
      <c r="H246" s="64"/>
      <c r="I246" s="40"/>
      <c r="J246" s="40"/>
      <c r="K246" s="33"/>
      <c r="L246" s="33"/>
      <c r="M246" s="38"/>
      <c r="N246" s="41"/>
    </row>
    <row r="247" spans="4:14" x14ac:dyDescent="0.25">
      <c r="D247" s="34"/>
      <c r="E247" s="34"/>
      <c r="F247" s="62"/>
      <c r="G247" s="37"/>
      <c r="H247" s="64"/>
      <c r="I247" s="40"/>
      <c r="J247" s="40"/>
      <c r="K247" s="33"/>
      <c r="L247" s="33"/>
      <c r="M247" s="38"/>
      <c r="N247" s="41"/>
    </row>
    <row r="248" spans="4:14" x14ac:dyDescent="0.25">
      <c r="D248" s="34"/>
      <c r="E248" s="34"/>
      <c r="F248" s="62"/>
      <c r="G248" s="37"/>
      <c r="H248" s="64"/>
      <c r="I248" s="40"/>
      <c r="J248" s="40"/>
      <c r="K248" s="33"/>
      <c r="L248" s="33"/>
      <c r="M248" s="38"/>
      <c r="N248" s="41"/>
    </row>
    <row r="249" spans="4:14" x14ac:dyDescent="0.25">
      <c r="D249" s="34"/>
      <c r="E249" s="34"/>
      <c r="F249" s="62"/>
      <c r="G249" s="37"/>
      <c r="H249" s="64"/>
      <c r="I249" s="40"/>
      <c r="J249" s="40"/>
      <c r="K249" s="33"/>
      <c r="L249" s="33"/>
      <c r="M249" s="38"/>
      <c r="N249" s="41"/>
    </row>
    <row r="250" spans="4:14" x14ac:dyDescent="0.25">
      <c r="D250" s="34"/>
      <c r="E250" s="34"/>
      <c r="F250" s="62"/>
      <c r="G250" s="37"/>
      <c r="H250" s="64"/>
      <c r="I250" s="40"/>
      <c r="J250" s="40"/>
      <c r="K250" s="33"/>
      <c r="L250" s="33"/>
      <c r="M250" s="38"/>
      <c r="N250" s="41"/>
    </row>
    <row r="251" spans="4:14" x14ac:dyDescent="0.25">
      <c r="D251" s="34"/>
      <c r="E251" s="34"/>
      <c r="F251" s="62"/>
      <c r="G251" s="37"/>
      <c r="H251" s="64"/>
      <c r="I251" s="40"/>
      <c r="J251" s="40"/>
      <c r="K251" s="33"/>
      <c r="L251" s="33"/>
      <c r="M251" s="38"/>
      <c r="N251" s="41"/>
    </row>
    <row r="252" spans="4:14" x14ac:dyDescent="0.25">
      <c r="D252" s="34"/>
      <c r="E252" s="34"/>
      <c r="F252" s="62"/>
      <c r="G252" s="37"/>
      <c r="H252" s="64"/>
      <c r="I252" s="40"/>
      <c r="J252" s="40"/>
      <c r="K252" s="33"/>
      <c r="L252" s="33"/>
      <c r="M252" s="38"/>
      <c r="N252" s="41"/>
    </row>
    <row r="253" spans="4:14" x14ac:dyDescent="0.25">
      <c r="D253" s="34"/>
      <c r="E253" s="34"/>
      <c r="F253" s="62"/>
      <c r="G253" s="37"/>
      <c r="H253" s="64"/>
      <c r="I253" s="40"/>
      <c r="J253" s="40"/>
      <c r="K253" s="33"/>
      <c r="L253" s="33"/>
      <c r="M253" s="38"/>
      <c r="N253" s="41"/>
    </row>
    <row r="254" spans="4:14" x14ac:dyDescent="0.25">
      <c r="D254" s="34"/>
      <c r="E254" s="34"/>
      <c r="F254" s="62"/>
      <c r="G254" s="37"/>
      <c r="H254" s="64"/>
      <c r="I254" s="40"/>
      <c r="J254" s="40"/>
      <c r="K254" s="33"/>
      <c r="L254" s="33"/>
      <c r="M254" s="38"/>
      <c r="N254" s="41"/>
    </row>
    <row r="255" spans="4:14" x14ac:dyDescent="0.25">
      <c r="D255" s="34"/>
      <c r="E255" s="34"/>
      <c r="F255" s="62"/>
      <c r="G255" s="37"/>
      <c r="H255" s="64"/>
      <c r="I255" s="40"/>
      <c r="J255" s="40"/>
      <c r="K255" s="33"/>
      <c r="L255" s="33"/>
      <c r="M255" s="38"/>
      <c r="N255" s="41"/>
    </row>
    <row r="256" spans="4:14" x14ac:dyDescent="0.25">
      <c r="D256" s="34"/>
      <c r="E256" s="34"/>
      <c r="F256" s="62"/>
      <c r="G256" s="37"/>
      <c r="H256" s="64"/>
      <c r="I256" s="40"/>
      <c r="J256" s="40"/>
      <c r="K256" s="33"/>
      <c r="L256" s="33"/>
      <c r="M256" s="38"/>
      <c r="N256" s="41"/>
    </row>
    <row r="257" spans="4:14" x14ac:dyDescent="0.25">
      <c r="D257" s="34"/>
      <c r="E257" s="34"/>
      <c r="F257" s="62"/>
      <c r="G257" s="37"/>
      <c r="H257" s="64"/>
      <c r="I257" s="40"/>
      <c r="J257" s="40"/>
      <c r="K257" s="33"/>
      <c r="L257" s="33"/>
      <c r="M257" s="38"/>
      <c r="N257" s="41"/>
    </row>
    <row r="258" spans="4:14" x14ac:dyDescent="0.25">
      <c r="D258" s="34"/>
      <c r="E258" s="34"/>
      <c r="F258" s="62"/>
      <c r="G258" s="37"/>
      <c r="H258" s="64"/>
      <c r="I258" s="40"/>
      <c r="J258" s="40"/>
      <c r="K258" s="33"/>
      <c r="L258" s="33"/>
      <c r="M258" s="38"/>
      <c r="N258" s="41"/>
    </row>
    <row r="259" spans="4:14" x14ac:dyDescent="0.25">
      <c r="D259" s="34"/>
      <c r="E259" s="34"/>
      <c r="F259" s="62"/>
      <c r="G259" s="37"/>
      <c r="H259" s="64"/>
      <c r="I259" s="40"/>
      <c r="J259" s="40"/>
      <c r="K259" s="33"/>
      <c r="L259" s="33"/>
      <c r="M259" s="38"/>
      <c r="N259" s="41"/>
    </row>
    <row r="260" spans="4:14" x14ac:dyDescent="0.25">
      <c r="D260" s="34"/>
      <c r="E260" s="34"/>
      <c r="F260" s="62"/>
      <c r="G260" s="37"/>
      <c r="H260" s="64"/>
      <c r="I260" s="40"/>
      <c r="J260" s="40"/>
      <c r="K260" s="33"/>
      <c r="L260" s="33"/>
      <c r="M260" s="38"/>
      <c r="N260" s="41"/>
    </row>
    <row r="261" spans="4:14" x14ac:dyDescent="0.25">
      <c r="D261" s="34"/>
      <c r="E261" s="34"/>
      <c r="F261" s="62"/>
      <c r="G261" s="37"/>
      <c r="H261" s="64"/>
      <c r="I261" s="40"/>
      <c r="J261" s="40"/>
      <c r="K261" s="33"/>
      <c r="L261" s="33"/>
      <c r="M261" s="38"/>
      <c r="N261" s="41"/>
    </row>
    <row r="262" spans="4:14" x14ac:dyDescent="0.25">
      <c r="D262" s="34"/>
      <c r="E262" s="34"/>
      <c r="F262" s="62"/>
      <c r="G262" s="37"/>
      <c r="H262" s="64"/>
      <c r="I262" s="40"/>
      <c r="J262" s="40"/>
      <c r="K262" s="33"/>
      <c r="L262" s="33"/>
      <c r="M262" s="38"/>
      <c r="N262" s="41"/>
    </row>
    <row r="263" spans="4:14" x14ac:dyDescent="0.25">
      <c r="D263" s="34"/>
      <c r="E263" s="34"/>
      <c r="F263" s="62"/>
      <c r="G263" s="37"/>
      <c r="H263" s="64"/>
      <c r="I263" s="40"/>
      <c r="J263" s="40"/>
      <c r="K263" s="33"/>
      <c r="L263" s="33"/>
      <c r="M263" s="38"/>
      <c r="N263" s="41"/>
    </row>
    <row r="264" spans="4:14" x14ac:dyDescent="0.25">
      <c r="D264" s="34"/>
      <c r="E264" s="34"/>
      <c r="F264" s="62"/>
      <c r="G264" s="37"/>
      <c r="H264" s="64"/>
      <c r="I264" s="40"/>
      <c r="J264" s="40"/>
      <c r="K264" s="33"/>
      <c r="L264" s="33"/>
      <c r="M264" s="38"/>
      <c r="N264" s="41"/>
    </row>
    <row r="265" spans="4:14" x14ac:dyDescent="0.25">
      <c r="D265" s="34"/>
      <c r="E265" s="34"/>
      <c r="F265" s="62"/>
      <c r="G265" s="37"/>
      <c r="H265" s="64"/>
      <c r="I265" s="40"/>
      <c r="J265" s="40"/>
      <c r="K265" s="33"/>
      <c r="L265" s="33"/>
      <c r="M265" s="38"/>
      <c r="N265" s="41"/>
    </row>
    <row r="266" spans="4:14" x14ac:dyDescent="0.25">
      <c r="D266" s="34"/>
      <c r="E266" s="34"/>
      <c r="F266" s="62"/>
      <c r="G266" s="37"/>
      <c r="H266" s="64"/>
      <c r="I266" s="40"/>
      <c r="J266" s="40"/>
      <c r="K266" s="33"/>
      <c r="L266" s="33"/>
      <c r="M266" s="38"/>
      <c r="N266" s="41"/>
    </row>
    <row r="267" spans="4:14" x14ac:dyDescent="0.25">
      <c r="D267" s="34"/>
      <c r="E267" s="34"/>
      <c r="F267" s="62"/>
      <c r="G267" s="37"/>
      <c r="H267" s="64"/>
      <c r="I267" s="40"/>
      <c r="J267" s="40"/>
      <c r="K267" s="33"/>
      <c r="L267" s="33"/>
      <c r="M267" s="38"/>
      <c r="N267" s="41"/>
    </row>
    <row r="268" spans="4:14" x14ac:dyDescent="0.25">
      <c r="D268" s="34"/>
      <c r="E268" s="34"/>
      <c r="F268" s="62"/>
      <c r="G268" s="37"/>
      <c r="H268" s="64"/>
      <c r="I268" s="40"/>
      <c r="J268" s="40"/>
      <c r="K268" s="33"/>
      <c r="L268" s="33"/>
      <c r="M268" s="38"/>
      <c r="N268" s="41"/>
    </row>
    <row r="269" spans="4:14" x14ac:dyDescent="0.25">
      <c r="D269" s="34"/>
      <c r="E269" s="34"/>
      <c r="F269" s="62"/>
      <c r="G269" s="37"/>
      <c r="H269" s="64"/>
      <c r="I269" s="40"/>
      <c r="J269" s="40"/>
      <c r="K269" s="33"/>
      <c r="L269" s="33"/>
      <c r="M269" s="38"/>
      <c r="N269" s="41"/>
    </row>
    <row r="270" spans="4:14" x14ac:dyDescent="0.25">
      <c r="D270" s="34"/>
      <c r="E270" s="34"/>
      <c r="F270" s="62"/>
      <c r="G270" s="37"/>
      <c r="H270" s="64"/>
      <c r="I270" s="40"/>
      <c r="J270" s="40"/>
      <c r="K270" s="33"/>
      <c r="L270" s="33"/>
      <c r="M270" s="38"/>
      <c r="N270" s="41"/>
    </row>
    <row r="271" spans="4:14" x14ac:dyDescent="0.25">
      <c r="D271" s="34"/>
      <c r="E271" s="34"/>
      <c r="F271" s="62"/>
      <c r="G271" s="37"/>
      <c r="H271" s="64"/>
      <c r="I271" s="40"/>
      <c r="J271" s="40"/>
      <c r="K271" s="33"/>
      <c r="L271" s="33"/>
      <c r="M271" s="38"/>
      <c r="N271" s="41"/>
    </row>
    <row r="272" spans="4:14" x14ac:dyDescent="0.25">
      <c r="D272" s="34"/>
      <c r="E272" s="34"/>
      <c r="F272" s="62"/>
      <c r="G272" s="37"/>
      <c r="H272" s="64"/>
      <c r="I272" s="40"/>
      <c r="J272" s="40"/>
      <c r="K272" s="33"/>
      <c r="L272" s="33"/>
      <c r="M272" s="38"/>
      <c r="N272" s="41"/>
    </row>
    <row r="273" spans="4:14" x14ac:dyDescent="0.25">
      <c r="D273" s="34"/>
      <c r="E273" s="34"/>
      <c r="F273" s="62"/>
      <c r="G273" s="37"/>
      <c r="H273" s="64"/>
      <c r="I273" s="40"/>
      <c r="J273" s="40"/>
      <c r="K273" s="33"/>
      <c r="L273" s="33"/>
      <c r="M273" s="38"/>
      <c r="N273" s="41"/>
    </row>
    <row r="274" spans="4:14" x14ac:dyDescent="0.25">
      <c r="D274" s="34"/>
      <c r="E274" s="34"/>
      <c r="F274" s="62"/>
      <c r="G274" s="37"/>
      <c r="H274" s="64"/>
      <c r="I274" s="40"/>
      <c r="J274" s="40"/>
      <c r="K274" s="33"/>
      <c r="L274" s="33"/>
      <c r="M274" s="38"/>
      <c r="N274" s="41"/>
    </row>
    <row r="275" spans="4:14" x14ac:dyDescent="0.25">
      <c r="D275" s="34"/>
      <c r="E275" s="34"/>
      <c r="F275" s="62"/>
      <c r="G275" s="37"/>
      <c r="H275" s="64"/>
      <c r="I275" s="40"/>
      <c r="J275" s="40"/>
      <c r="K275" s="33"/>
      <c r="L275" s="33"/>
      <c r="M275" s="38"/>
      <c r="N275" s="41"/>
    </row>
    <row r="276" spans="4:14" x14ac:dyDescent="0.25">
      <c r="D276" s="34"/>
      <c r="E276" s="34"/>
      <c r="F276" s="62"/>
      <c r="G276" s="37"/>
      <c r="H276" s="64"/>
      <c r="I276" s="40"/>
      <c r="J276" s="40"/>
      <c r="K276" s="33"/>
      <c r="L276" s="33"/>
      <c r="M276" s="38"/>
      <c r="N276" s="41"/>
    </row>
    <row r="277" spans="4:14" x14ac:dyDescent="0.25">
      <c r="D277" s="34"/>
      <c r="E277" s="34"/>
      <c r="F277" s="62"/>
      <c r="G277" s="37"/>
      <c r="H277" s="64"/>
      <c r="I277" s="40"/>
      <c r="J277" s="40"/>
      <c r="K277" s="33"/>
      <c r="L277" s="33"/>
      <c r="M277" s="38"/>
      <c r="N277" s="41"/>
    </row>
    <row r="278" spans="4:14" x14ac:dyDescent="0.25">
      <c r="D278" s="34"/>
      <c r="E278" s="34"/>
      <c r="F278" s="62"/>
      <c r="G278" s="37"/>
      <c r="H278" s="64"/>
      <c r="I278" s="40"/>
      <c r="J278" s="40"/>
      <c r="K278" s="33"/>
      <c r="L278" s="33"/>
      <c r="M278" s="38"/>
      <c r="N278" s="41"/>
    </row>
    <row r="279" spans="4:14" x14ac:dyDescent="0.25">
      <c r="D279" s="34"/>
      <c r="E279" s="34"/>
      <c r="F279" s="62"/>
      <c r="G279" s="37"/>
      <c r="H279" s="64"/>
      <c r="I279" s="40"/>
      <c r="J279" s="40"/>
      <c r="K279" s="33"/>
      <c r="L279" s="33"/>
      <c r="M279" s="38"/>
      <c r="N279" s="41"/>
    </row>
    <row r="280" spans="4:14" x14ac:dyDescent="0.25">
      <c r="D280" s="34"/>
      <c r="E280" s="34"/>
      <c r="F280" s="62"/>
      <c r="G280" s="37"/>
      <c r="H280" s="64"/>
      <c r="I280" s="40"/>
      <c r="J280" s="40"/>
      <c r="K280" s="33"/>
      <c r="L280" s="33"/>
      <c r="M280" s="38"/>
      <c r="N280" s="41"/>
    </row>
    <row r="281" spans="4:14" x14ac:dyDescent="0.25">
      <c r="D281" s="34"/>
      <c r="E281" s="34"/>
      <c r="F281" s="62"/>
      <c r="G281" s="37"/>
      <c r="H281" s="64"/>
      <c r="I281" s="40"/>
      <c r="J281" s="40"/>
      <c r="K281" s="33"/>
      <c r="L281" s="33"/>
      <c r="M281" s="38"/>
      <c r="N281" s="41"/>
    </row>
    <row r="282" spans="4:14" x14ac:dyDescent="0.25">
      <c r="D282" s="34"/>
      <c r="E282" s="34"/>
      <c r="F282" s="62"/>
      <c r="G282" s="37"/>
      <c r="H282" s="64"/>
      <c r="I282" s="40"/>
      <c r="J282" s="40"/>
      <c r="K282" s="33"/>
      <c r="L282" s="33"/>
      <c r="M282" s="38"/>
      <c r="N282" s="41"/>
    </row>
    <row r="283" spans="4:14" x14ac:dyDescent="0.25">
      <c r="D283" s="34"/>
      <c r="E283" s="34"/>
      <c r="F283" s="62"/>
      <c r="G283" s="37"/>
      <c r="H283" s="64"/>
      <c r="I283" s="40"/>
      <c r="J283" s="40"/>
      <c r="K283" s="33"/>
      <c r="L283" s="33"/>
      <c r="M283" s="38"/>
      <c r="N283" s="41"/>
    </row>
    <row r="284" spans="4:14" x14ac:dyDescent="0.25">
      <c r="D284" s="34"/>
      <c r="E284" s="34"/>
      <c r="F284" s="62"/>
      <c r="G284" s="37"/>
      <c r="H284" s="64"/>
      <c r="I284" s="40"/>
      <c r="J284" s="40"/>
      <c r="K284" s="33"/>
      <c r="L284" s="33"/>
      <c r="M284" s="38"/>
      <c r="N284" s="41"/>
    </row>
    <row r="285" spans="4:14" x14ac:dyDescent="0.25">
      <c r="D285" s="34"/>
      <c r="E285" s="34"/>
      <c r="F285" s="62"/>
      <c r="G285" s="37"/>
      <c r="H285" s="64"/>
      <c r="I285" s="40"/>
      <c r="J285" s="40"/>
      <c r="K285" s="33"/>
      <c r="L285" s="33"/>
      <c r="M285" s="38"/>
      <c r="N285" s="41"/>
    </row>
    <row r="286" spans="4:14" x14ac:dyDescent="0.25">
      <c r="D286" s="34"/>
      <c r="E286" s="34"/>
      <c r="F286" s="62"/>
      <c r="G286" s="37"/>
      <c r="H286" s="64"/>
      <c r="I286" s="40"/>
      <c r="J286" s="40"/>
      <c r="K286" s="33"/>
      <c r="L286" s="33"/>
      <c r="M286" s="38"/>
      <c r="N286" s="41"/>
    </row>
    <row r="287" spans="4:14" x14ac:dyDescent="0.25">
      <c r="D287" s="34"/>
      <c r="E287" s="34"/>
      <c r="F287" s="62"/>
      <c r="G287" s="37"/>
      <c r="H287" s="64"/>
      <c r="I287" s="40"/>
      <c r="J287" s="40"/>
      <c r="K287" s="33"/>
      <c r="L287" s="33"/>
      <c r="M287" s="38"/>
      <c r="N287" s="41"/>
    </row>
    <row r="288" spans="4:14" x14ac:dyDescent="0.25">
      <c r="D288" s="34"/>
      <c r="E288" s="34"/>
      <c r="F288" s="62"/>
      <c r="G288" s="37"/>
      <c r="H288" s="64"/>
      <c r="I288" s="40"/>
      <c r="J288" s="40"/>
      <c r="K288" s="33"/>
      <c r="L288" s="33"/>
      <c r="M288" s="38"/>
      <c r="N288" s="41"/>
    </row>
    <row r="289" spans="4:14" x14ac:dyDescent="0.25">
      <c r="D289" s="34"/>
      <c r="E289" s="34"/>
      <c r="F289" s="62"/>
      <c r="G289" s="37"/>
      <c r="H289" s="64"/>
      <c r="I289" s="40"/>
      <c r="J289" s="40"/>
      <c r="K289" s="33"/>
      <c r="L289" s="33"/>
      <c r="M289" s="38"/>
      <c r="N289" s="41"/>
    </row>
    <row r="290" spans="4:14" x14ac:dyDescent="0.25">
      <c r="D290" s="34"/>
      <c r="E290" s="34"/>
      <c r="F290" s="62"/>
      <c r="G290" s="37"/>
      <c r="H290" s="64"/>
      <c r="I290" s="40"/>
      <c r="J290" s="40"/>
      <c r="K290" s="33"/>
      <c r="L290" s="33"/>
      <c r="M290" s="38"/>
      <c r="N290" s="41"/>
    </row>
    <row r="291" spans="4:14" x14ac:dyDescent="0.25">
      <c r="D291" s="34"/>
      <c r="E291" s="34"/>
      <c r="F291" s="62"/>
      <c r="G291" s="37"/>
      <c r="H291" s="64"/>
      <c r="I291" s="40"/>
      <c r="J291" s="40"/>
      <c r="K291" s="33"/>
      <c r="L291" s="33"/>
      <c r="M291" s="38"/>
      <c r="N291" s="41"/>
    </row>
    <row r="292" spans="4:14" x14ac:dyDescent="0.25">
      <c r="D292" s="34"/>
      <c r="E292" s="34"/>
      <c r="F292" s="62"/>
      <c r="G292" s="37"/>
      <c r="H292" s="64"/>
      <c r="I292" s="40"/>
      <c r="J292" s="40"/>
      <c r="K292" s="33"/>
      <c r="L292" s="33"/>
      <c r="M292" s="38"/>
      <c r="N292" s="41"/>
    </row>
    <row r="293" spans="4:14" x14ac:dyDescent="0.25">
      <c r="D293" s="34"/>
      <c r="E293" s="34"/>
      <c r="F293" s="62"/>
      <c r="G293" s="37"/>
      <c r="H293" s="64"/>
      <c r="I293" s="40"/>
      <c r="J293" s="40"/>
      <c r="K293" s="33"/>
      <c r="L293" s="33"/>
      <c r="M293" s="38"/>
      <c r="N293" s="41"/>
    </row>
    <row r="294" spans="4:14" x14ac:dyDescent="0.25">
      <c r="D294" s="34"/>
      <c r="E294" s="34"/>
      <c r="F294" s="62"/>
      <c r="G294" s="37"/>
      <c r="H294" s="64"/>
      <c r="I294" s="40"/>
      <c r="J294" s="40"/>
      <c r="K294" s="33"/>
      <c r="L294" s="33"/>
      <c r="M294" s="38"/>
      <c r="N294" s="41"/>
    </row>
    <row r="295" spans="4:14" x14ac:dyDescent="0.25">
      <c r="D295" s="34"/>
      <c r="E295" s="34"/>
      <c r="F295" s="62"/>
      <c r="G295" s="37"/>
      <c r="H295" s="64"/>
      <c r="I295" s="40"/>
      <c r="J295" s="40"/>
      <c r="K295" s="33"/>
      <c r="L295" s="33"/>
      <c r="M295" s="38"/>
      <c r="N295" s="41"/>
    </row>
    <row r="296" spans="4:14" x14ac:dyDescent="0.25">
      <c r="D296" s="34"/>
      <c r="E296" s="34"/>
      <c r="F296" s="62"/>
      <c r="G296" s="37"/>
      <c r="H296" s="64"/>
      <c r="I296" s="40"/>
      <c r="J296" s="40"/>
      <c r="K296" s="33"/>
      <c r="L296" s="33"/>
      <c r="M296" s="38"/>
      <c r="N296" s="41"/>
    </row>
    <row r="297" spans="4:14" x14ac:dyDescent="0.25">
      <c r="D297" s="34"/>
      <c r="E297" s="34"/>
      <c r="F297" s="62"/>
      <c r="G297" s="37"/>
      <c r="H297" s="64"/>
      <c r="I297" s="40"/>
      <c r="J297" s="40"/>
      <c r="K297" s="33"/>
      <c r="L297" s="33"/>
      <c r="M297" s="38"/>
      <c r="N297" s="41"/>
    </row>
    <row r="298" spans="4:14" x14ac:dyDescent="0.25">
      <c r="D298" s="34"/>
      <c r="E298" s="34"/>
      <c r="F298" s="62"/>
      <c r="G298" s="37"/>
      <c r="H298" s="64"/>
      <c r="I298" s="40"/>
      <c r="J298" s="40"/>
      <c r="K298" s="33"/>
      <c r="L298" s="33"/>
      <c r="M298" s="38"/>
      <c r="N298" s="41"/>
    </row>
    <row r="299" spans="4:14" x14ac:dyDescent="0.25">
      <c r="D299" s="34"/>
      <c r="E299" s="34"/>
      <c r="F299" s="62"/>
      <c r="G299" s="37"/>
      <c r="H299" s="64"/>
      <c r="I299" s="40"/>
      <c r="J299" s="40"/>
      <c r="K299" s="33"/>
      <c r="L299" s="33"/>
      <c r="M299" s="38"/>
      <c r="N299" s="41"/>
    </row>
    <row r="300" spans="4:14" x14ac:dyDescent="0.25">
      <c r="D300" s="34"/>
      <c r="E300" s="34"/>
      <c r="F300" s="62"/>
      <c r="G300" s="37"/>
      <c r="H300" s="64"/>
      <c r="I300" s="40"/>
      <c r="J300" s="40"/>
      <c r="K300" s="33"/>
      <c r="L300" s="33"/>
      <c r="M300" s="38"/>
      <c r="N300" s="41"/>
    </row>
    <row r="301" spans="4:14" x14ac:dyDescent="0.25">
      <c r="D301" s="34"/>
      <c r="E301" s="34"/>
      <c r="F301" s="62"/>
      <c r="G301" s="37"/>
      <c r="H301" s="64"/>
      <c r="I301" s="40"/>
      <c r="J301" s="40"/>
      <c r="K301" s="33"/>
      <c r="L301" s="33"/>
      <c r="M301" s="38"/>
      <c r="N301" s="41"/>
    </row>
    <row r="302" spans="4:14" x14ac:dyDescent="0.25">
      <c r="D302" s="34"/>
      <c r="E302" s="34"/>
      <c r="F302" s="62"/>
      <c r="G302" s="37"/>
      <c r="H302" s="64"/>
      <c r="I302" s="40"/>
      <c r="J302" s="40"/>
      <c r="K302" s="33"/>
      <c r="L302" s="33"/>
      <c r="M302" s="38"/>
      <c r="N302" s="41"/>
    </row>
    <row r="303" spans="4:14" x14ac:dyDescent="0.25">
      <c r="D303" s="34"/>
      <c r="E303" s="34"/>
      <c r="F303" s="62"/>
      <c r="G303" s="37"/>
      <c r="H303" s="64"/>
      <c r="I303" s="40"/>
      <c r="J303" s="40"/>
      <c r="K303" s="33"/>
      <c r="L303" s="33"/>
      <c r="M303" s="38"/>
      <c r="N303" s="41"/>
    </row>
    <row r="304" spans="4:14" x14ac:dyDescent="0.25">
      <c r="D304" s="34"/>
      <c r="E304" s="34"/>
      <c r="F304" s="62"/>
      <c r="G304" s="37"/>
      <c r="H304" s="64"/>
      <c r="I304" s="40"/>
      <c r="J304" s="40"/>
      <c r="K304" s="33"/>
      <c r="L304" s="33"/>
      <c r="M304" s="38"/>
      <c r="N304" s="41"/>
    </row>
    <row r="305" spans="4:14" x14ac:dyDescent="0.25">
      <c r="D305" s="34"/>
      <c r="E305" s="34"/>
      <c r="F305" s="62"/>
      <c r="G305" s="37"/>
      <c r="H305" s="64"/>
      <c r="I305" s="40"/>
      <c r="J305" s="40"/>
      <c r="K305" s="33"/>
      <c r="L305" s="33"/>
      <c r="M305" s="38"/>
      <c r="N305" s="41"/>
    </row>
    <row r="306" spans="4:14" x14ac:dyDescent="0.25">
      <c r="D306" s="34"/>
      <c r="E306" s="34"/>
      <c r="F306" s="62"/>
      <c r="G306" s="37"/>
      <c r="H306" s="64"/>
      <c r="I306" s="40"/>
      <c r="J306" s="40"/>
      <c r="K306" s="33"/>
      <c r="L306" s="33"/>
      <c r="M306" s="38"/>
      <c r="N306" s="41"/>
    </row>
    <row r="307" spans="4:14" x14ac:dyDescent="0.25">
      <c r="D307" s="34"/>
      <c r="E307" s="34"/>
      <c r="F307" s="62"/>
      <c r="G307" s="37"/>
      <c r="H307" s="64"/>
      <c r="I307" s="40"/>
      <c r="J307" s="40"/>
      <c r="K307" s="33"/>
      <c r="L307" s="33"/>
      <c r="M307" s="38"/>
      <c r="N307" s="41"/>
    </row>
    <row r="308" spans="4:14" x14ac:dyDescent="0.25">
      <c r="D308" s="34"/>
      <c r="E308" s="34"/>
      <c r="F308" s="62"/>
      <c r="G308" s="37"/>
      <c r="H308" s="64"/>
      <c r="I308" s="40"/>
      <c r="J308" s="40"/>
      <c r="K308" s="33"/>
      <c r="L308" s="33"/>
      <c r="M308" s="38"/>
      <c r="N308" s="41"/>
    </row>
    <row r="309" spans="4:14" x14ac:dyDescent="0.25">
      <c r="D309" s="34"/>
      <c r="E309" s="34"/>
      <c r="F309" s="62"/>
      <c r="G309" s="37"/>
      <c r="H309" s="64"/>
      <c r="I309" s="40"/>
      <c r="J309" s="40"/>
      <c r="K309" s="33"/>
      <c r="L309" s="33"/>
      <c r="M309" s="38"/>
      <c r="N309" s="41"/>
    </row>
    <row r="310" spans="4:14" x14ac:dyDescent="0.25">
      <c r="D310" s="34"/>
      <c r="E310" s="34"/>
      <c r="F310" s="62"/>
      <c r="G310" s="37"/>
      <c r="H310" s="64"/>
      <c r="I310" s="40"/>
      <c r="J310" s="40"/>
      <c r="K310" s="33"/>
      <c r="L310" s="33"/>
      <c r="M310" s="38"/>
      <c r="N310" s="41"/>
    </row>
    <row r="311" spans="4:14" x14ac:dyDescent="0.25">
      <c r="D311" s="34"/>
      <c r="E311" s="34"/>
      <c r="F311" s="62"/>
      <c r="G311" s="37"/>
      <c r="H311" s="64"/>
      <c r="I311" s="40"/>
      <c r="J311" s="40"/>
      <c r="K311" s="33"/>
      <c r="L311" s="33"/>
      <c r="M311" s="38"/>
      <c r="N311" s="41"/>
    </row>
    <row r="312" spans="4:14" x14ac:dyDescent="0.25">
      <c r="D312" s="34"/>
      <c r="E312" s="34"/>
      <c r="F312" s="62"/>
      <c r="G312" s="37"/>
      <c r="H312" s="64"/>
      <c r="I312" s="40"/>
      <c r="J312" s="40"/>
      <c r="K312" s="33"/>
      <c r="L312" s="33"/>
      <c r="M312" s="38"/>
      <c r="N312" s="41"/>
    </row>
    <row r="313" spans="4:14" x14ac:dyDescent="0.25">
      <c r="D313" s="34"/>
      <c r="E313" s="34"/>
      <c r="F313" s="62"/>
      <c r="G313" s="37"/>
      <c r="H313" s="64"/>
      <c r="I313" s="40"/>
      <c r="J313" s="40"/>
      <c r="K313" s="33"/>
      <c r="L313" s="33"/>
      <c r="M313" s="38"/>
      <c r="N313" s="41"/>
    </row>
    <row r="314" spans="4:14" x14ac:dyDescent="0.25">
      <c r="D314" s="34"/>
      <c r="E314" s="34"/>
      <c r="F314" s="62"/>
      <c r="G314" s="37"/>
      <c r="H314" s="64"/>
      <c r="I314" s="40"/>
      <c r="J314" s="40"/>
      <c r="K314" s="33"/>
      <c r="L314" s="33"/>
      <c r="M314" s="38"/>
      <c r="N314" s="41"/>
    </row>
    <row r="315" spans="4:14" x14ac:dyDescent="0.25">
      <c r="D315" s="34"/>
      <c r="E315" s="34"/>
      <c r="F315" s="62"/>
      <c r="G315" s="37"/>
      <c r="H315" s="64"/>
      <c r="I315" s="40"/>
      <c r="J315" s="40"/>
      <c r="K315" s="33"/>
      <c r="L315" s="33"/>
      <c r="M315" s="38"/>
      <c r="N315" s="41"/>
    </row>
    <row r="316" spans="4:14" x14ac:dyDescent="0.25">
      <c r="D316" s="34"/>
      <c r="E316" s="34"/>
      <c r="F316" s="62"/>
      <c r="G316" s="37"/>
      <c r="H316" s="64"/>
      <c r="I316" s="40"/>
      <c r="J316" s="40"/>
      <c r="K316" s="33"/>
      <c r="L316" s="33"/>
      <c r="M316" s="38"/>
      <c r="N316" s="41"/>
    </row>
    <row r="317" spans="4:14" x14ac:dyDescent="0.25">
      <c r="D317" s="34"/>
      <c r="E317" s="34"/>
      <c r="F317" s="62"/>
      <c r="G317" s="37"/>
      <c r="H317" s="64"/>
      <c r="I317" s="40"/>
      <c r="J317" s="40"/>
      <c r="K317" s="33"/>
      <c r="L317" s="33"/>
      <c r="M317" s="38"/>
      <c r="N317" s="41"/>
    </row>
    <row r="318" spans="4:14" x14ac:dyDescent="0.25">
      <c r="D318" s="34"/>
      <c r="E318" s="34"/>
      <c r="F318" s="62"/>
      <c r="G318" s="37"/>
      <c r="H318" s="64"/>
      <c r="I318" s="40"/>
      <c r="J318" s="40"/>
      <c r="K318" s="33"/>
      <c r="L318" s="33"/>
      <c r="M318" s="38"/>
      <c r="N318" s="41"/>
    </row>
    <row r="319" spans="4:14" x14ac:dyDescent="0.25">
      <c r="D319" s="34"/>
      <c r="E319" s="34"/>
      <c r="F319" s="62"/>
      <c r="G319" s="37"/>
      <c r="H319" s="64"/>
      <c r="I319" s="40"/>
      <c r="J319" s="40"/>
      <c r="K319" s="33"/>
      <c r="L319" s="33"/>
      <c r="M319" s="38"/>
      <c r="N319" s="41"/>
    </row>
    <row r="320" spans="4:14" x14ac:dyDescent="0.25">
      <c r="D320" s="34"/>
      <c r="E320" s="34"/>
      <c r="F320" s="62"/>
      <c r="G320" s="37"/>
      <c r="H320" s="64"/>
      <c r="I320" s="40"/>
      <c r="J320" s="40"/>
      <c r="K320" s="33"/>
      <c r="L320" s="33"/>
      <c r="M320" s="38"/>
      <c r="N320" s="41"/>
    </row>
    <row r="321" spans="4:14" x14ac:dyDescent="0.25">
      <c r="D321" s="34"/>
      <c r="E321" s="34"/>
      <c r="F321" s="62"/>
      <c r="G321" s="37"/>
      <c r="H321" s="64"/>
      <c r="I321" s="40"/>
      <c r="J321" s="40"/>
      <c r="K321" s="33"/>
      <c r="L321" s="33"/>
      <c r="M321" s="38"/>
      <c r="N321" s="41"/>
    </row>
    <row r="322" spans="4:14" x14ac:dyDescent="0.25">
      <c r="D322" s="34"/>
      <c r="E322" s="34"/>
      <c r="F322" s="62"/>
      <c r="G322" s="37"/>
      <c r="H322" s="64"/>
      <c r="I322" s="40"/>
      <c r="J322" s="40"/>
      <c r="K322" s="33"/>
      <c r="L322" s="33"/>
      <c r="M322" s="38"/>
      <c r="N322" s="41"/>
    </row>
    <row r="323" spans="4:14" x14ac:dyDescent="0.25">
      <c r="D323" s="34"/>
      <c r="E323" s="34"/>
      <c r="F323" s="62"/>
      <c r="G323" s="37"/>
      <c r="H323" s="64"/>
      <c r="I323" s="40"/>
      <c r="J323" s="40"/>
      <c r="K323" s="33"/>
      <c r="L323" s="33"/>
      <c r="M323" s="38"/>
      <c r="N323" s="41"/>
    </row>
    <row r="324" spans="4:14" x14ac:dyDescent="0.25">
      <c r="D324" s="34"/>
      <c r="E324" s="34"/>
      <c r="F324" s="62"/>
      <c r="G324" s="37"/>
      <c r="H324" s="64"/>
      <c r="I324" s="40"/>
      <c r="J324" s="40"/>
      <c r="K324" s="33"/>
      <c r="L324" s="33"/>
      <c r="M324" s="38"/>
      <c r="N324" s="41"/>
    </row>
    <row r="325" spans="4:14" x14ac:dyDescent="0.25">
      <c r="D325" s="34"/>
      <c r="E325" s="34"/>
      <c r="F325" s="62"/>
      <c r="G325" s="37"/>
      <c r="H325" s="64"/>
      <c r="I325" s="40"/>
      <c r="J325" s="40"/>
      <c r="K325" s="33"/>
      <c r="L325" s="33"/>
      <c r="M325" s="38"/>
      <c r="N325" s="41"/>
    </row>
    <row r="326" spans="4:14" x14ac:dyDescent="0.25">
      <c r="D326" s="34"/>
      <c r="E326" s="34"/>
      <c r="F326" s="62"/>
      <c r="G326" s="37"/>
      <c r="H326" s="64"/>
      <c r="I326" s="40"/>
      <c r="J326" s="40"/>
      <c r="K326" s="33"/>
      <c r="L326" s="33"/>
      <c r="M326" s="38"/>
      <c r="N326" s="41"/>
    </row>
    <row r="327" spans="4:14" x14ac:dyDescent="0.25">
      <c r="D327" s="34"/>
      <c r="E327" s="34"/>
      <c r="F327" s="62"/>
      <c r="G327" s="37"/>
      <c r="H327" s="64"/>
      <c r="I327" s="40"/>
      <c r="J327" s="40"/>
      <c r="K327" s="33"/>
      <c r="L327" s="33"/>
      <c r="M327" s="38"/>
      <c r="N327" s="41"/>
    </row>
    <row r="328" spans="4:14" x14ac:dyDescent="0.25">
      <c r="D328" s="34"/>
      <c r="E328" s="34"/>
      <c r="F328" s="62"/>
      <c r="G328" s="37"/>
      <c r="H328" s="64"/>
      <c r="I328" s="40"/>
      <c r="J328" s="40"/>
      <c r="K328" s="33"/>
      <c r="L328" s="33"/>
      <c r="M328" s="38"/>
      <c r="N328" s="41"/>
    </row>
    <row r="329" spans="4:14" x14ac:dyDescent="0.25">
      <c r="D329" s="34"/>
      <c r="E329" s="34"/>
      <c r="F329" s="62"/>
      <c r="G329" s="37"/>
      <c r="H329" s="64"/>
      <c r="I329" s="40"/>
      <c r="J329" s="40"/>
      <c r="K329" s="33"/>
      <c r="L329" s="33"/>
      <c r="M329" s="38"/>
      <c r="N329" s="41"/>
    </row>
    <row r="330" spans="4:14" x14ac:dyDescent="0.25">
      <c r="D330" s="34"/>
      <c r="E330" s="34"/>
      <c r="F330" s="62"/>
      <c r="G330" s="37"/>
      <c r="H330" s="64"/>
      <c r="I330" s="40"/>
      <c r="J330" s="40"/>
      <c r="K330" s="33"/>
      <c r="L330" s="33"/>
      <c r="M330" s="38"/>
      <c r="N330" s="41"/>
    </row>
    <row r="331" spans="4:14" x14ac:dyDescent="0.25">
      <c r="D331" s="34"/>
      <c r="E331" s="34"/>
      <c r="F331" s="62"/>
      <c r="G331" s="37"/>
      <c r="H331" s="64"/>
      <c r="I331" s="40"/>
      <c r="J331" s="40"/>
      <c r="K331" s="33"/>
      <c r="L331" s="33"/>
      <c r="M331" s="38"/>
      <c r="N331" s="41"/>
    </row>
    <row r="332" spans="4:14" x14ac:dyDescent="0.25">
      <c r="D332" s="34"/>
      <c r="E332" s="34"/>
      <c r="F332" s="62"/>
      <c r="G332" s="37"/>
      <c r="H332" s="64"/>
      <c r="I332" s="40"/>
      <c r="J332" s="40"/>
      <c r="K332" s="33"/>
      <c r="L332" s="33"/>
      <c r="M332" s="38"/>
      <c r="N332" s="41"/>
    </row>
    <row r="333" spans="4:14" x14ac:dyDescent="0.25">
      <c r="D333" s="34"/>
      <c r="E333" s="34"/>
      <c r="F333" s="62"/>
      <c r="G333" s="37"/>
      <c r="H333" s="64"/>
      <c r="I333" s="40"/>
      <c r="J333" s="40"/>
      <c r="K333" s="33"/>
      <c r="L333" s="33"/>
      <c r="M333" s="38"/>
      <c r="N333" s="41"/>
    </row>
    <row r="334" spans="4:14" x14ac:dyDescent="0.25">
      <c r="D334" s="34"/>
      <c r="E334" s="34"/>
      <c r="F334" s="62"/>
      <c r="G334" s="37"/>
      <c r="H334" s="64"/>
      <c r="I334" s="40"/>
      <c r="J334" s="40"/>
      <c r="K334" s="33"/>
      <c r="L334" s="33"/>
      <c r="M334" s="38"/>
      <c r="N334" s="41"/>
    </row>
    <row r="335" spans="4:14" x14ac:dyDescent="0.25">
      <c r="D335" s="34"/>
      <c r="E335" s="34"/>
      <c r="F335" s="62"/>
      <c r="G335" s="37"/>
      <c r="H335" s="64"/>
      <c r="I335" s="40"/>
      <c r="J335" s="40"/>
      <c r="K335" s="33"/>
      <c r="L335" s="33"/>
      <c r="M335" s="38"/>
      <c r="N335" s="41"/>
    </row>
    <row r="336" spans="4:14" x14ac:dyDescent="0.25">
      <c r="D336" s="34"/>
      <c r="E336" s="34"/>
      <c r="F336" s="62"/>
      <c r="G336" s="37"/>
      <c r="H336" s="64"/>
      <c r="I336" s="40"/>
      <c r="J336" s="40"/>
      <c r="K336" s="33"/>
      <c r="L336" s="33"/>
      <c r="M336" s="38"/>
      <c r="N336" s="41"/>
    </row>
    <row r="337" spans="4:14" x14ac:dyDescent="0.25">
      <c r="D337" s="34"/>
      <c r="E337" s="34"/>
      <c r="F337" s="62"/>
      <c r="G337" s="37"/>
      <c r="H337" s="64"/>
      <c r="I337" s="40"/>
      <c r="J337" s="40"/>
      <c r="K337" s="33"/>
      <c r="L337" s="33"/>
      <c r="M337" s="38"/>
      <c r="N337" s="41"/>
    </row>
    <row r="338" spans="4:14" x14ac:dyDescent="0.25">
      <c r="D338" s="34"/>
      <c r="E338" s="34"/>
      <c r="F338" s="62"/>
      <c r="G338" s="37"/>
      <c r="H338" s="64"/>
      <c r="I338" s="40"/>
      <c r="J338" s="40"/>
      <c r="K338" s="33"/>
      <c r="L338" s="33"/>
      <c r="M338" s="38"/>
      <c r="N338" s="41"/>
    </row>
    <row r="339" spans="4:14" x14ac:dyDescent="0.25">
      <c r="D339" s="34"/>
      <c r="E339" s="34"/>
      <c r="F339" s="62"/>
      <c r="G339" s="37"/>
      <c r="H339" s="64"/>
      <c r="I339" s="40"/>
      <c r="J339" s="40"/>
      <c r="K339" s="33"/>
      <c r="L339" s="33"/>
      <c r="M339" s="38"/>
      <c r="N339" s="41"/>
    </row>
    <row r="340" spans="4:14" x14ac:dyDescent="0.25">
      <c r="D340" s="34"/>
      <c r="E340" s="34"/>
      <c r="F340" s="62"/>
      <c r="G340" s="37"/>
      <c r="H340" s="64"/>
      <c r="I340" s="40"/>
      <c r="J340" s="40"/>
      <c r="K340" s="33"/>
      <c r="L340" s="33"/>
      <c r="M340" s="38"/>
      <c r="N340" s="41"/>
    </row>
    <row r="341" spans="4:14" x14ac:dyDescent="0.25">
      <c r="D341" s="34"/>
      <c r="E341" s="34"/>
      <c r="F341" s="62"/>
      <c r="G341" s="37"/>
      <c r="H341" s="64"/>
      <c r="I341" s="40"/>
      <c r="J341" s="40"/>
      <c r="K341" s="33"/>
      <c r="L341" s="33"/>
      <c r="M341" s="38"/>
      <c r="N341" s="41"/>
    </row>
    <row r="342" spans="4:14" x14ac:dyDescent="0.25">
      <c r="D342" s="34"/>
      <c r="E342" s="34"/>
      <c r="F342" s="62"/>
      <c r="G342" s="37"/>
      <c r="H342" s="64"/>
      <c r="I342" s="40"/>
      <c r="J342" s="40"/>
      <c r="K342" s="33"/>
      <c r="L342" s="33"/>
      <c r="M342" s="38"/>
      <c r="N342" s="41"/>
    </row>
    <row r="343" spans="4:14" x14ac:dyDescent="0.25">
      <c r="D343" s="34"/>
      <c r="E343" s="34"/>
      <c r="F343" s="62"/>
      <c r="G343" s="37"/>
      <c r="H343" s="64"/>
      <c r="I343" s="40"/>
      <c r="J343" s="40"/>
      <c r="K343" s="33"/>
      <c r="L343" s="33"/>
      <c r="M343" s="38"/>
      <c r="N343" s="41"/>
    </row>
    <row r="344" spans="4:14" x14ac:dyDescent="0.25">
      <c r="D344" s="34"/>
      <c r="E344" s="34"/>
      <c r="F344" s="62"/>
      <c r="G344" s="37"/>
      <c r="H344" s="64"/>
      <c r="I344" s="40"/>
      <c r="J344" s="40"/>
      <c r="K344" s="33"/>
      <c r="L344" s="33"/>
      <c r="M344" s="38"/>
      <c r="N344" s="41"/>
    </row>
    <row r="345" spans="4:14" x14ac:dyDescent="0.25">
      <c r="D345" s="34"/>
      <c r="E345" s="34"/>
      <c r="F345" s="62"/>
      <c r="G345" s="37"/>
      <c r="H345" s="64"/>
      <c r="I345" s="40"/>
      <c r="J345" s="40"/>
      <c r="K345" s="33"/>
      <c r="L345" s="33"/>
      <c r="M345" s="38"/>
      <c r="N345" s="41"/>
    </row>
    <row r="346" spans="4:14" x14ac:dyDescent="0.25">
      <c r="D346" s="34"/>
      <c r="E346" s="34"/>
      <c r="F346" s="62"/>
      <c r="G346" s="37"/>
      <c r="H346" s="64"/>
      <c r="I346" s="40"/>
      <c r="J346" s="40"/>
      <c r="K346" s="33"/>
      <c r="L346" s="33"/>
      <c r="M346" s="38"/>
      <c r="N346" s="41"/>
    </row>
    <row r="347" spans="4:14" x14ac:dyDescent="0.25">
      <c r="D347" s="34"/>
      <c r="E347" s="34"/>
      <c r="F347" s="62"/>
      <c r="G347" s="37"/>
      <c r="H347" s="64"/>
      <c r="I347" s="40"/>
      <c r="J347" s="40"/>
      <c r="K347" s="33"/>
      <c r="L347" s="33"/>
      <c r="M347" s="38"/>
      <c r="N347" s="41"/>
    </row>
    <row r="348" spans="4:14" x14ac:dyDescent="0.25">
      <c r="D348" s="34"/>
      <c r="E348" s="34"/>
      <c r="F348" s="62"/>
      <c r="G348" s="37"/>
      <c r="H348" s="64"/>
      <c r="I348" s="40"/>
      <c r="J348" s="40"/>
      <c r="K348" s="33"/>
      <c r="L348" s="33"/>
      <c r="M348" s="38"/>
      <c r="N348" s="41"/>
    </row>
    <row r="349" spans="4:14" x14ac:dyDescent="0.25">
      <c r="D349" s="34"/>
      <c r="E349" s="34"/>
      <c r="F349" s="62"/>
      <c r="G349" s="37"/>
      <c r="H349" s="64"/>
      <c r="I349" s="40"/>
      <c r="J349" s="40"/>
      <c r="K349" s="33"/>
      <c r="L349" s="33"/>
      <c r="M349" s="38"/>
      <c r="N349" s="41"/>
    </row>
    <row r="350" spans="4:14" x14ac:dyDescent="0.25">
      <c r="D350" s="34"/>
      <c r="E350" s="34"/>
      <c r="F350" s="62"/>
      <c r="G350" s="37"/>
      <c r="H350" s="64"/>
      <c r="I350" s="40"/>
      <c r="J350" s="40"/>
      <c r="K350" s="33"/>
      <c r="L350" s="33"/>
      <c r="M350" s="38"/>
      <c r="N350" s="41"/>
    </row>
    <row r="351" spans="4:14" x14ac:dyDescent="0.25">
      <c r="D351" s="34"/>
      <c r="E351" s="34"/>
      <c r="F351" s="62"/>
      <c r="G351" s="37"/>
      <c r="H351" s="64"/>
      <c r="I351" s="40"/>
      <c r="J351" s="40"/>
      <c r="K351" s="33"/>
      <c r="L351" s="33"/>
      <c r="M351" s="38"/>
      <c r="N351" s="41"/>
    </row>
    <row r="352" spans="4:14" x14ac:dyDescent="0.25">
      <c r="D352" s="34"/>
      <c r="E352" s="34"/>
      <c r="F352" s="62"/>
      <c r="G352" s="37"/>
      <c r="H352" s="64"/>
      <c r="I352" s="40"/>
      <c r="J352" s="40"/>
      <c r="K352" s="33"/>
      <c r="L352" s="33"/>
      <c r="M352" s="38"/>
      <c r="N352" s="41"/>
    </row>
    <row r="353" spans="4:14" x14ac:dyDescent="0.25">
      <c r="D353" s="34"/>
      <c r="E353" s="34"/>
      <c r="F353" s="62"/>
      <c r="G353" s="37"/>
      <c r="H353" s="64"/>
      <c r="I353" s="40"/>
      <c r="J353" s="40"/>
      <c r="K353" s="33"/>
      <c r="L353" s="33"/>
      <c r="M353" s="38"/>
      <c r="N353" s="41"/>
    </row>
    <row r="354" spans="4:14" x14ac:dyDescent="0.25">
      <c r="D354" s="34"/>
      <c r="E354" s="34"/>
      <c r="F354" s="62"/>
      <c r="G354" s="37"/>
      <c r="H354" s="64"/>
      <c r="I354" s="40"/>
      <c r="J354" s="40"/>
      <c r="K354" s="33"/>
      <c r="L354" s="33"/>
      <c r="M354" s="38"/>
      <c r="N354" s="41"/>
    </row>
    <row r="355" spans="4:14" x14ac:dyDescent="0.25">
      <c r="D355" s="34"/>
      <c r="E355" s="34"/>
      <c r="F355" s="62"/>
      <c r="G355" s="37"/>
      <c r="H355" s="64"/>
      <c r="I355" s="40"/>
      <c r="J355" s="40"/>
      <c r="K355" s="33"/>
      <c r="L355" s="33"/>
      <c r="M355" s="38"/>
      <c r="N355" s="41"/>
    </row>
    <row r="356" spans="4:14" x14ac:dyDescent="0.25">
      <c r="D356" s="34"/>
      <c r="E356" s="34"/>
      <c r="F356" s="62"/>
      <c r="G356" s="37"/>
      <c r="H356" s="64"/>
      <c r="I356" s="40"/>
      <c r="J356" s="40"/>
      <c r="K356" s="33"/>
      <c r="L356" s="33"/>
      <c r="M356" s="38"/>
      <c r="N356" s="41"/>
    </row>
    <row r="357" spans="4:14" x14ac:dyDescent="0.25">
      <c r="D357" s="34"/>
      <c r="E357" s="34"/>
      <c r="F357" s="62"/>
      <c r="G357" s="37"/>
      <c r="H357" s="64"/>
      <c r="I357" s="40"/>
      <c r="J357" s="40"/>
      <c r="K357" s="33"/>
      <c r="L357" s="33"/>
      <c r="M357" s="38"/>
      <c r="N357" s="41"/>
    </row>
    <row r="358" spans="4:14" x14ac:dyDescent="0.25">
      <c r="D358" s="34"/>
      <c r="E358" s="34"/>
      <c r="F358" s="62"/>
      <c r="G358" s="37"/>
      <c r="H358" s="64"/>
      <c r="I358" s="40"/>
      <c r="J358" s="40"/>
      <c r="K358" s="33"/>
      <c r="L358" s="33"/>
      <c r="M358" s="38"/>
      <c r="N358" s="41"/>
    </row>
    <row r="359" spans="4:14" x14ac:dyDescent="0.25">
      <c r="D359" s="34"/>
      <c r="E359" s="34"/>
      <c r="F359" s="62"/>
      <c r="G359" s="37"/>
      <c r="H359" s="64"/>
      <c r="I359" s="40"/>
      <c r="J359" s="40"/>
      <c r="K359" s="33"/>
      <c r="L359" s="33"/>
      <c r="M359" s="38"/>
      <c r="N359" s="41"/>
    </row>
    <row r="360" spans="4:14" x14ac:dyDescent="0.25">
      <c r="D360" s="34"/>
      <c r="E360" s="34"/>
      <c r="F360" s="62"/>
      <c r="G360" s="37"/>
      <c r="H360" s="64"/>
      <c r="I360" s="40"/>
      <c r="J360" s="40"/>
      <c r="K360" s="33"/>
      <c r="L360" s="33"/>
      <c r="M360" s="38"/>
      <c r="N360" s="41"/>
    </row>
    <row r="361" spans="4:14" x14ac:dyDescent="0.25">
      <c r="D361" s="34"/>
      <c r="E361" s="34"/>
      <c r="F361" s="62"/>
      <c r="G361" s="37"/>
      <c r="H361" s="64"/>
      <c r="I361" s="40"/>
      <c r="J361" s="40"/>
      <c r="K361" s="33"/>
      <c r="L361" s="33"/>
      <c r="M361" s="38"/>
      <c r="N361" s="41"/>
    </row>
    <row r="362" spans="4:14" x14ac:dyDescent="0.25">
      <c r="D362" s="34"/>
      <c r="E362" s="34"/>
      <c r="F362" s="62"/>
      <c r="G362" s="37"/>
      <c r="H362" s="64"/>
      <c r="I362" s="40"/>
      <c r="J362" s="40"/>
      <c r="K362" s="33"/>
      <c r="L362" s="33"/>
      <c r="M362" s="38"/>
      <c r="N362" s="41"/>
    </row>
    <row r="363" spans="4:14" x14ac:dyDescent="0.25">
      <c r="D363" s="34"/>
      <c r="E363" s="34"/>
      <c r="F363" s="62"/>
      <c r="G363" s="37"/>
      <c r="H363" s="64"/>
      <c r="I363" s="40"/>
      <c r="J363" s="40"/>
      <c r="K363" s="33"/>
      <c r="L363" s="33"/>
      <c r="M363" s="38"/>
      <c r="N363" s="41"/>
    </row>
    <row r="364" spans="4:14" x14ac:dyDescent="0.25">
      <c r="D364" s="34"/>
      <c r="E364" s="34"/>
      <c r="F364" s="62"/>
      <c r="G364" s="37"/>
      <c r="H364" s="64"/>
      <c r="I364" s="40"/>
      <c r="J364" s="40"/>
      <c r="K364" s="33"/>
      <c r="L364" s="33"/>
      <c r="M364" s="38"/>
      <c r="N364" s="41"/>
    </row>
    <row r="365" spans="4:14" x14ac:dyDescent="0.25">
      <c r="D365" s="34"/>
      <c r="E365" s="34"/>
      <c r="F365" s="62"/>
      <c r="G365" s="37"/>
      <c r="H365" s="64"/>
      <c r="I365" s="40"/>
      <c r="J365" s="40"/>
      <c r="K365" s="33"/>
      <c r="L365" s="33"/>
      <c r="M365" s="38"/>
      <c r="N365" s="41"/>
    </row>
    <row r="366" spans="4:14" x14ac:dyDescent="0.25">
      <c r="D366" s="34"/>
      <c r="E366" s="34"/>
      <c r="F366" s="62"/>
      <c r="G366" s="37"/>
      <c r="H366" s="64"/>
      <c r="I366" s="40"/>
      <c r="J366" s="40"/>
      <c r="K366" s="33"/>
      <c r="L366" s="33"/>
      <c r="M366" s="38"/>
      <c r="N366" s="41"/>
    </row>
    <row r="367" spans="4:14" x14ac:dyDescent="0.25">
      <c r="D367" s="34"/>
      <c r="E367" s="34"/>
      <c r="F367" s="62"/>
      <c r="G367" s="37"/>
      <c r="H367" s="64"/>
      <c r="I367" s="40"/>
      <c r="J367" s="40"/>
      <c r="K367" s="33"/>
      <c r="L367" s="33"/>
      <c r="M367" s="38"/>
      <c r="N367" s="41"/>
    </row>
    <row r="368" spans="4:14" x14ac:dyDescent="0.25">
      <c r="D368" s="34"/>
      <c r="E368" s="34"/>
      <c r="F368" s="62"/>
      <c r="G368" s="37"/>
      <c r="H368" s="64"/>
      <c r="I368" s="40"/>
      <c r="J368" s="40"/>
      <c r="K368" s="33"/>
      <c r="L368" s="33"/>
      <c r="M368" s="38"/>
      <c r="N368" s="41"/>
    </row>
    <row r="369" spans="4:14" x14ac:dyDescent="0.25">
      <c r="D369" s="34"/>
      <c r="E369" s="34"/>
      <c r="F369" s="62"/>
      <c r="G369" s="37"/>
      <c r="H369" s="64"/>
      <c r="I369" s="40"/>
      <c r="J369" s="40"/>
      <c r="K369" s="33"/>
      <c r="L369" s="33"/>
      <c r="M369" s="38"/>
      <c r="N369" s="41"/>
    </row>
    <row r="370" spans="4:14" x14ac:dyDescent="0.25">
      <c r="D370" s="34"/>
      <c r="E370" s="34"/>
      <c r="F370" s="62"/>
      <c r="G370" s="37"/>
      <c r="H370" s="64"/>
      <c r="I370" s="40"/>
      <c r="J370" s="40"/>
      <c r="K370" s="33"/>
      <c r="L370" s="33"/>
      <c r="M370" s="38"/>
      <c r="N370" s="41"/>
    </row>
    <row r="371" spans="4:14" x14ac:dyDescent="0.25">
      <c r="D371" s="34"/>
      <c r="E371" s="34"/>
      <c r="F371" s="62"/>
      <c r="G371" s="37"/>
      <c r="H371" s="64"/>
      <c r="I371" s="40"/>
      <c r="J371" s="40"/>
      <c r="K371" s="33"/>
      <c r="L371" s="33"/>
      <c r="M371" s="38"/>
      <c r="N371" s="41"/>
    </row>
    <row r="372" spans="4:14" x14ac:dyDescent="0.25">
      <c r="D372" s="34"/>
      <c r="E372" s="34"/>
      <c r="F372" s="62"/>
      <c r="G372" s="37"/>
      <c r="H372" s="64"/>
      <c r="I372" s="40"/>
      <c r="J372" s="40"/>
      <c r="K372" s="33"/>
      <c r="L372" s="33"/>
      <c r="M372" s="38"/>
      <c r="N372" s="41"/>
    </row>
    <row r="373" spans="4:14" x14ac:dyDescent="0.25">
      <c r="D373" s="34"/>
      <c r="E373" s="34"/>
      <c r="F373" s="62"/>
      <c r="G373" s="37"/>
      <c r="H373" s="64"/>
      <c r="I373" s="40"/>
      <c r="J373" s="40"/>
      <c r="K373" s="33"/>
      <c r="L373" s="33"/>
      <c r="M373" s="38"/>
      <c r="N373" s="41"/>
    </row>
    <row r="374" spans="4:14" x14ac:dyDescent="0.25">
      <c r="D374" s="34"/>
      <c r="E374" s="34"/>
      <c r="F374" s="62"/>
      <c r="G374" s="37"/>
      <c r="H374" s="64"/>
      <c r="I374" s="40"/>
      <c r="J374" s="40"/>
      <c r="K374" s="33"/>
      <c r="L374" s="33"/>
      <c r="M374" s="38"/>
      <c r="N374" s="41"/>
    </row>
    <row r="375" spans="4:14" x14ac:dyDescent="0.25">
      <c r="D375" s="34"/>
      <c r="E375" s="34"/>
      <c r="F375" s="62"/>
      <c r="G375" s="37"/>
      <c r="H375" s="64"/>
      <c r="I375" s="40"/>
      <c r="J375" s="40"/>
      <c r="K375" s="33"/>
      <c r="L375" s="33"/>
      <c r="M375" s="38"/>
      <c r="N375" s="41"/>
    </row>
    <row r="376" spans="4:14" x14ac:dyDescent="0.25">
      <c r="D376" s="34"/>
      <c r="E376" s="34"/>
      <c r="F376" s="62"/>
      <c r="G376" s="37"/>
      <c r="H376" s="64"/>
      <c r="I376" s="40"/>
      <c r="J376" s="40"/>
      <c r="K376" s="33"/>
      <c r="L376" s="33"/>
      <c r="M376" s="38"/>
      <c r="N376" s="41"/>
    </row>
    <row r="377" spans="4:14" x14ac:dyDescent="0.25">
      <c r="D377" s="34"/>
      <c r="E377" s="34"/>
      <c r="F377" s="62"/>
      <c r="G377" s="37"/>
      <c r="H377" s="64"/>
      <c r="I377" s="40"/>
      <c r="J377" s="40"/>
      <c r="K377" s="33"/>
      <c r="L377" s="33"/>
      <c r="M377" s="38"/>
      <c r="N377" s="41"/>
    </row>
    <row r="378" spans="4:14" x14ac:dyDescent="0.25">
      <c r="D378" s="34"/>
      <c r="E378" s="34"/>
      <c r="F378" s="62"/>
      <c r="G378" s="37"/>
      <c r="H378" s="64"/>
      <c r="I378" s="40"/>
      <c r="J378" s="40"/>
      <c r="K378" s="33"/>
      <c r="L378" s="33"/>
      <c r="M378" s="38"/>
      <c r="N378" s="41"/>
    </row>
    <row r="379" spans="4:14" x14ac:dyDescent="0.25">
      <c r="D379" s="34"/>
      <c r="E379" s="34"/>
      <c r="F379" s="62"/>
      <c r="G379" s="37"/>
      <c r="H379" s="64"/>
      <c r="I379" s="40"/>
      <c r="J379" s="40"/>
      <c r="K379" s="33"/>
      <c r="L379" s="33"/>
      <c r="M379" s="38"/>
      <c r="N379" s="41"/>
    </row>
    <row r="380" spans="4:14" x14ac:dyDescent="0.25">
      <c r="D380" s="34"/>
      <c r="E380" s="34"/>
      <c r="F380" s="62"/>
      <c r="G380" s="37"/>
      <c r="H380" s="64"/>
      <c r="I380" s="40"/>
      <c r="J380" s="40"/>
      <c r="K380" s="33"/>
      <c r="L380" s="33"/>
      <c r="M380" s="38"/>
      <c r="N380" s="41"/>
    </row>
    <row r="381" spans="4:14" x14ac:dyDescent="0.25">
      <c r="D381" s="34"/>
      <c r="E381" s="34"/>
      <c r="F381" s="62"/>
      <c r="G381" s="37"/>
      <c r="H381" s="64"/>
      <c r="I381" s="40"/>
      <c r="J381" s="40"/>
      <c r="K381" s="33"/>
      <c r="L381" s="33"/>
      <c r="M381" s="38"/>
      <c r="N381" s="41"/>
    </row>
    <row r="382" spans="4:14" x14ac:dyDescent="0.25">
      <c r="D382" s="34"/>
      <c r="E382" s="34"/>
      <c r="F382" s="62"/>
      <c r="G382" s="37"/>
      <c r="H382" s="64"/>
      <c r="I382" s="40"/>
      <c r="J382" s="40"/>
      <c r="K382" s="33"/>
      <c r="L382" s="33"/>
      <c r="M382" s="38"/>
      <c r="N382" s="41"/>
    </row>
    <row r="383" spans="4:14" x14ac:dyDescent="0.25">
      <c r="D383" s="34"/>
      <c r="E383" s="34"/>
      <c r="F383" s="62"/>
      <c r="G383" s="37"/>
      <c r="H383" s="64"/>
      <c r="I383" s="40"/>
      <c r="J383" s="40"/>
      <c r="K383" s="33"/>
      <c r="L383" s="33"/>
      <c r="M383" s="38"/>
      <c r="N383" s="41"/>
    </row>
    <row r="384" spans="4:14" x14ac:dyDescent="0.25">
      <c r="D384" s="34"/>
      <c r="E384" s="34"/>
      <c r="F384" s="62"/>
      <c r="G384" s="37"/>
      <c r="H384" s="64"/>
      <c r="I384" s="40"/>
      <c r="J384" s="40"/>
      <c r="K384" s="33"/>
      <c r="L384" s="33"/>
      <c r="M384" s="38"/>
      <c r="N384" s="41"/>
    </row>
    <row r="385" spans="4:14" x14ac:dyDescent="0.25">
      <c r="D385" s="34"/>
      <c r="E385" s="34"/>
      <c r="F385" s="62"/>
      <c r="G385" s="37"/>
      <c r="H385" s="64"/>
      <c r="I385" s="40"/>
      <c r="J385" s="40"/>
      <c r="K385" s="33"/>
      <c r="L385" s="33"/>
      <c r="M385" s="38"/>
      <c r="N385" s="41"/>
    </row>
    <row r="386" spans="4:14" x14ac:dyDescent="0.25">
      <c r="D386" s="34"/>
      <c r="E386" s="34"/>
      <c r="F386" s="62"/>
      <c r="G386" s="37"/>
      <c r="H386" s="64"/>
      <c r="I386" s="40"/>
      <c r="J386" s="40"/>
      <c r="K386" s="33"/>
      <c r="L386" s="33"/>
      <c r="M386" s="38"/>
      <c r="N386" s="41"/>
    </row>
    <row r="387" spans="4:14" x14ac:dyDescent="0.25">
      <c r="D387" s="34"/>
      <c r="E387" s="34"/>
      <c r="F387" s="62"/>
      <c r="G387" s="37"/>
      <c r="H387" s="64"/>
      <c r="I387" s="40"/>
      <c r="J387" s="40"/>
      <c r="K387" s="33"/>
      <c r="L387" s="33"/>
      <c r="M387" s="38"/>
      <c r="N387" s="41"/>
    </row>
    <row r="388" spans="4:14" x14ac:dyDescent="0.25">
      <c r="D388" s="34"/>
      <c r="E388" s="34"/>
      <c r="F388" s="62"/>
      <c r="G388" s="37"/>
      <c r="H388" s="64"/>
      <c r="I388" s="40"/>
      <c r="J388" s="40"/>
      <c r="K388" s="33"/>
      <c r="L388" s="33"/>
      <c r="M388" s="38"/>
      <c r="N388" s="41"/>
    </row>
    <row r="389" spans="4:14" x14ac:dyDescent="0.25">
      <c r="D389" s="34"/>
      <c r="E389" s="34"/>
      <c r="F389" s="62"/>
      <c r="G389" s="37"/>
      <c r="H389" s="64"/>
      <c r="I389" s="40"/>
      <c r="J389" s="40"/>
      <c r="K389" s="33"/>
      <c r="L389" s="33"/>
      <c r="M389" s="38"/>
      <c r="N389" s="41"/>
    </row>
    <row r="390" spans="4:14" x14ac:dyDescent="0.25">
      <c r="D390" s="34"/>
      <c r="E390" s="34"/>
      <c r="F390" s="62"/>
      <c r="G390" s="37"/>
      <c r="H390" s="64"/>
      <c r="I390" s="40"/>
      <c r="J390" s="40"/>
      <c r="K390" s="33"/>
      <c r="L390" s="33"/>
      <c r="M390" s="38"/>
      <c r="N390" s="41"/>
    </row>
    <row r="391" spans="4:14" x14ac:dyDescent="0.25">
      <c r="D391" s="34"/>
      <c r="E391" s="34"/>
      <c r="F391" s="62"/>
      <c r="G391" s="37"/>
      <c r="H391" s="64"/>
      <c r="I391" s="40"/>
      <c r="J391" s="40"/>
      <c r="K391" s="33"/>
      <c r="L391" s="33"/>
      <c r="M391" s="38"/>
      <c r="N391" s="41"/>
    </row>
    <row r="392" spans="4:14" x14ac:dyDescent="0.25">
      <c r="D392" s="34"/>
      <c r="E392" s="34"/>
      <c r="F392" s="62"/>
      <c r="G392" s="37"/>
      <c r="H392" s="64"/>
      <c r="I392" s="40"/>
      <c r="J392" s="40"/>
      <c r="K392" s="33"/>
      <c r="L392" s="33"/>
      <c r="M392" s="38"/>
      <c r="N392" s="41"/>
    </row>
    <row r="393" spans="4:14" x14ac:dyDescent="0.25">
      <c r="D393" s="34"/>
      <c r="E393" s="34"/>
      <c r="F393" s="62"/>
      <c r="G393" s="37"/>
      <c r="H393" s="64"/>
      <c r="I393" s="40"/>
      <c r="J393" s="40"/>
      <c r="K393" s="33"/>
      <c r="L393" s="33"/>
      <c r="M393" s="38"/>
      <c r="N393" s="41"/>
    </row>
    <row r="394" spans="4:14" x14ac:dyDescent="0.25">
      <c r="D394" s="34"/>
      <c r="E394" s="34"/>
      <c r="F394" s="62"/>
      <c r="G394" s="37"/>
      <c r="H394" s="64"/>
      <c r="I394" s="40"/>
      <c r="J394" s="40"/>
      <c r="K394" s="33"/>
      <c r="L394" s="33"/>
      <c r="M394" s="38"/>
      <c r="N394" s="41"/>
    </row>
    <row r="395" spans="4:14" x14ac:dyDescent="0.25">
      <c r="D395" s="34"/>
      <c r="E395" s="34"/>
      <c r="F395" s="62"/>
      <c r="G395" s="37"/>
      <c r="H395" s="64"/>
      <c r="I395" s="40"/>
      <c r="J395" s="40"/>
      <c r="K395" s="33"/>
      <c r="L395" s="33"/>
      <c r="M395" s="38"/>
      <c r="N395" s="41"/>
    </row>
    <row r="396" spans="4:14" x14ac:dyDescent="0.25">
      <c r="D396" s="34"/>
      <c r="E396" s="34"/>
      <c r="F396" s="62"/>
      <c r="G396" s="37"/>
      <c r="H396" s="64"/>
      <c r="I396" s="40"/>
      <c r="J396" s="40"/>
      <c r="K396" s="33"/>
      <c r="L396" s="33"/>
      <c r="M396" s="38"/>
      <c r="N396" s="41"/>
    </row>
    <row r="397" spans="4:14" x14ac:dyDescent="0.25">
      <c r="D397" s="34"/>
      <c r="E397" s="34"/>
      <c r="F397" s="62"/>
      <c r="G397" s="37"/>
      <c r="H397" s="64"/>
      <c r="I397" s="40"/>
      <c r="J397" s="40"/>
      <c r="K397" s="33"/>
      <c r="L397" s="33"/>
      <c r="M397" s="38"/>
      <c r="N397" s="41"/>
    </row>
    <row r="398" spans="4:14" x14ac:dyDescent="0.25">
      <c r="D398" s="34"/>
      <c r="E398" s="34"/>
      <c r="F398" s="62"/>
      <c r="G398" s="37"/>
      <c r="H398" s="64"/>
      <c r="I398" s="40"/>
      <c r="J398" s="40"/>
      <c r="K398" s="33"/>
      <c r="L398" s="33"/>
      <c r="M398" s="38"/>
      <c r="N398" s="41"/>
    </row>
    <row r="399" spans="4:14" x14ac:dyDescent="0.25">
      <c r="D399" s="34"/>
      <c r="E399" s="34"/>
      <c r="F399" s="62"/>
      <c r="G399" s="37"/>
      <c r="H399" s="64"/>
      <c r="I399" s="40"/>
      <c r="J399" s="40"/>
      <c r="K399" s="33"/>
      <c r="L399" s="33"/>
      <c r="M399" s="38"/>
      <c r="N399" s="41"/>
    </row>
    <row r="400" spans="4:14" x14ac:dyDescent="0.25">
      <c r="D400" s="34"/>
      <c r="E400" s="34"/>
      <c r="F400" s="62"/>
      <c r="G400" s="37"/>
      <c r="H400" s="64"/>
      <c r="I400" s="40"/>
      <c r="J400" s="40"/>
      <c r="K400" s="33"/>
      <c r="L400" s="33"/>
      <c r="M400" s="38"/>
      <c r="N400" s="41"/>
    </row>
    <row r="401" spans="4:14" x14ac:dyDescent="0.25">
      <c r="D401" s="34"/>
      <c r="E401" s="34"/>
      <c r="F401" s="62"/>
      <c r="G401" s="37"/>
      <c r="H401" s="64"/>
      <c r="I401" s="40"/>
      <c r="J401" s="40"/>
      <c r="K401" s="33"/>
      <c r="L401" s="33"/>
      <c r="M401" s="38"/>
      <c r="N401" s="41"/>
    </row>
    <row r="402" spans="4:14" x14ac:dyDescent="0.25">
      <c r="D402" s="34"/>
      <c r="E402" s="34"/>
      <c r="F402" s="62"/>
      <c r="G402" s="37"/>
      <c r="H402" s="64"/>
      <c r="I402" s="40"/>
      <c r="J402" s="40"/>
      <c r="K402" s="33"/>
      <c r="L402" s="33"/>
      <c r="M402" s="38"/>
      <c r="N402" s="41"/>
    </row>
    <row r="403" spans="4:14" x14ac:dyDescent="0.25">
      <c r="D403" s="34"/>
      <c r="E403" s="34"/>
      <c r="F403" s="62"/>
      <c r="G403" s="37"/>
      <c r="H403" s="64"/>
      <c r="I403" s="40"/>
      <c r="J403" s="40"/>
      <c r="K403" s="33"/>
      <c r="L403" s="33"/>
      <c r="M403" s="38"/>
      <c r="N403" s="41"/>
    </row>
    <row r="404" spans="4:14" x14ac:dyDescent="0.25">
      <c r="D404" s="34"/>
      <c r="E404" s="34"/>
      <c r="F404" s="62"/>
      <c r="G404" s="37"/>
      <c r="H404" s="64"/>
      <c r="I404" s="40"/>
      <c r="J404" s="40"/>
      <c r="K404" s="33"/>
      <c r="L404" s="33"/>
      <c r="M404" s="38"/>
      <c r="N404" s="41"/>
    </row>
    <row r="405" spans="4:14" x14ac:dyDescent="0.25">
      <c r="D405" s="34"/>
      <c r="E405" s="34"/>
      <c r="F405" s="62"/>
      <c r="G405" s="37"/>
      <c r="H405" s="64"/>
      <c r="I405" s="40"/>
      <c r="J405" s="40"/>
      <c r="K405" s="33"/>
      <c r="L405" s="33"/>
      <c r="M405" s="38"/>
      <c r="N405" s="41"/>
    </row>
    <row r="406" spans="4:14" x14ac:dyDescent="0.25">
      <c r="D406" s="34"/>
      <c r="E406" s="34"/>
      <c r="F406" s="62"/>
      <c r="G406" s="37"/>
      <c r="H406" s="64"/>
      <c r="I406" s="40"/>
      <c r="J406" s="40"/>
      <c r="K406" s="33"/>
      <c r="L406" s="33"/>
      <c r="M406" s="38"/>
      <c r="N406" s="41"/>
    </row>
    <row r="407" spans="4:14" x14ac:dyDescent="0.25">
      <c r="D407" s="34"/>
      <c r="E407" s="34"/>
      <c r="F407" s="62"/>
      <c r="G407" s="37"/>
      <c r="H407" s="64"/>
      <c r="I407" s="40"/>
      <c r="J407" s="40"/>
      <c r="K407" s="33"/>
      <c r="L407" s="33"/>
      <c r="M407" s="38"/>
      <c r="N407" s="41"/>
    </row>
    <row r="408" spans="4:14" x14ac:dyDescent="0.25">
      <c r="D408" s="34"/>
      <c r="E408" s="34"/>
      <c r="F408" s="62"/>
      <c r="G408" s="37"/>
      <c r="H408" s="64"/>
      <c r="I408" s="40"/>
      <c r="J408" s="40"/>
      <c r="K408" s="33"/>
      <c r="L408" s="33"/>
      <c r="M408" s="38"/>
      <c r="N408" s="41"/>
    </row>
    <row r="409" spans="4:14" x14ac:dyDescent="0.25">
      <c r="D409" s="34"/>
      <c r="E409" s="34"/>
      <c r="F409" s="62"/>
      <c r="G409" s="37"/>
      <c r="H409" s="64"/>
      <c r="I409" s="40"/>
      <c r="J409" s="40"/>
      <c r="K409" s="33"/>
      <c r="L409" s="33"/>
      <c r="M409" s="38"/>
      <c r="N409" s="41"/>
    </row>
    <row r="410" spans="4:14" x14ac:dyDescent="0.25">
      <c r="D410" s="34"/>
      <c r="E410" s="34"/>
      <c r="F410" s="62"/>
      <c r="G410" s="37"/>
      <c r="H410" s="64"/>
      <c r="I410" s="40"/>
      <c r="J410" s="40"/>
      <c r="K410" s="33"/>
      <c r="L410" s="33"/>
      <c r="M410" s="38"/>
      <c r="N410" s="41"/>
    </row>
    <row r="411" spans="4:14" x14ac:dyDescent="0.25">
      <c r="D411" s="34"/>
      <c r="E411" s="34"/>
      <c r="F411" s="62"/>
      <c r="G411" s="37"/>
      <c r="H411" s="64"/>
      <c r="I411" s="40"/>
      <c r="J411" s="40"/>
      <c r="K411" s="33"/>
      <c r="L411" s="33"/>
      <c r="M411" s="38"/>
      <c r="N411" s="41"/>
    </row>
    <row r="412" spans="4:14" x14ac:dyDescent="0.25">
      <c r="D412" s="34"/>
      <c r="E412" s="34"/>
      <c r="F412" s="62"/>
      <c r="G412" s="37"/>
      <c r="H412" s="64"/>
      <c r="I412" s="40"/>
      <c r="J412" s="40"/>
      <c r="K412" s="33"/>
      <c r="L412" s="33"/>
      <c r="M412" s="38"/>
      <c r="N412" s="41"/>
    </row>
    <row r="413" spans="4:14" x14ac:dyDescent="0.25">
      <c r="D413" s="34"/>
      <c r="E413" s="34"/>
      <c r="F413" s="62"/>
      <c r="G413" s="37"/>
      <c r="H413" s="64"/>
      <c r="I413" s="40"/>
      <c r="J413" s="40"/>
      <c r="K413" s="33"/>
      <c r="L413" s="33"/>
      <c r="M413" s="38"/>
      <c r="N413" s="41"/>
    </row>
    <row r="414" spans="4:14" x14ac:dyDescent="0.25">
      <c r="D414" s="34"/>
      <c r="E414" s="34"/>
      <c r="F414" s="62"/>
      <c r="G414" s="37"/>
      <c r="H414" s="64"/>
      <c r="I414" s="40"/>
      <c r="J414" s="40"/>
      <c r="K414" s="33"/>
      <c r="L414" s="33"/>
      <c r="M414" s="38"/>
      <c r="N414" s="41"/>
    </row>
    <row r="415" spans="4:14" x14ac:dyDescent="0.25">
      <c r="D415" s="34"/>
      <c r="E415" s="34"/>
      <c r="F415" s="62"/>
      <c r="G415" s="37"/>
      <c r="H415" s="64"/>
      <c r="I415" s="40"/>
      <c r="J415" s="40"/>
      <c r="K415" s="33"/>
      <c r="L415" s="33"/>
      <c r="M415" s="38"/>
      <c r="N415" s="41"/>
    </row>
    <row r="416" spans="4:14" x14ac:dyDescent="0.25">
      <c r="D416" s="34"/>
      <c r="E416" s="34"/>
      <c r="F416" s="62"/>
      <c r="G416" s="37"/>
      <c r="H416" s="64"/>
      <c r="I416" s="40"/>
      <c r="J416" s="40"/>
      <c r="K416" s="33"/>
      <c r="L416" s="33"/>
      <c r="M416" s="38"/>
      <c r="N416" s="41"/>
    </row>
    <row r="417" spans="4:14" x14ac:dyDescent="0.25">
      <c r="D417" s="34"/>
      <c r="E417" s="34"/>
      <c r="F417" s="62"/>
      <c r="G417" s="37"/>
      <c r="H417" s="64"/>
      <c r="I417" s="40"/>
      <c r="J417" s="40"/>
      <c r="K417" s="33"/>
      <c r="L417" s="33"/>
      <c r="M417" s="38"/>
      <c r="N417" s="41"/>
    </row>
    <row r="418" spans="4:14" x14ac:dyDescent="0.25">
      <c r="D418" s="34"/>
      <c r="E418" s="34"/>
      <c r="F418" s="62"/>
      <c r="G418" s="37"/>
      <c r="H418" s="64"/>
      <c r="I418" s="40"/>
      <c r="J418" s="40"/>
      <c r="K418" s="33"/>
      <c r="L418" s="33"/>
      <c r="M418" s="38"/>
      <c r="N418" s="41"/>
    </row>
    <row r="419" spans="4:14" x14ac:dyDescent="0.25">
      <c r="D419" s="34"/>
      <c r="E419" s="34"/>
      <c r="F419" s="62"/>
      <c r="G419" s="37"/>
      <c r="H419" s="64"/>
      <c r="I419" s="40"/>
      <c r="J419" s="40"/>
      <c r="K419" s="33"/>
      <c r="L419" s="33"/>
      <c r="M419" s="38"/>
      <c r="N419" s="41"/>
    </row>
    <row r="420" spans="4:14" x14ac:dyDescent="0.25">
      <c r="D420" s="34"/>
      <c r="E420" s="34"/>
      <c r="F420" s="62"/>
      <c r="G420" s="37"/>
      <c r="H420" s="64"/>
      <c r="I420" s="40"/>
      <c r="J420" s="40"/>
      <c r="K420" s="33"/>
      <c r="L420" s="33"/>
      <c r="M420" s="38"/>
      <c r="N420" s="41"/>
    </row>
    <row r="421" spans="4:14" x14ac:dyDescent="0.25">
      <c r="D421" s="34"/>
      <c r="E421" s="34"/>
      <c r="F421" s="62"/>
      <c r="G421" s="37"/>
      <c r="H421" s="64"/>
      <c r="I421" s="40"/>
      <c r="J421" s="40"/>
      <c r="K421" s="33"/>
      <c r="L421" s="33"/>
      <c r="M421" s="38"/>
      <c r="N421" s="41"/>
    </row>
    <row r="422" spans="4:14" x14ac:dyDescent="0.25">
      <c r="D422" s="34"/>
      <c r="E422" s="34"/>
      <c r="F422" s="62"/>
      <c r="G422" s="37"/>
      <c r="H422" s="64"/>
      <c r="I422" s="40"/>
      <c r="J422" s="40"/>
      <c r="K422" s="33"/>
      <c r="L422" s="33"/>
      <c r="M422" s="38"/>
      <c r="N422" s="41"/>
    </row>
    <row r="423" spans="4:14" x14ac:dyDescent="0.25">
      <c r="D423" s="34"/>
      <c r="E423" s="34"/>
      <c r="F423" s="62"/>
      <c r="G423" s="37"/>
      <c r="H423" s="64"/>
      <c r="I423" s="40"/>
      <c r="J423" s="40"/>
      <c r="K423" s="33"/>
      <c r="L423" s="33"/>
      <c r="M423" s="38"/>
      <c r="N423" s="41"/>
    </row>
    <row r="424" spans="4:14" x14ac:dyDescent="0.25">
      <c r="D424" s="34"/>
      <c r="E424" s="34"/>
      <c r="F424" s="62"/>
      <c r="G424" s="37"/>
      <c r="H424" s="64"/>
      <c r="I424" s="40"/>
      <c r="J424" s="40"/>
      <c r="K424" s="33"/>
      <c r="L424" s="33"/>
      <c r="M424" s="38"/>
      <c r="N424" s="41"/>
    </row>
    <row r="425" spans="4:14" x14ac:dyDescent="0.25">
      <c r="D425" s="34"/>
      <c r="E425" s="34"/>
      <c r="F425" s="62"/>
      <c r="G425" s="37"/>
      <c r="H425" s="64"/>
      <c r="I425" s="40"/>
      <c r="J425" s="40"/>
      <c r="K425" s="33"/>
      <c r="L425" s="33"/>
      <c r="M425" s="38"/>
      <c r="N425" s="41"/>
    </row>
    <row r="426" spans="4:14" x14ac:dyDescent="0.25">
      <c r="D426" s="34"/>
      <c r="E426" s="34"/>
      <c r="F426" s="62"/>
      <c r="G426" s="37"/>
      <c r="H426" s="64"/>
      <c r="I426" s="40"/>
      <c r="J426" s="40"/>
      <c r="K426" s="33"/>
      <c r="L426" s="33"/>
      <c r="M426" s="38"/>
      <c r="N426" s="41"/>
    </row>
    <row r="427" spans="4:14" x14ac:dyDescent="0.25">
      <c r="D427" s="34"/>
      <c r="E427" s="34"/>
      <c r="F427" s="62"/>
      <c r="G427" s="37"/>
      <c r="H427" s="64"/>
      <c r="I427" s="40"/>
      <c r="J427" s="40"/>
      <c r="K427" s="33"/>
      <c r="L427" s="33"/>
      <c r="M427" s="38"/>
      <c r="N427" s="41"/>
    </row>
    <row r="428" spans="4:14" x14ac:dyDescent="0.25">
      <c r="D428" s="34"/>
      <c r="E428" s="34"/>
      <c r="F428" s="62"/>
      <c r="G428" s="37"/>
      <c r="H428" s="64"/>
      <c r="I428" s="40"/>
      <c r="J428" s="40"/>
      <c r="K428" s="33"/>
      <c r="L428" s="33"/>
      <c r="M428" s="38"/>
      <c r="N428" s="41"/>
    </row>
    <row r="429" spans="4:14" x14ac:dyDescent="0.25">
      <c r="D429" s="34"/>
      <c r="E429" s="34"/>
      <c r="F429" s="62"/>
      <c r="G429" s="37"/>
      <c r="H429" s="64"/>
      <c r="I429" s="40"/>
      <c r="J429" s="40"/>
      <c r="K429" s="33"/>
      <c r="L429" s="33"/>
      <c r="M429" s="38"/>
      <c r="N429" s="41"/>
    </row>
    <row r="430" spans="4:14" x14ac:dyDescent="0.25">
      <c r="D430" s="34"/>
      <c r="E430" s="34"/>
      <c r="F430" s="62"/>
      <c r="G430" s="37"/>
      <c r="H430" s="64"/>
      <c r="I430" s="40"/>
      <c r="J430" s="40"/>
      <c r="K430" s="33"/>
      <c r="L430" s="33"/>
      <c r="M430" s="38"/>
      <c r="N430" s="41"/>
    </row>
    <row r="431" spans="4:14" x14ac:dyDescent="0.25">
      <c r="D431" s="34"/>
      <c r="E431" s="34"/>
      <c r="F431" s="62"/>
      <c r="G431" s="37"/>
      <c r="H431" s="64"/>
      <c r="I431" s="40"/>
      <c r="J431" s="40"/>
      <c r="K431" s="33"/>
      <c r="L431" s="33"/>
      <c r="M431" s="38"/>
      <c r="N431" s="41"/>
    </row>
    <row r="432" spans="4:14" x14ac:dyDescent="0.25">
      <c r="D432" s="34"/>
      <c r="E432" s="34"/>
      <c r="F432" s="62"/>
      <c r="G432" s="37"/>
      <c r="H432" s="64"/>
      <c r="I432" s="40"/>
      <c r="J432" s="40"/>
      <c r="K432" s="33"/>
      <c r="L432" s="33"/>
      <c r="M432" s="38"/>
      <c r="N432" s="41"/>
    </row>
    <row r="433" spans="4:14" x14ac:dyDescent="0.25">
      <c r="D433" s="34"/>
      <c r="E433" s="34"/>
      <c r="F433" s="62"/>
      <c r="G433" s="37"/>
      <c r="H433" s="64"/>
      <c r="I433" s="40"/>
      <c r="J433" s="40"/>
      <c r="K433" s="33"/>
      <c r="L433" s="33"/>
      <c r="M433" s="38"/>
      <c r="N433" s="41"/>
    </row>
    <row r="434" spans="4:14" x14ac:dyDescent="0.25">
      <c r="D434" s="34"/>
      <c r="E434" s="34"/>
      <c r="F434" s="62"/>
      <c r="G434" s="37"/>
      <c r="H434" s="64"/>
      <c r="I434" s="40"/>
      <c r="J434" s="40"/>
      <c r="K434" s="33"/>
      <c r="L434" s="33"/>
      <c r="M434" s="38"/>
    </row>
    <row r="435" spans="4:14" x14ac:dyDescent="0.25">
      <c r="D435" s="34"/>
      <c r="E435" s="34"/>
      <c r="F435" s="62"/>
      <c r="G435" s="37"/>
      <c r="H435" s="64"/>
      <c r="I435" s="40"/>
      <c r="J435" s="40"/>
      <c r="K435" s="33"/>
      <c r="L435" s="33"/>
      <c r="M435" s="38"/>
    </row>
    <row r="436" spans="4:14" x14ac:dyDescent="0.25">
      <c r="D436" s="34"/>
      <c r="E436" s="34"/>
      <c r="F436" s="62"/>
      <c r="G436" s="37"/>
      <c r="H436" s="64"/>
      <c r="I436" s="40"/>
      <c r="J436" s="40"/>
      <c r="K436" s="33"/>
      <c r="L436" s="33"/>
      <c r="M436" s="38"/>
    </row>
    <row r="437" spans="4:14" x14ac:dyDescent="0.25">
      <c r="D437" s="34"/>
      <c r="E437" s="34"/>
      <c r="F437" s="62"/>
      <c r="G437" s="37"/>
      <c r="H437" s="64"/>
      <c r="I437" s="40"/>
      <c r="J437" s="40"/>
      <c r="K437" s="33"/>
      <c r="L437" s="33"/>
      <c r="M437" s="38"/>
    </row>
    <row r="438" spans="4:14" x14ac:dyDescent="0.25">
      <c r="D438" s="34"/>
      <c r="E438" s="34"/>
      <c r="F438" s="62"/>
      <c r="G438" s="37"/>
      <c r="H438" s="64"/>
      <c r="I438" s="40"/>
      <c r="J438" s="40"/>
      <c r="K438" s="33"/>
      <c r="L438" s="33"/>
      <c r="M438" s="38"/>
    </row>
    <row r="439" spans="4:14" x14ac:dyDescent="0.25">
      <c r="D439" s="34"/>
      <c r="E439" s="34"/>
      <c r="F439" s="62"/>
      <c r="G439" s="37"/>
      <c r="H439" s="64"/>
      <c r="I439" s="40"/>
      <c r="J439" s="40"/>
      <c r="K439" s="33"/>
      <c r="L439" s="33"/>
      <c r="M439" s="38"/>
    </row>
    <row r="440" spans="4:14" x14ac:dyDescent="0.25">
      <c r="D440" s="34"/>
      <c r="E440" s="34"/>
      <c r="F440" s="62"/>
      <c r="G440" s="37"/>
      <c r="H440" s="64"/>
      <c r="I440" s="40"/>
      <c r="J440" s="40"/>
      <c r="K440" s="33"/>
      <c r="L440" s="33"/>
      <c r="M440" s="38"/>
    </row>
    <row r="441" spans="4:14" x14ac:dyDescent="0.25">
      <c r="D441" s="34"/>
      <c r="E441" s="34"/>
      <c r="F441" s="62"/>
      <c r="G441" s="37"/>
      <c r="H441" s="64"/>
      <c r="I441" s="40"/>
      <c r="J441" s="40"/>
      <c r="K441" s="33"/>
      <c r="L441" s="33"/>
      <c r="M441" s="38"/>
    </row>
    <row r="442" spans="4:14" x14ac:dyDescent="0.25">
      <c r="D442" s="34"/>
      <c r="E442" s="34"/>
      <c r="F442" s="62"/>
      <c r="G442" s="37"/>
      <c r="H442" s="64"/>
      <c r="I442" s="40"/>
      <c r="J442" s="40"/>
      <c r="K442" s="33"/>
      <c r="L442" s="33"/>
      <c r="M442" s="38"/>
    </row>
    <row r="443" spans="4:14" x14ac:dyDescent="0.25">
      <c r="D443" s="34"/>
      <c r="E443" s="34"/>
      <c r="F443" s="62"/>
      <c r="G443" s="37"/>
      <c r="H443" s="64"/>
      <c r="I443" s="40"/>
      <c r="J443" s="40"/>
      <c r="K443" s="33"/>
      <c r="L443" s="33"/>
      <c r="M443" s="38"/>
    </row>
    <row r="444" spans="4:14" x14ac:dyDescent="0.25">
      <c r="D444" s="34"/>
      <c r="E444" s="34"/>
      <c r="F444" s="62"/>
      <c r="G444" s="37"/>
      <c r="H444" s="64"/>
      <c r="I444" s="40"/>
      <c r="J444" s="40"/>
      <c r="K444" s="33"/>
      <c r="L444" s="33"/>
      <c r="M444" s="38"/>
    </row>
    <row r="445" spans="4:14" x14ac:dyDescent="0.25">
      <c r="D445" s="34"/>
      <c r="E445" s="34"/>
      <c r="F445" s="62"/>
      <c r="G445" s="37"/>
      <c r="H445" s="64"/>
      <c r="I445" s="40"/>
      <c r="J445" s="40"/>
      <c r="K445" s="33"/>
      <c r="L445" s="33"/>
      <c r="M445" s="38"/>
    </row>
    <row r="446" spans="4:14" x14ac:dyDescent="0.25">
      <c r="D446" s="34"/>
      <c r="E446" s="34"/>
      <c r="F446" s="62"/>
      <c r="G446" s="37"/>
      <c r="H446" s="64"/>
      <c r="I446" s="40"/>
      <c r="J446" s="40"/>
      <c r="K446" s="33"/>
      <c r="L446" s="33"/>
      <c r="M446" s="38"/>
    </row>
    <row r="447" spans="4:14" x14ac:dyDescent="0.25">
      <c r="D447" s="34"/>
      <c r="E447" s="34"/>
      <c r="F447" s="62"/>
      <c r="G447" s="37"/>
      <c r="H447" s="64"/>
      <c r="I447" s="40"/>
      <c r="J447" s="40"/>
      <c r="K447" s="33"/>
      <c r="L447" s="33"/>
      <c r="M447" s="38"/>
    </row>
    <row r="448" spans="4:14" x14ac:dyDescent="0.25">
      <c r="D448" s="34"/>
      <c r="E448" s="34"/>
      <c r="F448" s="62"/>
      <c r="G448" s="37"/>
      <c r="H448" s="64"/>
      <c r="I448" s="40"/>
      <c r="J448" s="40"/>
      <c r="K448" s="33"/>
      <c r="L448" s="33"/>
      <c r="M448" s="38"/>
    </row>
    <row r="449" spans="4:13" x14ac:dyDescent="0.25">
      <c r="D449" s="34"/>
      <c r="E449" s="34"/>
      <c r="F449" s="62"/>
      <c r="G449" s="37"/>
      <c r="H449" s="64"/>
      <c r="I449" s="40"/>
      <c r="J449" s="40"/>
      <c r="K449" s="33"/>
      <c r="L449" s="33"/>
      <c r="M449" s="38"/>
    </row>
    <row r="450" spans="4:13" x14ac:dyDescent="0.25">
      <c r="D450" s="34"/>
      <c r="E450" s="34"/>
      <c r="F450" s="62"/>
      <c r="G450" s="37"/>
      <c r="H450" s="64"/>
      <c r="I450" s="40"/>
      <c r="J450" s="40"/>
      <c r="K450" s="33"/>
      <c r="L450" s="33"/>
      <c r="M450" s="38"/>
    </row>
    <row r="451" spans="4:13" x14ac:dyDescent="0.25">
      <c r="D451" s="34"/>
      <c r="E451" s="34"/>
      <c r="F451" s="62"/>
      <c r="G451" s="37"/>
      <c r="H451" s="64"/>
      <c r="I451" s="40"/>
      <c r="J451" s="40"/>
      <c r="K451" s="33"/>
      <c r="L451" s="33"/>
      <c r="M451" s="38"/>
    </row>
    <row r="452" spans="4:13" x14ac:dyDescent="0.25">
      <c r="D452" s="34"/>
      <c r="E452" s="34"/>
      <c r="F452" s="62"/>
      <c r="G452" s="37"/>
      <c r="H452" s="64"/>
      <c r="I452" s="40"/>
      <c r="J452" s="40"/>
      <c r="K452" s="33"/>
      <c r="L452" s="33"/>
      <c r="M452" s="38"/>
    </row>
    <row r="453" spans="4:13" x14ac:dyDescent="0.25">
      <c r="D453" s="34"/>
      <c r="E453" s="34"/>
      <c r="F453" s="62"/>
      <c r="G453" s="37"/>
      <c r="H453" s="64"/>
      <c r="I453" s="40"/>
      <c r="J453" s="40"/>
      <c r="K453" s="33"/>
      <c r="L453" s="33"/>
      <c r="M453" s="38"/>
    </row>
    <row r="454" spans="4:13" x14ac:dyDescent="0.25">
      <c r="D454" s="34"/>
      <c r="E454" s="34"/>
      <c r="F454" s="62"/>
      <c r="G454" s="37"/>
      <c r="H454" s="64"/>
      <c r="I454" s="40"/>
      <c r="J454" s="40"/>
      <c r="K454" s="33"/>
      <c r="L454" s="33"/>
      <c r="M454" s="38"/>
    </row>
    <row r="455" spans="4:13" x14ac:dyDescent="0.25">
      <c r="D455" s="34"/>
      <c r="E455" s="34"/>
      <c r="F455" s="62"/>
      <c r="G455" s="37"/>
      <c r="H455" s="64"/>
      <c r="I455" s="40"/>
      <c r="J455" s="40"/>
      <c r="K455" s="33"/>
      <c r="L455" s="33"/>
      <c r="M455" s="38"/>
    </row>
    <row r="456" spans="4:13" x14ac:dyDescent="0.25">
      <c r="D456" s="34"/>
      <c r="E456" s="34"/>
      <c r="F456" s="62"/>
      <c r="G456" s="37"/>
      <c r="H456" s="64"/>
      <c r="I456" s="40"/>
      <c r="J456" s="40"/>
      <c r="K456" s="33"/>
      <c r="L456" s="33"/>
      <c r="M456" s="38"/>
    </row>
    <row r="457" spans="4:13" x14ac:dyDescent="0.25">
      <c r="D457" s="34"/>
      <c r="E457" s="34"/>
      <c r="F457" s="62"/>
      <c r="G457" s="37"/>
      <c r="H457" s="64"/>
      <c r="I457" s="40"/>
      <c r="J457" s="40"/>
      <c r="K457" s="33"/>
      <c r="L457" s="33"/>
      <c r="M457" s="38"/>
    </row>
    <row r="458" spans="4:13" x14ac:dyDescent="0.25">
      <c r="D458" s="34"/>
      <c r="E458" s="34"/>
      <c r="F458" s="62"/>
      <c r="G458" s="37"/>
      <c r="H458" s="64"/>
      <c r="I458" s="40"/>
      <c r="J458" s="40"/>
      <c r="K458" s="33"/>
      <c r="L458" s="33"/>
      <c r="M458" s="38"/>
    </row>
    <row r="459" spans="4:13" x14ac:dyDescent="0.25">
      <c r="D459" s="34"/>
      <c r="E459" s="34"/>
      <c r="F459" s="62"/>
      <c r="G459" s="37"/>
      <c r="H459" s="64"/>
      <c r="I459" s="40"/>
      <c r="J459" s="40"/>
      <c r="K459" s="33"/>
      <c r="L459" s="33"/>
      <c r="M459" s="38"/>
    </row>
    <row r="460" spans="4:13" x14ac:dyDescent="0.25">
      <c r="D460" s="34"/>
      <c r="E460" s="34"/>
      <c r="F460" s="62"/>
      <c r="G460" s="37"/>
      <c r="H460" s="64"/>
      <c r="I460" s="40"/>
      <c r="J460" s="40"/>
      <c r="K460" s="33"/>
      <c r="L460" s="33"/>
      <c r="M460" s="38"/>
    </row>
    <row r="461" spans="4:13" x14ac:dyDescent="0.25">
      <c r="D461" s="34"/>
      <c r="E461" s="34"/>
      <c r="F461" s="62"/>
      <c r="G461" s="37"/>
      <c r="H461" s="64"/>
      <c r="I461" s="40"/>
      <c r="J461" s="40"/>
      <c r="K461" s="33"/>
      <c r="L461" s="33"/>
      <c r="M461" s="38"/>
    </row>
    <row r="462" spans="4:13" x14ac:dyDescent="0.25">
      <c r="D462" s="34"/>
      <c r="E462" s="34"/>
      <c r="F462" s="62"/>
      <c r="G462" s="37"/>
      <c r="H462" s="64"/>
      <c r="I462" s="40"/>
      <c r="J462" s="40"/>
      <c r="K462" s="33"/>
      <c r="L462" s="33"/>
      <c r="M462" s="38"/>
    </row>
    <row r="463" spans="4:13" x14ac:dyDescent="0.25">
      <c r="D463" s="34"/>
      <c r="E463" s="34"/>
      <c r="F463" s="62"/>
      <c r="G463" s="37"/>
      <c r="H463" s="64"/>
      <c r="I463" s="40"/>
      <c r="J463" s="40"/>
      <c r="K463" s="33"/>
      <c r="L463" s="33"/>
      <c r="M463" s="38"/>
    </row>
    <row r="464" spans="4:13" x14ac:dyDescent="0.25">
      <c r="D464" s="34"/>
      <c r="E464" s="34"/>
      <c r="F464" s="62"/>
      <c r="G464" s="37"/>
      <c r="H464" s="64"/>
      <c r="I464" s="40"/>
      <c r="J464" s="40"/>
      <c r="K464" s="33"/>
      <c r="L464" s="33"/>
      <c r="M464" s="38"/>
    </row>
    <row r="465" spans="4:13" x14ac:dyDescent="0.25">
      <c r="D465" s="34"/>
      <c r="E465" s="34"/>
      <c r="F465" s="62"/>
      <c r="G465" s="37"/>
      <c r="H465" s="64"/>
      <c r="I465" s="40"/>
      <c r="J465" s="40"/>
      <c r="K465" s="33"/>
      <c r="L465" s="33"/>
      <c r="M465" s="38"/>
    </row>
    <row r="466" spans="4:13" x14ac:dyDescent="0.25">
      <c r="D466" s="34"/>
      <c r="E466" s="34"/>
      <c r="F466" s="62"/>
      <c r="G466" s="37"/>
      <c r="H466" s="64"/>
      <c r="I466" s="40"/>
      <c r="J466" s="40"/>
      <c r="K466" s="33"/>
      <c r="L466" s="33"/>
      <c r="M466" s="38"/>
    </row>
    <row r="467" spans="4:13" x14ac:dyDescent="0.25">
      <c r="D467" s="34"/>
      <c r="E467" s="34"/>
      <c r="F467" s="62"/>
      <c r="G467" s="37"/>
      <c r="H467" s="64"/>
      <c r="I467" s="40"/>
      <c r="J467" s="40"/>
      <c r="K467" s="33"/>
      <c r="L467" s="33"/>
      <c r="M467" s="38"/>
    </row>
    <row r="468" spans="4:13" x14ac:dyDescent="0.25">
      <c r="D468" s="34"/>
      <c r="E468" s="34"/>
      <c r="F468" s="62"/>
      <c r="G468" s="37"/>
      <c r="H468" s="64"/>
      <c r="I468" s="40"/>
      <c r="J468" s="40"/>
      <c r="K468" s="33"/>
      <c r="L468" s="33"/>
      <c r="M468" s="38"/>
    </row>
    <row r="469" spans="4:13" x14ac:dyDescent="0.25">
      <c r="D469" s="34"/>
      <c r="E469" s="34"/>
      <c r="F469" s="62"/>
      <c r="G469" s="37"/>
      <c r="H469" s="64"/>
      <c r="I469" s="40"/>
      <c r="J469" s="40"/>
      <c r="K469" s="33"/>
      <c r="L469" s="33"/>
      <c r="M469" s="38"/>
    </row>
    <row r="470" spans="4:13" x14ac:dyDescent="0.25">
      <c r="D470" s="34"/>
      <c r="E470" s="34"/>
      <c r="F470" s="62"/>
      <c r="G470" s="37"/>
      <c r="H470" s="64"/>
      <c r="I470" s="40"/>
      <c r="J470" s="40"/>
      <c r="K470" s="33"/>
      <c r="L470" s="33"/>
      <c r="M470" s="38"/>
    </row>
    <row r="471" spans="4:13" x14ac:dyDescent="0.25">
      <c r="D471" s="34"/>
      <c r="E471" s="34"/>
      <c r="F471" s="62"/>
      <c r="G471" s="37"/>
      <c r="H471" s="64"/>
      <c r="I471" s="40"/>
      <c r="J471" s="40"/>
      <c r="K471" s="33"/>
      <c r="L471" s="33"/>
      <c r="M471" s="38"/>
    </row>
    <row r="472" spans="4:13" x14ac:dyDescent="0.25">
      <c r="D472" s="34"/>
      <c r="E472" s="34"/>
      <c r="F472" s="62"/>
      <c r="G472" s="37"/>
      <c r="H472" s="64"/>
      <c r="I472" s="40"/>
      <c r="J472" s="40"/>
      <c r="K472" s="33"/>
      <c r="L472" s="33"/>
      <c r="M472" s="38"/>
    </row>
    <row r="473" spans="4:13" x14ac:dyDescent="0.25">
      <c r="D473" s="34"/>
      <c r="E473" s="34"/>
      <c r="F473" s="62"/>
      <c r="G473" s="37"/>
      <c r="H473" s="64"/>
      <c r="I473" s="40"/>
      <c r="J473" s="40"/>
      <c r="K473" s="33"/>
      <c r="L473" s="33"/>
      <c r="M473" s="38"/>
    </row>
    <row r="474" spans="4:13" x14ac:dyDescent="0.25">
      <c r="D474" s="34"/>
      <c r="E474" s="34"/>
      <c r="F474" s="62"/>
      <c r="G474" s="37"/>
      <c r="H474" s="64"/>
      <c r="I474" s="40"/>
      <c r="J474" s="40"/>
      <c r="K474" s="33"/>
      <c r="L474" s="33"/>
      <c r="M474" s="38"/>
    </row>
    <row r="475" spans="4:13" x14ac:dyDescent="0.25">
      <c r="D475" s="34"/>
      <c r="E475" s="34"/>
      <c r="F475" s="62"/>
      <c r="G475" s="37"/>
      <c r="H475" s="64"/>
      <c r="I475" s="40"/>
      <c r="J475" s="40"/>
      <c r="K475" s="33"/>
      <c r="L475" s="33"/>
      <c r="M475" s="38"/>
    </row>
    <row r="476" spans="4:13" x14ac:dyDescent="0.25">
      <c r="D476" s="34"/>
      <c r="E476" s="34"/>
      <c r="F476" s="62"/>
      <c r="G476" s="37"/>
      <c r="H476" s="64"/>
      <c r="I476" s="40"/>
      <c r="J476" s="40"/>
      <c r="K476" s="33"/>
      <c r="L476" s="33"/>
      <c r="M476" s="38"/>
    </row>
    <row r="477" spans="4:13" x14ac:dyDescent="0.25">
      <c r="D477" s="34"/>
      <c r="E477" s="34"/>
      <c r="F477" s="62"/>
      <c r="G477" s="37"/>
      <c r="H477" s="64"/>
      <c r="I477" s="40"/>
      <c r="J477" s="40"/>
      <c r="K477" s="33"/>
      <c r="L477" s="33"/>
      <c r="M477" s="38"/>
    </row>
    <row r="478" spans="4:13" x14ac:dyDescent="0.25">
      <c r="D478" s="34"/>
      <c r="E478" s="34"/>
      <c r="F478" s="62"/>
      <c r="G478" s="37"/>
      <c r="H478" s="64"/>
      <c r="I478" s="40"/>
      <c r="J478" s="40"/>
      <c r="K478" s="33"/>
      <c r="L478" s="33"/>
      <c r="M478" s="38"/>
    </row>
    <row r="479" spans="4:13" x14ac:dyDescent="0.25">
      <c r="D479" s="34"/>
      <c r="E479" s="34"/>
      <c r="F479" s="62"/>
      <c r="G479" s="37"/>
      <c r="H479" s="64"/>
      <c r="I479" s="40"/>
      <c r="J479" s="40"/>
      <c r="K479" s="33"/>
      <c r="L479" s="33"/>
      <c r="M479" s="38"/>
    </row>
    <row r="480" spans="4:13" x14ac:dyDescent="0.25">
      <c r="D480" s="34"/>
      <c r="E480" s="34"/>
      <c r="F480" s="62"/>
      <c r="G480" s="37"/>
      <c r="H480" s="64"/>
      <c r="I480" s="40"/>
      <c r="J480" s="40"/>
      <c r="K480" s="33"/>
      <c r="L480" s="33"/>
      <c r="M480" s="38"/>
    </row>
    <row r="481" spans="4:13" x14ac:dyDescent="0.25">
      <c r="D481" s="34"/>
      <c r="E481" s="34"/>
      <c r="F481" s="62"/>
      <c r="G481" s="37"/>
      <c r="H481" s="64"/>
      <c r="I481" s="40"/>
      <c r="J481" s="40"/>
      <c r="K481" s="33"/>
      <c r="L481" s="33"/>
      <c r="M481" s="38"/>
    </row>
    <row r="482" spans="4:13" x14ac:dyDescent="0.25">
      <c r="D482" s="34"/>
      <c r="E482" s="34"/>
      <c r="F482" s="62"/>
      <c r="G482" s="37"/>
      <c r="H482" s="64"/>
      <c r="I482" s="40"/>
      <c r="J482" s="40"/>
      <c r="K482" s="33"/>
      <c r="L482" s="33"/>
      <c r="M482" s="38"/>
    </row>
    <row r="483" spans="4:13" x14ac:dyDescent="0.25">
      <c r="D483" s="34"/>
      <c r="E483" s="34"/>
      <c r="F483" s="62"/>
      <c r="G483" s="37"/>
      <c r="H483" s="64"/>
      <c r="I483" s="40"/>
      <c r="J483" s="40"/>
      <c r="K483" s="33"/>
      <c r="L483" s="33"/>
      <c r="M483" s="38"/>
    </row>
    <row r="484" spans="4:13" x14ac:dyDescent="0.25">
      <c r="D484" s="34"/>
      <c r="E484" s="34"/>
      <c r="F484" s="62"/>
      <c r="G484" s="37"/>
      <c r="H484" s="64"/>
      <c r="I484" s="40"/>
      <c r="J484" s="40"/>
      <c r="K484" s="33"/>
      <c r="L484" s="33"/>
      <c r="M484" s="38"/>
    </row>
    <row r="485" spans="4:13" x14ac:dyDescent="0.25">
      <c r="D485" s="34"/>
      <c r="E485" s="34"/>
      <c r="F485" s="62"/>
      <c r="G485" s="37"/>
      <c r="H485" s="64"/>
      <c r="I485" s="40"/>
      <c r="J485" s="40"/>
      <c r="K485" s="33"/>
      <c r="L485" s="33"/>
      <c r="M485" s="38"/>
    </row>
    <row r="486" spans="4:13" x14ac:dyDescent="0.25">
      <c r="D486" s="34"/>
      <c r="E486" s="34"/>
      <c r="F486" s="62"/>
      <c r="G486" s="37"/>
      <c r="H486" s="64"/>
      <c r="I486" s="40"/>
      <c r="J486" s="40"/>
      <c r="K486" s="33"/>
      <c r="L486" s="33"/>
      <c r="M486" s="38"/>
    </row>
    <row r="487" spans="4:13" x14ac:dyDescent="0.25">
      <c r="D487" s="34"/>
      <c r="E487" s="34"/>
      <c r="F487" s="62"/>
      <c r="G487" s="37"/>
      <c r="H487" s="64"/>
      <c r="I487" s="40"/>
      <c r="J487" s="40"/>
      <c r="K487" s="33"/>
      <c r="L487" s="33"/>
      <c r="M487" s="38"/>
    </row>
    <row r="488" spans="4:13" x14ac:dyDescent="0.25">
      <c r="D488" s="34"/>
      <c r="E488" s="34"/>
      <c r="F488" s="62"/>
      <c r="G488" s="37"/>
      <c r="H488" s="64"/>
      <c r="I488" s="40"/>
      <c r="J488" s="40"/>
      <c r="K488" s="33"/>
      <c r="L488" s="33"/>
      <c r="M488" s="38"/>
    </row>
    <row r="489" spans="4:13" x14ac:dyDescent="0.25">
      <c r="D489" s="34"/>
      <c r="E489" s="34"/>
      <c r="F489" s="62"/>
      <c r="G489" s="37"/>
      <c r="H489" s="64"/>
      <c r="I489" s="40"/>
      <c r="J489" s="40"/>
      <c r="K489" s="33"/>
      <c r="L489" s="33"/>
      <c r="M489" s="38"/>
    </row>
    <row r="490" spans="4:13" x14ac:dyDescent="0.25">
      <c r="D490" s="34"/>
      <c r="E490" s="34"/>
      <c r="F490" s="62"/>
      <c r="G490" s="37"/>
      <c r="H490" s="64"/>
      <c r="I490" s="40"/>
      <c r="J490" s="40"/>
      <c r="K490" s="33"/>
      <c r="L490" s="33"/>
      <c r="M490" s="38"/>
    </row>
    <row r="491" spans="4:13" x14ac:dyDescent="0.25">
      <c r="D491" s="34"/>
      <c r="E491" s="34"/>
      <c r="F491" s="62"/>
      <c r="G491" s="37"/>
      <c r="H491" s="64"/>
      <c r="I491" s="40"/>
      <c r="J491" s="40"/>
      <c r="K491" s="33"/>
      <c r="L491" s="33"/>
      <c r="M491" s="38"/>
    </row>
    <row r="492" spans="4:13" x14ac:dyDescent="0.25">
      <c r="D492" s="34"/>
      <c r="E492" s="34"/>
      <c r="F492" s="62"/>
      <c r="G492" s="37"/>
      <c r="H492" s="64"/>
      <c r="I492" s="40"/>
      <c r="J492" s="40"/>
      <c r="K492" s="33"/>
      <c r="L492" s="33"/>
      <c r="M492" s="38"/>
    </row>
    <row r="493" spans="4:13" x14ac:dyDescent="0.25">
      <c r="D493" s="34"/>
      <c r="E493" s="34"/>
      <c r="F493" s="62"/>
      <c r="G493" s="37"/>
      <c r="H493" s="64"/>
      <c r="I493" s="40"/>
      <c r="J493" s="40"/>
      <c r="K493" s="33"/>
      <c r="L493" s="33"/>
      <c r="M493" s="38"/>
    </row>
    <row r="494" spans="4:13" x14ac:dyDescent="0.25">
      <c r="D494" s="34"/>
      <c r="E494" s="34"/>
      <c r="F494" s="62"/>
      <c r="G494" s="37"/>
      <c r="H494" s="64"/>
      <c r="I494" s="40"/>
      <c r="J494" s="40"/>
      <c r="K494" s="33"/>
      <c r="L494" s="33"/>
      <c r="M494" s="38"/>
    </row>
    <row r="495" spans="4:13" x14ac:dyDescent="0.25">
      <c r="D495" s="34"/>
      <c r="E495" s="34"/>
      <c r="F495" s="62"/>
      <c r="G495" s="37"/>
      <c r="H495" s="64"/>
      <c r="I495" s="40"/>
      <c r="J495" s="40"/>
      <c r="K495" s="33"/>
      <c r="L495" s="33"/>
      <c r="M495" s="38"/>
    </row>
    <row r="496" spans="4:13" x14ac:dyDescent="0.25">
      <c r="D496" s="34"/>
      <c r="E496" s="34"/>
      <c r="F496" s="62"/>
      <c r="G496" s="37"/>
      <c r="H496" s="64"/>
      <c r="I496" s="40"/>
      <c r="J496" s="40"/>
      <c r="K496" s="33"/>
      <c r="L496" s="33"/>
      <c r="M496" s="38"/>
    </row>
    <row r="497" spans="4:13" x14ac:dyDescent="0.25">
      <c r="D497" s="34"/>
      <c r="E497" s="34"/>
      <c r="F497" s="62"/>
      <c r="G497" s="37"/>
      <c r="H497" s="64"/>
      <c r="I497" s="40"/>
      <c r="J497" s="40"/>
      <c r="K497" s="33"/>
      <c r="L497" s="33"/>
      <c r="M497" s="38"/>
    </row>
    <row r="498" spans="4:13" x14ac:dyDescent="0.25">
      <c r="D498" s="34"/>
      <c r="E498" s="34"/>
      <c r="F498" s="62"/>
      <c r="G498" s="37"/>
      <c r="H498" s="64"/>
      <c r="I498" s="40"/>
      <c r="J498" s="40"/>
      <c r="K498" s="33"/>
      <c r="L498" s="33"/>
      <c r="M498" s="38"/>
    </row>
    <row r="499" spans="4:13" x14ac:dyDescent="0.25">
      <c r="D499" s="34"/>
      <c r="E499" s="34"/>
      <c r="F499" s="62"/>
      <c r="G499" s="37"/>
      <c r="H499" s="64"/>
      <c r="I499" s="40"/>
      <c r="J499" s="40"/>
      <c r="K499" s="33"/>
      <c r="L499" s="33"/>
      <c r="M499" s="38"/>
    </row>
    <row r="500" spans="4:13" x14ac:dyDescent="0.25">
      <c r="D500" s="34"/>
      <c r="E500" s="34"/>
      <c r="F500" s="62"/>
      <c r="G500" s="37"/>
      <c r="H500" s="64"/>
      <c r="I500" s="40"/>
      <c r="J500" s="40"/>
      <c r="K500" s="33"/>
      <c r="L500" s="33"/>
      <c r="M500" s="38"/>
    </row>
    <row r="501" spans="4:13" x14ac:dyDescent="0.25">
      <c r="D501" s="34"/>
      <c r="E501" s="34"/>
      <c r="F501" s="62"/>
      <c r="G501" s="37"/>
      <c r="H501" s="64"/>
      <c r="I501" s="40"/>
      <c r="J501" s="40"/>
      <c r="K501" s="33"/>
      <c r="L501" s="33"/>
      <c r="M501" s="38"/>
    </row>
    <row r="502" spans="4:13" x14ac:dyDescent="0.25">
      <c r="D502" s="34"/>
      <c r="E502" s="34"/>
      <c r="F502" s="62"/>
      <c r="G502" s="37"/>
      <c r="H502" s="64"/>
      <c r="I502" s="40"/>
      <c r="J502" s="40"/>
      <c r="K502" s="33"/>
      <c r="L502" s="33"/>
      <c r="M502" s="38"/>
    </row>
    <row r="503" spans="4:13" x14ac:dyDescent="0.25">
      <c r="D503" s="34"/>
      <c r="E503" s="34"/>
      <c r="F503" s="62"/>
      <c r="G503" s="37"/>
      <c r="H503" s="64"/>
      <c r="I503" s="40"/>
      <c r="J503" s="40"/>
      <c r="K503" s="33"/>
      <c r="L503" s="33"/>
      <c r="M503" s="38"/>
    </row>
    <row r="504" spans="4:13" x14ac:dyDescent="0.25">
      <c r="D504" s="34"/>
      <c r="E504" s="34"/>
      <c r="F504" s="62"/>
      <c r="G504" s="37"/>
      <c r="H504" s="64"/>
      <c r="I504" s="40"/>
      <c r="J504" s="40"/>
      <c r="K504" s="33"/>
      <c r="L504" s="33"/>
      <c r="M504" s="38"/>
    </row>
    <row r="505" spans="4:13" x14ac:dyDescent="0.25">
      <c r="D505" s="34"/>
      <c r="E505" s="34"/>
      <c r="F505" s="62"/>
      <c r="G505" s="37"/>
      <c r="H505" s="64"/>
      <c r="I505" s="40"/>
      <c r="J505" s="40"/>
      <c r="K505" s="33"/>
      <c r="L505" s="33"/>
      <c r="M505" s="38"/>
    </row>
    <row r="506" spans="4:13" x14ac:dyDescent="0.25">
      <c r="D506" s="34"/>
      <c r="E506" s="34"/>
      <c r="F506" s="62"/>
      <c r="G506" s="37"/>
      <c r="H506" s="64"/>
      <c r="I506" s="40"/>
      <c r="J506" s="40"/>
      <c r="K506" s="33"/>
      <c r="L506" s="33"/>
      <c r="M506" s="38"/>
    </row>
    <row r="507" spans="4:13" x14ac:dyDescent="0.25">
      <c r="D507" s="34"/>
      <c r="E507" s="34"/>
      <c r="F507" s="62"/>
      <c r="G507" s="37"/>
      <c r="H507" s="64"/>
      <c r="I507" s="40"/>
      <c r="J507" s="40"/>
      <c r="K507" s="33"/>
      <c r="L507" s="33"/>
      <c r="M507" s="38"/>
    </row>
    <row r="508" spans="4:13" x14ac:dyDescent="0.25">
      <c r="D508" s="34"/>
      <c r="E508" s="34"/>
      <c r="F508" s="62"/>
      <c r="G508" s="37"/>
      <c r="H508" s="64"/>
      <c r="I508" s="40"/>
      <c r="J508" s="40"/>
      <c r="K508" s="33"/>
      <c r="L508" s="33"/>
      <c r="M508" s="38"/>
    </row>
    <row r="509" spans="4:13" x14ac:dyDescent="0.25">
      <c r="D509" s="34"/>
      <c r="E509" s="34"/>
      <c r="F509" s="62"/>
      <c r="G509" s="37"/>
      <c r="H509" s="64"/>
      <c r="I509" s="40"/>
      <c r="J509" s="40"/>
      <c r="K509" s="33"/>
      <c r="L509" s="33"/>
      <c r="M509" s="38"/>
    </row>
    <row r="510" spans="4:13" x14ac:dyDescent="0.25">
      <c r="D510" s="34"/>
      <c r="E510" s="34"/>
      <c r="F510" s="62"/>
      <c r="G510" s="37"/>
      <c r="H510" s="64"/>
      <c r="I510" s="40"/>
      <c r="J510" s="40"/>
      <c r="K510" s="33"/>
      <c r="L510" s="33"/>
      <c r="M510" s="38"/>
    </row>
    <row r="511" spans="4:13" x14ac:dyDescent="0.25">
      <c r="D511" s="34"/>
      <c r="E511" s="34"/>
      <c r="F511" s="62"/>
      <c r="G511" s="37"/>
      <c r="H511" s="64"/>
      <c r="I511" s="40"/>
      <c r="J511" s="40"/>
      <c r="K511" s="33"/>
      <c r="L511" s="33"/>
      <c r="M511" s="38"/>
    </row>
    <row r="512" spans="4:13" x14ac:dyDescent="0.25">
      <c r="D512" s="34"/>
      <c r="E512" s="34"/>
      <c r="F512" s="62"/>
      <c r="G512" s="37"/>
      <c r="H512" s="64"/>
      <c r="I512" s="40"/>
      <c r="J512" s="40"/>
      <c r="K512" s="33"/>
      <c r="L512" s="33"/>
      <c r="M512" s="38"/>
    </row>
    <row r="513" spans="4:13" x14ac:dyDescent="0.25">
      <c r="D513" s="34"/>
      <c r="E513" s="34"/>
      <c r="F513" s="62"/>
      <c r="G513" s="37"/>
      <c r="H513" s="64"/>
      <c r="I513" s="40"/>
      <c r="J513" s="40"/>
      <c r="K513" s="33"/>
      <c r="L513" s="33"/>
      <c r="M513" s="38"/>
    </row>
    <row r="514" spans="4:13" x14ac:dyDescent="0.25">
      <c r="D514" s="34"/>
      <c r="E514" s="34"/>
      <c r="F514" s="62"/>
      <c r="G514" s="37"/>
      <c r="H514" s="64"/>
      <c r="I514" s="40"/>
      <c r="J514" s="40"/>
      <c r="K514" s="33"/>
      <c r="L514" s="33"/>
      <c r="M514" s="38"/>
    </row>
    <row r="515" spans="4:13" x14ac:dyDescent="0.25">
      <c r="D515" s="34"/>
      <c r="E515" s="34"/>
      <c r="F515" s="62"/>
      <c r="G515" s="37"/>
      <c r="H515" s="64"/>
      <c r="I515" s="40"/>
      <c r="J515" s="40"/>
      <c r="K515" s="33"/>
      <c r="L515" s="33"/>
      <c r="M515" s="38"/>
    </row>
    <row r="516" spans="4:13" x14ac:dyDescent="0.25">
      <c r="D516" s="34"/>
      <c r="E516" s="34"/>
      <c r="F516" s="62"/>
      <c r="G516" s="37"/>
      <c r="H516" s="64"/>
      <c r="I516" s="40"/>
      <c r="J516" s="40"/>
      <c r="K516" s="33"/>
      <c r="L516" s="33"/>
      <c r="M516" s="38"/>
    </row>
    <row r="517" spans="4:13" x14ac:dyDescent="0.25">
      <c r="D517" s="34"/>
      <c r="E517" s="34"/>
      <c r="F517" s="62"/>
      <c r="G517" s="37"/>
      <c r="H517" s="64"/>
      <c r="I517" s="40"/>
      <c r="J517" s="40"/>
      <c r="K517" s="33"/>
      <c r="L517" s="33"/>
      <c r="M517" s="38"/>
    </row>
    <row r="518" spans="4:13" x14ac:dyDescent="0.25">
      <c r="D518" s="34"/>
      <c r="E518" s="34"/>
      <c r="F518" s="62"/>
      <c r="G518" s="37"/>
      <c r="H518" s="64"/>
      <c r="I518" s="40"/>
      <c r="J518" s="40"/>
      <c r="K518" s="33"/>
      <c r="L518" s="33"/>
      <c r="M518" s="38"/>
    </row>
    <row r="519" spans="4:13" x14ac:dyDescent="0.25">
      <c r="D519" s="34"/>
      <c r="E519" s="34"/>
      <c r="F519" s="62"/>
      <c r="G519" s="37"/>
      <c r="H519" s="64"/>
      <c r="I519" s="40"/>
      <c r="J519" s="40"/>
      <c r="K519" s="33"/>
      <c r="L519" s="33"/>
      <c r="M519" s="38"/>
    </row>
    <row r="520" spans="4:13" x14ac:dyDescent="0.25">
      <c r="D520" s="34"/>
      <c r="E520" s="34"/>
      <c r="F520" s="62"/>
      <c r="G520" s="37"/>
      <c r="H520" s="64"/>
      <c r="I520" s="40"/>
      <c r="J520" s="40"/>
      <c r="K520" s="33"/>
      <c r="L520" s="33"/>
      <c r="M520" s="38"/>
    </row>
    <row r="521" spans="4:13" x14ac:dyDescent="0.25">
      <c r="D521" s="34"/>
      <c r="E521" s="34"/>
      <c r="F521" s="62"/>
      <c r="G521" s="37"/>
      <c r="H521" s="64"/>
      <c r="I521" s="40"/>
      <c r="J521" s="40"/>
      <c r="K521" s="33"/>
      <c r="L521" s="33"/>
      <c r="M521" s="38"/>
    </row>
    <row r="522" spans="4:13" x14ac:dyDescent="0.25">
      <c r="D522" s="34"/>
      <c r="E522" s="34"/>
      <c r="F522" s="62"/>
      <c r="G522" s="37"/>
      <c r="H522" s="64"/>
      <c r="I522" s="40"/>
      <c r="J522" s="40"/>
      <c r="K522" s="33"/>
      <c r="L522" s="33"/>
      <c r="M522" s="38"/>
    </row>
    <row r="523" spans="4:13" x14ac:dyDescent="0.25">
      <c r="D523" s="34"/>
      <c r="E523" s="34"/>
      <c r="F523" s="62"/>
      <c r="G523" s="37"/>
      <c r="H523" s="64"/>
      <c r="I523" s="40"/>
      <c r="J523" s="40"/>
      <c r="K523" s="33"/>
      <c r="L523" s="33"/>
      <c r="M523" s="38"/>
    </row>
    <row r="524" spans="4:13" x14ac:dyDescent="0.25">
      <c r="D524" s="34"/>
      <c r="E524" s="34"/>
      <c r="F524" s="62"/>
      <c r="G524" s="37"/>
      <c r="H524" s="64"/>
      <c r="I524" s="40"/>
      <c r="J524" s="40"/>
      <c r="K524" s="33"/>
      <c r="L524" s="33"/>
      <c r="M524" s="38"/>
    </row>
    <row r="525" spans="4:13" x14ac:dyDescent="0.25">
      <c r="D525" s="34"/>
      <c r="E525" s="34"/>
      <c r="F525" s="62"/>
      <c r="G525" s="37"/>
      <c r="H525" s="64"/>
      <c r="I525" s="40"/>
      <c r="J525" s="40"/>
      <c r="K525" s="33"/>
      <c r="L525" s="33"/>
      <c r="M525" s="38"/>
    </row>
    <row r="526" spans="4:13" x14ac:dyDescent="0.25">
      <c r="D526" s="34"/>
      <c r="E526" s="34"/>
      <c r="F526" s="62"/>
      <c r="G526" s="37"/>
      <c r="H526" s="64"/>
      <c r="I526" s="40"/>
      <c r="J526" s="40"/>
      <c r="K526" s="33"/>
      <c r="L526" s="33"/>
      <c r="M526" s="38"/>
    </row>
    <row r="527" spans="4:13" x14ac:dyDescent="0.25">
      <c r="D527" s="34"/>
      <c r="E527" s="34"/>
      <c r="F527" s="62"/>
      <c r="G527" s="37"/>
      <c r="H527" s="64"/>
      <c r="I527" s="40"/>
      <c r="J527" s="40"/>
      <c r="K527" s="33"/>
      <c r="L527" s="33"/>
      <c r="M527" s="38"/>
    </row>
    <row r="528" spans="4:13" x14ac:dyDescent="0.25">
      <c r="D528" s="34"/>
      <c r="E528" s="34"/>
      <c r="F528" s="62"/>
      <c r="G528" s="37"/>
      <c r="H528" s="64"/>
      <c r="I528" s="40"/>
      <c r="J528" s="40"/>
      <c r="K528" s="33"/>
      <c r="L528" s="33"/>
      <c r="M528" s="38"/>
    </row>
    <row r="529" spans="4:13" x14ac:dyDescent="0.25">
      <c r="D529" s="34"/>
      <c r="E529" s="34"/>
      <c r="F529" s="62"/>
      <c r="G529" s="37"/>
      <c r="H529" s="64"/>
      <c r="I529" s="40"/>
      <c r="J529" s="40"/>
      <c r="K529" s="33"/>
      <c r="L529" s="33"/>
      <c r="M529" s="38"/>
    </row>
    <row r="530" spans="4:13" x14ac:dyDescent="0.25">
      <c r="D530" s="34"/>
      <c r="E530" s="34"/>
      <c r="F530" s="62"/>
      <c r="G530" s="37"/>
      <c r="H530" s="64"/>
      <c r="I530" s="40"/>
      <c r="J530" s="40"/>
      <c r="K530" s="33"/>
      <c r="L530" s="33"/>
      <c r="M530" s="38"/>
    </row>
    <row r="531" spans="4:13" x14ac:dyDescent="0.25">
      <c r="D531" s="34"/>
      <c r="E531" s="34"/>
      <c r="F531" s="62"/>
      <c r="G531" s="37"/>
      <c r="H531" s="64"/>
      <c r="I531" s="40"/>
      <c r="J531" s="40"/>
      <c r="K531" s="33"/>
      <c r="L531" s="33"/>
      <c r="M531" s="38"/>
    </row>
    <row r="532" spans="4:13" x14ac:dyDescent="0.25">
      <c r="D532" s="34"/>
      <c r="E532" s="34"/>
      <c r="F532" s="62"/>
      <c r="G532" s="37"/>
      <c r="H532" s="64"/>
      <c r="I532" s="40"/>
      <c r="J532" s="40"/>
      <c r="K532" s="33"/>
      <c r="L532" s="33"/>
      <c r="M532" s="38"/>
    </row>
    <row r="533" spans="4:13" x14ac:dyDescent="0.25">
      <c r="D533" s="34"/>
      <c r="E533" s="34"/>
      <c r="F533" s="62"/>
      <c r="G533" s="37"/>
      <c r="H533" s="64"/>
      <c r="I533" s="40"/>
      <c r="J533" s="40"/>
      <c r="K533" s="33"/>
      <c r="L533" s="33"/>
      <c r="M533" s="38"/>
    </row>
    <row r="534" spans="4:13" x14ac:dyDescent="0.25">
      <c r="D534" s="34"/>
      <c r="E534" s="34"/>
      <c r="F534" s="62"/>
      <c r="G534" s="37"/>
      <c r="H534" s="64"/>
      <c r="I534" s="40"/>
      <c r="J534" s="40"/>
      <c r="K534" s="33"/>
      <c r="L534" s="33"/>
      <c r="M534" s="38"/>
    </row>
    <row r="535" spans="4:13" x14ac:dyDescent="0.25">
      <c r="D535" s="34"/>
      <c r="E535" s="34"/>
      <c r="F535" s="62"/>
      <c r="G535" s="37"/>
      <c r="H535" s="64"/>
      <c r="I535" s="40"/>
      <c r="J535" s="40"/>
      <c r="K535" s="33"/>
      <c r="L535" s="33"/>
      <c r="M535" s="38"/>
    </row>
    <row r="536" spans="4:13" x14ac:dyDescent="0.25">
      <c r="D536" s="34"/>
      <c r="E536" s="34"/>
      <c r="F536" s="62"/>
      <c r="G536" s="37"/>
      <c r="H536" s="64"/>
      <c r="I536" s="40"/>
      <c r="J536" s="40"/>
      <c r="K536" s="33"/>
      <c r="L536" s="33"/>
      <c r="M536" s="38"/>
    </row>
    <row r="537" spans="4:13" x14ac:dyDescent="0.25">
      <c r="D537" s="34"/>
      <c r="E537" s="34"/>
      <c r="F537" s="62"/>
      <c r="G537" s="37"/>
      <c r="H537" s="64"/>
      <c r="I537" s="40"/>
      <c r="J537" s="40"/>
      <c r="K537" s="33"/>
      <c r="L537" s="33"/>
      <c r="M537" s="38"/>
    </row>
    <row r="538" spans="4:13" x14ac:dyDescent="0.25">
      <c r="D538" s="34"/>
      <c r="E538" s="34"/>
      <c r="F538" s="62"/>
      <c r="G538" s="37"/>
      <c r="H538" s="64"/>
      <c r="I538" s="40"/>
      <c r="J538" s="40"/>
      <c r="K538" s="33"/>
      <c r="L538" s="33"/>
      <c r="M538" s="38"/>
    </row>
    <row r="539" spans="4:13" x14ac:dyDescent="0.25">
      <c r="D539" s="34"/>
      <c r="E539" s="34"/>
      <c r="F539" s="62"/>
      <c r="G539" s="37"/>
      <c r="H539" s="64"/>
      <c r="I539" s="40"/>
      <c r="J539" s="40"/>
      <c r="K539" s="33"/>
      <c r="L539" s="33"/>
      <c r="M539" s="38"/>
    </row>
    <row r="540" spans="4:13" x14ac:dyDescent="0.25">
      <c r="D540" s="34"/>
      <c r="E540" s="34"/>
      <c r="F540" s="62"/>
      <c r="G540" s="37"/>
      <c r="H540" s="64"/>
      <c r="I540" s="40"/>
      <c r="J540" s="40"/>
      <c r="K540" s="33"/>
      <c r="L540" s="33"/>
      <c r="M540" s="38"/>
    </row>
    <row r="541" spans="4:13" x14ac:dyDescent="0.25">
      <c r="D541" s="34"/>
      <c r="E541" s="34"/>
      <c r="F541" s="62"/>
      <c r="G541" s="37"/>
      <c r="H541" s="64"/>
      <c r="I541" s="40"/>
      <c r="J541" s="40"/>
      <c r="K541" s="33"/>
      <c r="L541" s="33"/>
      <c r="M541" s="38"/>
    </row>
    <row r="542" spans="4:13" x14ac:dyDescent="0.25">
      <c r="D542" s="34"/>
      <c r="E542" s="34"/>
      <c r="F542" s="62"/>
      <c r="G542" s="37"/>
      <c r="H542" s="64"/>
      <c r="I542" s="40"/>
      <c r="J542" s="40"/>
      <c r="K542" s="33"/>
      <c r="L542" s="33"/>
      <c r="M542" s="38"/>
    </row>
    <row r="543" spans="4:13" x14ac:dyDescent="0.25">
      <c r="D543" s="34"/>
      <c r="E543" s="34"/>
      <c r="F543" s="62"/>
      <c r="G543" s="37"/>
      <c r="H543" s="64"/>
      <c r="I543" s="40"/>
      <c r="J543" s="40"/>
      <c r="K543" s="33"/>
      <c r="L543" s="33"/>
      <c r="M543" s="38"/>
    </row>
    <row r="544" spans="4:13" x14ac:dyDescent="0.25">
      <c r="D544" s="34"/>
      <c r="E544" s="34"/>
      <c r="F544" s="62"/>
      <c r="G544" s="37"/>
      <c r="H544" s="64"/>
      <c r="I544" s="40"/>
      <c r="J544" s="40"/>
      <c r="K544" s="33"/>
      <c r="L544" s="33"/>
      <c r="M544" s="38"/>
    </row>
    <row r="545" spans="4:13" x14ac:dyDescent="0.25">
      <c r="D545" s="34"/>
      <c r="E545" s="34"/>
      <c r="F545" s="62"/>
      <c r="G545" s="37"/>
      <c r="H545" s="64"/>
      <c r="I545" s="40"/>
      <c r="J545" s="40"/>
      <c r="K545" s="33"/>
      <c r="L545" s="33"/>
      <c r="M545" s="38"/>
    </row>
    <row r="546" spans="4:13" x14ac:dyDescent="0.25">
      <c r="D546" s="34"/>
      <c r="E546" s="34"/>
      <c r="F546" s="62"/>
      <c r="G546" s="37"/>
      <c r="H546" s="64"/>
      <c r="I546" s="40"/>
      <c r="J546" s="40"/>
      <c r="K546" s="33"/>
      <c r="L546" s="33"/>
      <c r="M546" s="38"/>
    </row>
    <row r="547" spans="4:13" x14ac:dyDescent="0.25">
      <c r="D547" s="34"/>
      <c r="E547" s="34"/>
      <c r="F547" s="62"/>
      <c r="G547" s="37"/>
      <c r="H547" s="64"/>
      <c r="I547" s="40"/>
      <c r="J547" s="40"/>
      <c r="K547" s="33"/>
      <c r="L547" s="33"/>
      <c r="M547" s="38"/>
    </row>
    <row r="548" spans="4:13" x14ac:dyDescent="0.25">
      <c r="D548" s="34"/>
      <c r="E548" s="34"/>
      <c r="F548" s="62"/>
      <c r="G548" s="37"/>
      <c r="H548" s="64"/>
      <c r="I548" s="40"/>
      <c r="J548" s="40"/>
      <c r="K548" s="33"/>
      <c r="L548" s="33"/>
      <c r="M548" s="38"/>
    </row>
    <row r="549" spans="4:13" x14ac:dyDescent="0.25">
      <c r="D549" s="34"/>
      <c r="E549" s="34"/>
      <c r="F549" s="62"/>
      <c r="G549" s="37"/>
      <c r="H549" s="64"/>
      <c r="I549" s="40"/>
      <c r="J549" s="40"/>
      <c r="K549" s="33"/>
      <c r="L549" s="33"/>
      <c r="M549" s="38"/>
    </row>
    <row r="550" spans="4:13" x14ac:dyDescent="0.25">
      <c r="D550" s="34"/>
      <c r="E550" s="34"/>
      <c r="F550" s="62"/>
      <c r="G550" s="37"/>
      <c r="H550" s="64"/>
      <c r="I550" s="40"/>
      <c r="J550" s="40"/>
      <c r="K550" s="33"/>
      <c r="L550" s="33"/>
      <c r="M550" s="38"/>
    </row>
    <row r="551" spans="4:13" x14ac:dyDescent="0.25">
      <c r="D551" s="34"/>
      <c r="E551" s="34"/>
      <c r="F551" s="62"/>
      <c r="G551" s="37"/>
      <c r="H551" s="64"/>
      <c r="I551" s="40"/>
      <c r="J551" s="40"/>
      <c r="K551" s="33"/>
      <c r="L551" s="33"/>
      <c r="M551" s="38"/>
    </row>
    <row r="552" spans="4:13" x14ac:dyDescent="0.25">
      <c r="D552" s="34"/>
      <c r="E552" s="34"/>
      <c r="F552" s="62"/>
      <c r="G552" s="37"/>
      <c r="H552" s="64"/>
      <c r="I552" s="40"/>
      <c r="J552" s="40"/>
      <c r="K552" s="33"/>
      <c r="L552" s="33"/>
      <c r="M552" s="38"/>
    </row>
    <row r="553" spans="4:13" x14ac:dyDescent="0.25">
      <c r="D553" s="34"/>
      <c r="E553" s="34"/>
      <c r="F553" s="62"/>
      <c r="G553" s="37"/>
      <c r="H553" s="64"/>
      <c r="I553" s="40"/>
      <c r="J553" s="40"/>
      <c r="K553" s="33"/>
      <c r="L553" s="33"/>
      <c r="M553" s="38"/>
    </row>
    <row r="554" spans="4:13" x14ac:dyDescent="0.25">
      <c r="D554" s="34"/>
      <c r="E554" s="34"/>
      <c r="F554" s="62"/>
      <c r="G554" s="37"/>
      <c r="H554" s="64"/>
      <c r="I554" s="40"/>
      <c r="J554" s="40"/>
      <c r="K554" s="33"/>
      <c r="L554" s="33"/>
      <c r="M554" s="38"/>
    </row>
    <row r="555" spans="4:13" x14ac:dyDescent="0.25">
      <c r="D555" s="34"/>
      <c r="E555" s="34"/>
      <c r="F555" s="62"/>
      <c r="G555" s="37"/>
      <c r="H555" s="64"/>
      <c r="I555" s="40"/>
      <c r="J555" s="40"/>
      <c r="K555" s="33"/>
      <c r="L555" s="33"/>
      <c r="M555" s="38"/>
    </row>
    <row r="556" spans="4:13" x14ac:dyDescent="0.25">
      <c r="D556" s="34"/>
      <c r="E556" s="34"/>
      <c r="F556" s="62"/>
      <c r="G556" s="37"/>
      <c r="H556" s="64"/>
      <c r="I556" s="40"/>
      <c r="J556" s="40"/>
      <c r="K556" s="33"/>
      <c r="L556" s="33"/>
      <c r="M556" s="38"/>
    </row>
    <row r="557" spans="4:13" x14ac:dyDescent="0.25">
      <c r="D557" s="34"/>
      <c r="E557" s="34"/>
      <c r="F557" s="62"/>
      <c r="G557" s="37"/>
      <c r="H557" s="64"/>
      <c r="I557" s="40"/>
      <c r="J557" s="40"/>
      <c r="K557" s="33"/>
      <c r="L557" s="33"/>
      <c r="M557" s="38"/>
    </row>
    <row r="558" spans="4:13" x14ac:dyDescent="0.25">
      <c r="D558" s="34"/>
      <c r="E558" s="34"/>
      <c r="F558" s="62"/>
      <c r="G558" s="37"/>
      <c r="H558" s="64"/>
      <c r="I558" s="40"/>
      <c r="J558" s="40"/>
      <c r="K558" s="33"/>
      <c r="L558" s="33"/>
      <c r="M558" s="38"/>
    </row>
    <row r="559" spans="4:13" x14ac:dyDescent="0.25">
      <c r="D559" s="34"/>
      <c r="E559" s="34"/>
      <c r="F559" s="62"/>
      <c r="G559" s="37"/>
      <c r="H559" s="64"/>
      <c r="I559" s="40"/>
      <c r="J559" s="40"/>
      <c r="K559" s="33"/>
      <c r="L559" s="33"/>
      <c r="M559" s="38"/>
    </row>
    <row r="560" spans="4:13" x14ac:dyDescent="0.25">
      <c r="D560" s="34"/>
      <c r="E560" s="34"/>
      <c r="F560" s="62"/>
      <c r="G560" s="37"/>
      <c r="H560" s="64"/>
      <c r="I560" s="40"/>
      <c r="J560" s="40"/>
      <c r="K560" s="33"/>
      <c r="L560" s="33"/>
      <c r="M560" s="38"/>
    </row>
    <row r="561" spans="4:13" x14ac:dyDescent="0.25">
      <c r="D561" s="34"/>
      <c r="E561" s="34"/>
      <c r="F561" s="62"/>
      <c r="G561" s="37"/>
      <c r="H561" s="64"/>
      <c r="I561" s="40"/>
      <c r="J561" s="40"/>
      <c r="K561" s="33"/>
      <c r="L561" s="33"/>
      <c r="M561" s="38"/>
    </row>
    <row r="562" spans="4:13" x14ac:dyDescent="0.25">
      <c r="D562" s="34"/>
      <c r="E562" s="34"/>
      <c r="F562" s="62"/>
      <c r="G562" s="37"/>
      <c r="H562" s="64"/>
      <c r="I562" s="40"/>
      <c r="J562" s="40"/>
      <c r="K562" s="33"/>
      <c r="L562" s="33"/>
      <c r="M562" s="38"/>
    </row>
    <row r="563" spans="4:13" x14ac:dyDescent="0.25">
      <c r="D563" s="34"/>
      <c r="E563" s="34"/>
      <c r="F563" s="62"/>
      <c r="G563" s="37"/>
      <c r="H563" s="64"/>
      <c r="I563" s="40"/>
      <c r="J563" s="40"/>
      <c r="K563" s="33"/>
      <c r="L563" s="33"/>
      <c r="M563" s="38"/>
    </row>
    <row r="564" spans="4:13" x14ac:dyDescent="0.25">
      <c r="D564" s="34"/>
      <c r="E564" s="34"/>
      <c r="F564" s="62"/>
      <c r="G564" s="37"/>
      <c r="H564" s="64"/>
      <c r="I564" s="40"/>
      <c r="J564" s="40"/>
      <c r="K564" s="33"/>
      <c r="L564" s="33"/>
      <c r="M564" s="38"/>
    </row>
    <row r="565" spans="4:13" x14ac:dyDescent="0.25">
      <c r="D565" s="34"/>
      <c r="E565" s="34"/>
      <c r="F565" s="62"/>
      <c r="G565" s="37"/>
      <c r="H565" s="64"/>
      <c r="I565" s="40"/>
      <c r="J565" s="40"/>
      <c r="K565" s="33"/>
      <c r="L565" s="33"/>
      <c r="M565" s="38"/>
    </row>
    <row r="566" spans="4:13" x14ac:dyDescent="0.25">
      <c r="D566" s="34"/>
      <c r="E566" s="34"/>
      <c r="F566" s="62"/>
      <c r="G566" s="37"/>
      <c r="H566" s="64"/>
      <c r="I566" s="40"/>
      <c r="J566" s="40"/>
      <c r="K566" s="33"/>
      <c r="L566" s="33"/>
      <c r="M566" s="38"/>
    </row>
    <row r="567" spans="4:13" x14ac:dyDescent="0.25">
      <c r="D567" s="34"/>
      <c r="E567" s="34"/>
      <c r="F567" s="62"/>
      <c r="G567" s="37"/>
      <c r="H567" s="64"/>
      <c r="I567" s="40"/>
      <c r="J567" s="40"/>
      <c r="K567" s="33"/>
      <c r="L567" s="33"/>
      <c r="M567" s="38"/>
    </row>
    <row r="568" spans="4:13" x14ac:dyDescent="0.25">
      <c r="D568" s="34"/>
      <c r="E568" s="34"/>
      <c r="F568" s="62"/>
      <c r="G568" s="37"/>
      <c r="H568" s="64"/>
      <c r="I568" s="40"/>
      <c r="J568" s="40"/>
      <c r="K568" s="33"/>
      <c r="L568" s="33"/>
      <c r="M568" s="38"/>
    </row>
    <row r="569" spans="4:13" x14ac:dyDescent="0.25">
      <c r="D569" s="34"/>
      <c r="E569" s="34"/>
      <c r="F569" s="62"/>
      <c r="G569" s="37"/>
      <c r="H569" s="64"/>
      <c r="I569" s="40"/>
      <c r="J569" s="40"/>
      <c r="K569" s="33"/>
      <c r="L569" s="33"/>
      <c r="M569" s="38"/>
    </row>
    <row r="570" spans="4:13" x14ac:dyDescent="0.25">
      <c r="D570" s="34"/>
      <c r="E570" s="34"/>
      <c r="F570" s="62"/>
      <c r="G570" s="37"/>
      <c r="H570" s="64"/>
      <c r="I570" s="40"/>
      <c r="J570" s="40"/>
      <c r="K570" s="33"/>
      <c r="L570" s="33"/>
      <c r="M570" s="38"/>
    </row>
    <row r="571" spans="4:13" x14ac:dyDescent="0.25">
      <c r="D571" s="34"/>
      <c r="E571" s="34"/>
      <c r="F571" s="62"/>
      <c r="G571" s="37"/>
      <c r="H571" s="64"/>
      <c r="I571" s="40"/>
      <c r="J571" s="40"/>
      <c r="K571" s="33"/>
      <c r="L571" s="33"/>
      <c r="M571" s="38"/>
    </row>
    <row r="572" spans="4:13" x14ac:dyDescent="0.25">
      <c r="D572" s="34"/>
      <c r="E572" s="34"/>
      <c r="F572" s="62"/>
      <c r="G572" s="37"/>
      <c r="H572" s="64"/>
      <c r="I572" s="40"/>
      <c r="J572" s="40"/>
      <c r="K572" s="33"/>
      <c r="L572" s="33"/>
      <c r="M572" s="38"/>
    </row>
    <row r="573" spans="4:13" x14ac:dyDescent="0.25">
      <c r="D573" s="34"/>
      <c r="E573" s="34"/>
      <c r="F573" s="62"/>
      <c r="G573" s="37"/>
      <c r="H573" s="64"/>
      <c r="I573" s="40"/>
      <c r="J573" s="40"/>
      <c r="K573" s="33"/>
      <c r="L573" s="33"/>
      <c r="M573" s="38"/>
    </row>
    <row r="574" spans="4:13" x14ac:dyDescent="0.25">
      <c r="D574" s="34"/>
      <c r="E574" s="34"/>
      <c r="F574" s="62"/>
      <c r="G574" s="37"/>
      <c r="H574" s="64"/>
      <c r="I574" s="40"/>
      <c r="J574" s="40"/>
      <c r="K574" s="33"/>
      <c r="L574" s="33"/>
      <c r="M574" s="38"/>
    </row>
    <row r="575" spans="4:13" x14ac:dyDescent="0.25">
      <c r="D575" s="34"/>
      <c r="E575" s="34"/>
      <c r="F575" s="62"/>
      <c r="G575" s="37"/>
      <c r="H575" s="64"/>
      <c r="I575" s="40"/>
      <c r="J575" s="40"/>
      <c r="K575" s="33"/>
      <c r="L575" s="33"/>
      <c r="M575" s="38"/>
    </row>
    <row r="576" spans="4:13" x14ac:dyDescent="0.25">
      <c r="D576" s="34"/>
      <c r="E576" s="34"/>
      <c r="F576" s="62"/>
      <c r="G576" s="37"/>
      <c r="H576" s="64"/>
      <c r="I576" s="40"/>
      <c r="J576" s="40"/>
      <c r="K576" s="33"/>
      <c r="L576" s="33"/>
      <c r="M576" s="38"/>
    </row>
    <row r="577" spans="4:13" x14ac:dyDescent="0.25">
      <c r="D577" s="34"/>
      <c r="E577" s="34"/>
      <c r="F577" s="62"/>
      <c r="G577" s="37"/>
      <c r="H577" s="64"/>
      <c r="I577" s="40"/>
      <c r="J577" s="40"/>
      <c r="K577" s="33"/>
      <c r="L577" s="33"/>
      <c r="M577" s="38"/>
    </row>
    <row r="578" spans="4:13" x14ac:dyDescent="0.25">
      <c r="D578" s="34"/>
      <c r="E578" s="34"/>
      <c r="F578" s="62"/>
      <c r="G578" s="37"/>
      <c r="H578" s="64"/>
      <c r="I578" s="40"/>
      <c r="J578" s="40"/>
      <c r="K578" s="33"/>
      <c r="L578" s="33"/>
      <c r="M578" s="38"/>
    </row>
    <row r="579" spans="4:13" x14ac:dyDescent="0.25">
      <c r="D579" s="34"/>
      <c r="E579" s="34"/>
      <c r="F579" s="62"/>
      <c r="G579" s="37"/>
      <c r="H579" s="64"/>
      <c r="I579" s="40"/>
      <c r="J579" s="40"/>
      <c r="K579" s="33"/>
      <c r="L579" s="33"/>
      <c r="M579" s="38"/>
    </row>
    <row r="580" spans="4:13" x14ac:dyDescent="0.25">
      <c r="D580" s="34"/>
      <c r="E580" s="34"/>
      <c r="F580" s="62"/>
      <c r="G580" s="37"/>
      <c r="H580" s="64"/>
      <c r="I580" s="40"/>
      <c r="J580" s="40"/>
      <c r="K580" s="33"/>
      <c r="L580" s="33"/>
      <c r="M580" s="38"/>
    </row>
    <row r="581" spans="4:13" x14ac:dyDescent="0.25">
      <c r="D581" s="34"/>
      <c r="E581" s="34"/>
      <c r="F581" s="62"/>
      <c r="G581" s="37"/>
      <c r="H581" s="64"/>
      <c r="I581" s="40"/>
      <c r="J581" s="40"/>
      <c r="K581" s="33"/>
      <c r="L581" s="33"/>
      <c r="M581" s="38"/>
    </row>
    <row r="582" spans="4:13" x14ac:dyDescent="0.25">
      <c r="D582" s="34"/>
      <c r="E582" s="34"/>
      <c r="F582" s="62"/>
      <c r="G582" s="37"/>
      <c r="H582" s="64"/>
      <c r="I582" s="40"/>
      <c r="J582" s="40"/>
      <c r="K582" s="33"/>
      <c r="L582" s="33"/>
      <c r="M582" s="38"/>
    </row>
    <row r="583" spans="4:13" x14ac:dyDescent="0.25">
      <c r="D583" s="34"/>
      <c r="E583" s="34"/>
      <c r="F583" s="62"/>
      <c r="G583" s="37"/>
      <c r="H583" s="64"/>
      <c r="I583" s="40"/>
      <c r="J583" s="40"/>
      <c r="K583" s="33"/>
      <c r="L583" s="33"/>
      <c r="M583" s="38"/>
    </row>
    <row r="584" spans="4:13" x14ac:dyDescent="0.25">
      <c r="D584" s="34"/>
      <c r="E584" s="34"/>
      <c r="F584" s="62"/>
      <c r="G584" s="37"/>
      <c r="H584" s="64"/>
      <c r="I584" s="40"/>
      <c r="J584" s="40"/>
      <c r="K584" s="33"/>
      <c r="L584" s="33"/>
      <c r="M584" s="38"/>
    </row>
    <row r="585" spans="4:13" x14ac:dyDescent="0.25">
      <c r="D585" s="34"/>
      <c r="E585" s="34"/>
      <c r="F585" s="62"/>
      <c r="G585" s="37"/>
      <c r="H585" s="64"/>
      <c r="I585" s="40"/>
      <c r="J585" s="40"/>
      <c r="K585" s="33"/>
      <c r="L585" s="33"/>
      <c r="M585" s="38"/>
    </row>
    <row r="586" spans="4:13" x14ac:dyDescent="0.25">
      <c r="D586" s="34"/>
      <c r="E586" s="34"/>
      <c r="F586" s="62"/>
      <c r="G586" s="37"/>
      <c r="H586" s="64"/>
      <c r="I586" s="40"/>
      <c r="J586" s="40"/>
      <c r="K586" s="33"/>
      <c r="L586" s="33"/>
      <c r="M586" s="38"/>
    </row>
    <row r="587" spans="4:13" x14ac:dyDescent="0.25">
      <c r="D587" s="34"/>
      <c r="E587" s="34"/>
      <c r="F587" s="62"/>
      <c r="G587" s="37"/>
      <c r="H587" s="64"/>
      <c r="I587" s="40"/>
      <c r="J587" s="40"/>
      <c r="K587" s="33"/>
      <c r="L587" s="33"/>
      <c r="M587" s="38"/>
    </row>
    <row r="588" spans="4:13" x14ac:dyDescent="0.25">
      <c r="D588" s="34"/>
      <c r="E588" s="34"/>
      <c r="F588" s="62"/>
      <c r="G588" s="37"/>
      <c r="H588" s="64"/>
      <c r="I588" s="40"/>
      <c r="J588" s="40"/>
      <c r="K588" s="33"/>
      <c r="L588" s="33"/>
      <c r="M588" s="38"/>
    </row>
    <row r="589" spans="4:13" x14ac:dyDescent="0.25">
      <c r="D589" s="34"/>
      <c r="E589" s="34"/>
      <c r="F589" s="62"/>
      <c r="G589" s="37"/>
      <c r="H589" s="64"/>
      <c r="I589" s="40"/>
      <c r="J589" s="40"/>
      <c r="K589" s="33"/>
      <c r="L589" s="33"/>
      <c r="M589" s="38"/>
    </row>
    <row r="590" spans="4:13" x14ac:dyDescent="0.25">
      <c r="D590" s="34"/>
      <c r="E590" s="34"/>
      <c r="F590" s="62"/>
      <c r="G590" s="37"/>
      <c r="H590" s="64"/>
      <c r="I590" s="40"/>
      <c r="J590" s="40"/>
      <c r="K590" s="33"/>
      <c r="L590" s="33"/>
      <c r="M590" s="38"/>
    </row>
    <row r="591" spans="4:13" x14ac:dyDescent="0.25">
      <c r="D591" s="34"/>
      <c r="E591" s="34"/>
      <c r="F591" s="62"/>
      <c r="G591" s="37"/>
      <c r="H591" s="64"/>
      <c r="I591" s="40"/>
      <c r="J591" s="40"/>
      <c r="K591" s="33"/>
      <c r="L591" s="33"/>
      <c r="M591" s="38"/>
    </row>
    <row r="592" spans="4:13" x14ac:dyDescent="0.25">
      <c r="D592" s="34"/>
      <c r="E592" s="34"/>
      <c r="F592" s="62"/>
      <c r="G592" s="37"/>
      <c r="H592" s="64"/>
      <c r="I592" s="40"/>
      <c r="J592" s="40"/>
      <c r="K592" s="33"/>
      <c r="L592" s="33"/>
      <c r="M592" s="38"/>
    </row>
    <row r="593" spans="4:13" x14ac:dyDescent="0.25">
      <c r="D593" s="34"/>
      <c r="E593" s="34"/>
      <c r="F593" s="62"/>
      <c r="G593" s="37"/>
      <c r="H593" s="64"/>
      <c r="I593" s="40"/>
      <c r="J593" s="40"/>
      <c r="K593" s="33"/>
      <c r="L593" s="33"/>
      <c r="M593" s="38"/>
    </row>
    <row r="594" spans="4:13" x14ac:dyDescent="0.25">
      <c r="D594" s="34"/>
      <c r="E594" s="34"/>
      <c r="F594" s="62"/>
      <c r="G594" s="37"/>
      <c r="H594" s="64"/>
      <c r="I594" s="40"/>
      <c r="J594" s="40"/>
      <c r="K594" s="33"/>
      <c r="L594" s="33"/>
      <c r="M594" s="38"/>
    </row>
    <row r="595" spans="4:13" x14ac:dyDescent="0.25">
      <c r="D595" s="34"/>
      <c r="E595" s="34"/>
      <c r="F595" s="62"/>
      <c r="G595" s="37"/>
      <c r="H595" s="64"/>
      <c r="I595" s="40"/>
      <c r="J595" s="40"/>
      <c r="K595" s="33"/>
      <c r="L595" s="33"/>
      <c r="M595" s="38"/>
    </row>
    <row r="596" spans="4:13" x14ac:dyDescent="0.25">
      <c r="D596" s="34"/>
      <c r="E596" s="34"/>
      <c r="F596" s="62"/>
      <c r="G596" s="37"/>
      <c r="H596" s="64"/>
      <c r="I596" s="40"/>
      <c r="J596" s="40"/>
      <c r="K596" s="33"/>
      <c r="L596" s="33"/>
      <c r="M596" s="38"/>
    </row>
    <row r="597" spans="4:13" x14ac:dyDescent="0.25">
      <c r="D597" s="34"/>
      <c r="E597" s="34"/>
      <c r="F597" s="62"/>
      <c r="G597" s="37"/>
      <c r="H597" s="64"/>
      <c r="I597" s="40"/>
      <c r="J597" s="40"/>
      <c r="K597" s="33"/>
      <c r="L597" s="33"/>
      <c r="M597" s="38"/>
    </row>
    <row r="598" spans="4:13" x14ac:dyDescent="0.25">
      <c r="D598" s="34"/>
      <c r="E598" s="34"/>
      <c r="F598" s="62"/>
      <c r="G598" s="37"/>
      <c r="H598" s="64"/>
      <c r="I598" s="40"/>
      <c r="J598" s="40"/>
      <c r="K598" s="33"/>
      <c r="L598" s="33"/>
      <c r="M598" s="38"/>
    </row>
    <row r="599" spans="4:13" x14ac:dyDescent="0.25">
      <c r="D599" s="34"/>
      <c r="E599" s="34"/>
      <c r="F599" s="62"/>
      <c r="G599" s="37"/>
      <c r="H599" s="64"/>
      <c r="I599" s="40"/>
      <c r="J599" s="40"/>
      <c r="K599" s="33"/>
      <c r="L599" s="33"/>
      <c r="M599" s="38"/>
    </row>
    <row r="600" spans="4:13" x14ac:dyDescent="0.25">
      <c r="D600" s="34"/>
      <c r="E600" s="34"/>
      <c r="F600" s="62"/>
      <c r="G600" s="37"/>
      <c r="H600" s="64"/>
      <c r="I600" s="40"/>
      <c r="J600" s="40"/>
      <c r="K600" s="33"/>
      <c r="L600" s="33"/>
      <c r="M600" s="38"/>
    </row>
    <row r="601" spans="4:13" x14ac:dyDescent="0.25">
      <c r="D601" s="34"/>
      <c r="E601" s="34"/>
      <c r="F601" s="62"/>
      <c r="G601" s="37"/>
      <c r="H601" s="64"/>
      <c r="I601" s="40"/>
      <c r="J601" s="40"/>
      <c r="K601" s="33"/>
      <c r="L601" s="33"/>
      <c r="M601" s="38"/>
    </row>
    <row r="602" spans="4:13" x14ac:dyDescent="0.25">
      <c r="D602" s="34"/>
      <c r="E602" s="34"/>
      <c r="F602" s="62"/>
      <c r="G602" s="37"/>
      <c r="H602" s="64"/>
      <c r="I602" s="40"/>
      <c r="J602" s="40"/>
      <c r="K602" s="33"/>
      <c r="L602" s="33"/>
      <c r="M602" s="38"/>
    </row>
    <row r="603" spans="4:13" x14ac:dyDescent="0.25">
      <c r="D603" s="34"/>
      <c r="E603" s="34"/>
      <c r="F603" s="62"/>
      <c r="G603" s="37"/>
      <c r="H603" s="64"/>
      <c r="I603" s="40"/>
      <c r="J603" s="40"/>
      <c r="K603" s="33"/>
      <c r="L603" s="33"/>
      <c r="M603" s="38"/>
    </row>
    <row r="604" spans="4:13" x14ac:dyDescent="0.25">
      <c r="D604" s="34"/>
      <c r="E604" s="34"/>
      <c r="F604" s="62"/>
      <c r="G604" s="37"/>
      <c r="H604" s="64"/>
      <c r="I604" s="40"/>
      <c r="J604" s="40"/>
      <c r="K604" s="33"/>
      <c r="L604" s="33"/>
      <c r="M604" s="38"/>
    </row>
    <row r="605" spans="4:13" x14ac:dyDescent="0.25">
      <c r="D605" s="34"/>
      <c r="E605" s="34"/>
      <c r="F605" s="62"/>
      <c r="G605" s="37"/>
      <c r="H605" s="64"/>
      <c r="I605" s="40"/>
      <c r="J605" s="40"/>
      <c r="K605" s="33"/>
      <c r="L605" s="33"/>
      <c r="M605" s="38"/>
    </row>
    <row r="606" spans="4:13" x14ac:dyDescent="0.25">
      <c r="D606" s="34"/>
      <c r="E606" s="34"/>
      <c r="F606" s="62"/>
      <c r="G606" s="37"/>
      <c r="H606" s="64"/>
      <c r="I606" s="40"/>
      <c r="J606" s="40"/>
      <c r="K606" s="33"/>
      <c r="L606" s="33"/>
      <c r="M606" s="38"/>
    </row>
    <row r="607" spans="4:13" x14ac:dyDescent="0.25">
      <c r="D607" s="34"/>
      <c r="E607" s="34"/>
      <c r="F607" s="62"/>
      <c r="G607" s="37"/>
      <c r="H607" s="64"/>
      <c r="I607" s="40"/>
      <c r="J607" s="40"/>
      <c r="K607" s="33"/>
      <c r="L607" s="33"/>
      <c r="M607" s="38"/>
    </row>
    <row r="608" spans="4:13" x14ac:dyDescent="0.25">
      <c r="D608" s="34"/>
      <c r="E608" s="34"/>
      <c r="F608" s="62"/>
      <c r="G608" s="37"/>
      <c r="H608" s="64"/>
      <c r="I608" s="40"/>
      <c r="J608" s="40"/>
      <c r="K608" s="33"/>
      <c r="L608" s="33"/>
      <c r="M608" s="38"/>
    </row>
    <row r="609" spans="4:13" x14ac:dyDescent="0.25">
      <c r="D609" s="34"/>
      <c r="E609" s="34"/>
      <c r="F609" s="62"/>
      <c r="G609" s="37"/>
      <c r="H609" s="64"/>
      <c r="I609" s="40"/>
      <c r="J609" s="40"/>
      <c r="K609" s="33"/>
      <c r="L609" s="33"/>
      <c r="M609" s="38"/>
    </row>
    <row r="610" spans="4:13" x14ac:dyDescent="0.25">
      <c r="D610" s="34"/>
      <c r="E610" s="34"/>
      <c r="F610" s="62"/>
      <c r="G610" s="37"/>
      <c r="H610" s="64"/>
      <c r="I610" s="40"/>
      <c r="J610" s="40"/>
      <c r="K610" s="33"/>
      <c r="L610" s="33"/>
      <c r="M610" s="38"/>
    </row>
    <row r="611" spans="4:13" x14ac:dyDescent="0.25">
      <c r="D611" s="34"/>
      <c r="E611" s="34"/>
      <c r="F611" s="62"/>
      <c r="G611" s="37"/>
      <c r="H611" s="64"/>
      <c r="I611" s="40"/>
      <c r="J611" s="40"/>
      <c r="K611" s="33"/>
      <c r="L611" s="33"/>
      <c r="M611" s="38"/>
    </row>
    <row r="612" spans="4:13" x14ac:dyDescent="0.25">
      <c r="D612" s="34"/>
      <c r="E612" s="34"/>
      <c r="F612" s="62"/>
      <c r="G612" s="37"/>
      <c r="H612" s="64"/>
      <c r="I612" s="40"/>
      <c r="J612" s="40"/>
      <c r="K612" s="33"/>
      <c r="L612" s="33"/>
      <c r="M612" s="38"/>
    </row>
    <row r="613" spans="4:13" x14ac:dyDescent="0.25">
      <c r="D613" s="34"/>
      <c r="E613" s="34"/>
      <c r="F613" s="62"/>
      <c r="G613" s="37"/>
      <c r="H613" s="64"/>
      <c r="I613" s="40"/>
      <c r="J613" s="40"/>
      <c r="K613" s="33"/>
      <c r="L613" s="33"/>
      <c r="M613" s="38"/>
    </row>
    <row r="614" spans="4:13" x14ac:dyDescent="0.25">
      <c r="D614" s="34"/>
      <c r="E614" s="34"/>
      <c r="F614" s="62"/>
      <c r="G614" s="37"/>
      <c r="H614" s="64"/>
      <c r="I614" s="40"/>
      <c r="J614" s="40"/>
      <c r="K614" s="33"/>
      <c r="L614" s="33"/>
      <c r="M614" s="38"/>
    </row>
    <row r="615" spans="4:13" x14ac:dyDescent="0.25">
      <c r="D615" s="34"/>
      <c r="E615" s="34"/>
      <c r="F615" s="62"/>
      <c r="G615" s="37"/>
      <c r="H615" s="64"/>
      <c r="I615" s="40"/>
      <c r="J615" s="40"/>
      <c r="K615" s="33"/>
      <c r="L615" s="33"/>
      <c r="M615" s="38"/>
    </row>
    <row r="616" spans="4:13" x14ac:dyDescent="0.25">
      <c r="D616" s="34"/>
      <c r="E616" s="34"/>
      <c r="F616" s="62"/>
      <c r="G616" s="37"/>
      <c r="H616" s="64"/>
      <c r="I616" s="40"/>
      <c r="J616" s="40"/>
      <c r="K616" s="33"/>
      <c r="L616" s="33"/>
      <c r="M616" s="38"/>
    </row>
    <row r="617" spans="4:13" x14ac:dyDescent="0.25">
      <c r="D617" s="34"/>
      <c r="E617" s="34"/>
      <c r="F617" s="62"/>
      <c r="G617" s="37"/>
      <c r="H617" s="64"/>
      <c r="I617" s="40"/>
      <c r="J617" s="40"/>
      <c r="K617" s="33"/>
      <c r="L617" s="33"/>
      <c r="M617" s="38"/>
    </row>
    <row r="618" spans="4:13" x14ac:dyDescent="0.25">
      <c r="D618" s="34"/>
      <c r="E618" s="34"/>
      <c r="F618" s="62"/>
      <c r="G618" s="37"/>
      <c r="H618" s="64"/>
      <c r="I618" s="40"/>
      <c r="J618" s="40"/>
      <c r="K618" s="33"/>
      <c r="L618" s="33"/>
      <c r="M618" s="38"/>
    </row>
    <row r="619" spans="4:13" x14ac:dyDescent="0.25">
      <c r="D619" s="34"/>
      <c r="E619" s="34"/>
      <c r="F619" s="62"/>
      <c r="G619" s="37"/>
      <c r="H619" s="64"/>
      <c r="I619" s="40"/>
      <c r="J619" s="40"/>
      <c r="K619" s="33"/>
      <c r="L619" s="33"/>
      <c r="M619" s="38"/>
    </row>
    <row r="620" spans="4:13" x14ac:dyDescent="0.25">
      <c r="D620" s="34"/>
      <c r="E620" s="34"/>
      <c r="F620" s="62"/>
      <c r="G620" s="37"/>
      <c r="H620" s="64"/>
      <c r="I620" s="40"/>
      <c r="J620" s="40"/>
      <c r="K620" s="33"/>
      <c r="L620" s="33"/>
      <c r="M620" s="38"/>
    </row>
    <row r="621" spans="4:13" x14ac:dyDescent="0.25">
      <c r="D621" s="34"/>
      <c r="E621" s="34"/>
      <c r="F621" s="62"/>
      <c r="G621" s="37"/>
      <c r="H621" s="64"/>
      <c r="I621" s="40"/>
      <c r="J621" s="40"/>
      <c r="K621" s="33"/>
      <c r="L621" s="33"/>
      <c r="M621" s="38"/>
    </row>
    <row r="622" spans="4:13" x14ac:dyDescent="0.25">
      <c r="D622" s="34"/>
      <c r="E622" s="34"/>
      <c r="F622" s="62"/>
      <c r="G622" s="37"/>
      <c r="H622" s="64"/>
      <c r="I622" s="40"/>
      <c r="J622" s="40"/>
      <c r="K622" s="33"/>
      <c r="L622" s="33"/>
      <c r="M622" s="38"/>
    </row>
    <row r="623" spans="4:13" x14ac:dyDescent="0.25">
      <c r="D623" s="34"/>
      <c r="E623" s="34"/>
      <c r="F623" s="62"/>
      <c r="G623" s="37"/>
      <c r="H623" s="64"/>
      <c r="I623" s="40"/>
      <c r="J623" s="40"/>
      <c r="K623" s="33"/>
      <c r="L623" s="33"/>
      <c r="M623" s="38"/>
    </row>
    <row r="624" spans="4:13" x14ac:dyDescent="0.25">
      <c r="D624" s="34"/>
      <c r="E624" s="34"/>
      <c r="F624" s="62"/>
      <c r="G624" s="37"/>
      <c r="H624" s="64"/>
      <c r="I624" s="40"/>
      <c r="J624" s="40"/>
      <c r="K624" s="33"/>
      <c r="L624" s="33"/>
      <c r="M624" s="38"/>
    </row>
    <row r="625" spans="4:13" x14ac:dyDescent="0.25">
      <c r="D625" s="34"/>
      <c r="E625" s="34"/>
      <c r="F625" s="62"/>
      <c r="G625" s="37"/>
      <c r="H625" s="64"/>
      <c r="I625" s="40"/>
      <c r="J625" s="40"/>
      <c r="K625" s="33"/>
      <c r="L625" s="33"/>
      <c r="M625" s="38"/>
    </row>
    <row r="626" spans="4:13" x14ac:dyDescent="0.25">
      <c r="D626" s="34"/>
      <c r="E626" s="34"/>
      <c r="F626" s="62"/>
      <c r="G626" s="37"/>
      <c r="H626" s="64"/>
      <c r="I626" s="40"/>
      <c r="J626" s="40"/>
      <c r="K626" s="33"/>
      <c r="L626" s="33"/>
      <c r="M626" s="38"/>
    </row>
    <row r="627" spans="4:13" x14ac:dyDescent="0.25">
      <c r="D627" s="34"/>
      <c r="E627" s="34"/>
      <c r="F627" s="62"/>
      <c r="G627" s="37"/>
      <c r="H627" s="64"/>
      <c r="I627" s="40"/>
      <c r="J627" s="40"/>
      <c r="K627" s="33"/>
      <c r="L627" s="33"/>
      <c r="M627" s="38"/>
    </row>
    <row r="628" spans="4:13" x14ac:dyDescent="0.25">
      <c r="D628" s="34"/>
      <c r="E628" s="34"/>
      <c r="F628" s="62"/>
      <c r="G628" s="37"/>
      <c r="H628" s="64"/>
      <c r="I628" s="40"/>
      <c r="J628" s="40"/>
      <c r="K628" s="33"/>
      <c r="L628" s="33"/>
      <c r="M628" s="38"/>
    </row>
    <row r="629" spans="4:13" x14ac:dyDescent="0.25">
      <c r="D629" s="34"/>
      <c r="E629" s="34"/>
      <c r="F629" s="62"/>
      <c r="G629" s="37"/>
      <c r="H629" s="64"/>
      <c r="I629" s="40"/>
      <c r="J629" s="40"/>
      <c r="K629" s="33"/>
      <c r="L629" s="33"/>
      <c r="M629" s="38"/>
    </row>
    <row r="630" spans="4:13" x14ac:dyDescent="0.25">
      <c r="D630" s="34"/>
      <c r="E630" s="34"/>
      <c r="F630" s="62"/>
      <c r="G630" s="37"/>
      <c r="H630" s="64"/>
      <c r="I630" s="40"/>
      <c r="J630" s="40"/>
      <c r="K630" s="33"/>
      <c r="L630" s="33"/>
      <c r="M630" s="38"/>
    </row>
    <row r="631" spans="4:13" x14ac:dyDescent="0.25">
      <c r="D631" s="34"/>
      <c r="E631" s="34"/>
      <c r="F631" s="62"/>
      <c r="G631" s="37"/>
      <c r="H631" s="64"/>
      <c r="I631" s="40"/>
      <c r="J631" s="40"/>
      <c r="K631" s="33"/>
      <c r="L631" s="33"/>
      <c r="M631" s="38"/>
    </row>
    <row r="632" spans="4:13" x14ac:dyDescent="0.25">
      <c r="D632" s="34"/>
      <c r="E632" s="34"/>
      <c r="F632" s="62"/>
      <c r="G632" s="37"/>
      <c r="H632" s="64"/>
      <c r="I632" s="40"/>
      <c r="J632" s="40"/>
      <c r="K632" s="33"/>
      <c r="L632" s="33"/>
      <c r="M632" s="38"/>
    </row>
    <row r="633" spans="4:13" x14ac:dyDescent="0.25">
      <c r="D633" s="34"/>
      <c r="E633" s="34"/>
      <c r="F633" s="62"/>
      <c r="G633" s="37"/>
      <c r="H633" s="64"/>
      <c r="I633" s="40"/>
      <c r="J633" s="40"/>
      <c r="K633" s="33"/>
      <c r="L633" s="33"/>
      <c r="M633" s="38"/>
    </row>
    <row r="634" spans="4:13" x14ac:dyDescent="0.25">
      <c r="D634" s="34"/>
      <c r="E634" s="34"/>
      <c r="F634" s="62"/>
      <c r="G634" s="37"/>
      <c r="H634" s="64"/>
      <c r="I634" s="40"/>
      <c r="J634" s="40"/>
      <c r="K634" s="33"/>
      <c r="L634" s="33"/>
      <c r="M634" s="38"/>
    </row>
    <row r="635" spans="4:13" x14ac:dyDescent="0.25">
      <c r="D635" s="34"/>
      <c r="E635" s="34"/>
      <c r="F635" s="62"/>
      <c r="G635" s="37"/>
      <c r="H635" s="64"/>
      <c r="I635" s="40"/>
      <c r="J635" s="40"/>
      <c r="K635" s="33"/>
      <c r="L635" s="33"/>
      <c r="M635" s="38"/>
    </row>
    <row r="636" spans="4:13" x14ac:dyDescent="0.25">
      <c r="D636" s="34"/>
      <c r="E636" s="34"/>
      <c r="F636" s="62"/>
      <c r="G636" s="37"/>
      <c r="H636" s="64"/>
      <c r="I636" s="40"/>
      <c r="J636" s="40"/>
      <c r="K636" s="33"/>
      <c r="L636" s="33"/>
      <c r="M636" s="38"/>
    </row>
    <row r="637" spans="4:13" x14ac:dyDescent="0.25">
      <c r="D637" s="34"/>
      <c r="E637" s="34"/>
      <c r="F637" s="62"/>
      <c r="G637" s="37"/>
      <c r="H637" s="64"/>
      <c r="I637" s="40"/>
      <c r="J637" s="40"/>
      <c r="K637" s="33"/>
      <c r="L637" s="33"/>
      <c r="M637" s="38"/>
    </row>
    <row r="638" spans="4:13" x14ac:dyDescent="0.25">
      <c r="D638" s="34"/>
      <c r="E638" s="34"/>
      <c r="F638" s="62"/>
      <c r="G638" s="37"/>
      <c r="H638" s="64"/>
      <c r="I638" s="40"/>
      <c r="J638" s="40"/>
      <c r="K638" s="33"/>
      <c r="L638" s="33"/>
      <c r="M638" s="38"/>
    </row>
    <row r="639" spans="4:13" x14ac:dyDescent="0.25">
      <c r="D639" s="34"/>
      <c r="E639" s="34"/>
      <c r="F639" s="62"/>
      <c r="G639" s="37"/>
      <c r="H639" s="64"/>
      <c r="I639" s="40"/>
      <c r="J639" s="40"/>
      <c r="K639" s="33"/>
      <c r="L639" s="33"/>
      <c r="M639" s="38"/>
    </row>
    <row r="640" spans="4:13" x14ac:dyDescent="0.25">
      <c r="D640" s="34"/>
      <c r="E640" s="34"/>
      <c r="F640" s="62"/>
      <c r="G640" s="37"/>
      <c r="H640" s="64"/>
      <c r="I640" s="40"/>
      <c r="J640" s="40"/>
      <c r="K640" s="33"/>
      <c r="L640" s="33"/>
      <c r="M640" s="38"/>
    </row>
    <row r="641" spans="4:13" x14ac:dyDescent="0.25">
      <c r="D641" s="34"/>
      <c r="E641" s="34"/>
      <c r="F641" s="62"/>
      <c r="G641" s="37"/>
      <c r="H641" s="64"/>
      <c r="I641" s="40"/>
      <c r="J641" s="40"/>
      <c r="K641" s="33"/>
      <c r="L641" s="33"/>
      <c r="M641" s="38"/>
    </row>
    <row r="642" spans="4:13" x14ac:dyDescent="0.25">
      <c r="D642" s="34"/>
      <c r="E642" s="34"/>
      <c r="F642" s="62"/>
      <c r="G642" s="37"/>
      <c r="H642" s="64"/>
      <c r="I642" s="40"/>
      <c r="J642" s="40"/>
      <c r="K642" s="33"/>
      <c r="L642" s="33"/>
      <c r="M642" s="38"/>
    </row>
    <row r="643" spans="4:13" x14ac:dyDescent="0.25">
      <c r="D643" s="34"/>
      <c r="E643" s="34"/>
      <c r="F643" s="62"/>
      <c r="G643" s="37"/>
      <c r="H643" s="64"/>
      <c r="I643" s="40"/>
      <c r="J643" s="40"/>
      <c r="K643" s="33"/>
      <c r="L643" s="33"/>
      <c r="M643" s="38"/>
    </row>
    <row r="644" spans="4:13" x14ac:dyDescent="0.25">
      <c r="D644" s="34"/>
      <c r="E644" s="34"/>
      <c r="F644" s="62"/>
      <c r="G644" s="37"/>
      <c r="H644" s="64"/>
      <c r="I644" s="40"/>
      <c r="J644" s="40"/>
      <c r="K644" s="33"/>
      <c r="L644" s="33"/>
      <c r="M644" s="38"/>
    </row>
    <row r="645" spans="4:13" x14ac:dyDescent="0.25">
      <c r="D645" s="34"/>
      <c r="E645" s="34"/>
      <c r="F645" s="62"/>
      <c r="G645" s="37"/>
      <c r="H645" s="64"/>
      <c r="I645" s="40"/>
      <c r="J645" s="40"/>
      <c r="K645" s="33"/>
      <c r="L645" s="33"/>
      <c r="M645" s="38"/>
    </row>
    <row r="646" spans="4:13" x14ac:dyDescent="0.25">
      <c r="D646" s="34"/>
      <c r="E646" s="34"/>
      <c r="F646" s="62"/>
      <c r="G646" s="37"/>
      <c r="H646" s="64"/>
      <c r="I646" s="40"/>
      <c r="J646" s="40"/>
      <c r="K646" s="33"/>
      <c r="L646" s="33"/>
      <c r="M646" s="38"/>
    </row>
    <row r="647" spans="4:13" x14ac:dyDescent="0.25">
      <c r="D647" s="34"/>
      <c r="E647" s="34"/>
      <c r="F647" s="62"/>
      <c r="G647" s="37"/>
      <c r="H647" s="64"/>
      <c r="I647" s="40"/>
      <c r="J647" s="40"/>
      <c r="K647" s="33"/>
      <c r="L647" s="33"/>
      <c r="M647" s="38"/>
    </row>
    <row r="648" spans="4:13" x14ac:dyDescent="0.25">
      <c r="D648" s="34"/>
      <c r="E648" s="34"/>
      <c r="F648" s="62"/>
      <c r="G648" s="37"/>
      <c r="H648" s="64"/>
      <c r="I648" s="40"/>
      <c r="J648" s="40"/>
      <c r="K648" s="33"/>
      <c r="L648" s="33"/>
      <c r="M648" s="38"/>
    </row>
    <row r="649" spans="4:13" x14ac:dyDescent="0.25">
      <c r="D649" s="34"/>
      <c r="E649" s="34"/>
      <c r="F649" s="62"/>
      <c r="G649" s="37"/>
      <c r="H649" s="64"/>
      <c r="I649" s="40"/>
      <c r="J649" s="40"/>
      <c r="K649" s="33"/>
      <c r="L649" s="33"/>
      <c r="M649" s="38"/>
    </row>
    <row r="650" spans="4:13" x14ac:dyDescent="0.25">
      <c r="D650" s="34"/>
      <c r="E650" s="34"/>
      <c r="F650" s="62"/>
      <c r="G650" s="37"/>
      <c r="H650" s="64"/>
      <c r="I650" s="40"/>
      <c r="J650" s="40"/>
      <c r="K650" s="33"/>
      <c r="L650" s="33"/>
      <c r="M650" s="38"/>
    </row>
    <row r="651" spans="4:13" x14ac:dyDescent="0.25">
      <c r="D651" s="34"/>
      <c r="E651" s="34"/>
      <c r="F651" s="62"/>
      <c r="G651" s="37"/>
      <c r="H651" s="64"/>
      <c r="I651" s="40"/>
      <c r="J651" s="40"/>
      <c r="K651" s="33"/>
      <c r="L651" s="33"/>
      <c r="M651" s="38"/>
    </row>
    <row r="652" spans="4:13" x14ac:dyDescent="0.25">
      <c r="D652" s="34"/>
      <c r="E652" s="34"/>
      <c r="F652" s="62"/>
      <c r="G652" s="37"/>
      <c r="H652" s="64"/>
      <c r="I652" s="40"/>
      <c r="J652" s="40"/>
      <c r="K652" s="33"/>
      <c r="L652" s="33"/>
      <c r="M652" s="38"/>
    </row>
    <row r="653" spans="4:13" x14ac:dyDescent="0.25">
      <c r="D653" s="34"/>
      <c r="E653" s="34"/>
      <c r="F653" s="62"/>
      <c r="G653" s="37"/>
      <c r="H653" s="64"/>
      <c r="I653" s="40"/>
      <c r="J653" s="40"/>
      <c r="K653" s="33"/>
      <c r="L653" s="33"/>
      <c r="M653" s="38"/>
    </row>
    <row r="654" spans="4:13" x14ac:dyDescent="0.25">
      <c r="D654" s="34"/>
      <c r="E654" s="34"/>
      <c r="F654" s="62"/>
      <c r="G654" s="37"/>
      <c r="H654" s="64"/>
      <c r="I654" s="40"/>
      <c r="J654" s="40"/>
      <c r="K654" s="33"/>
      <c r="L654" s="33"/>
      <c r="M654" s="38"/>
    </row>
    <row r="655" spans="4:13" x14ac:dyDescent="0.25">
      <c r="D655" s="34"/>
      <c r="E655" s="34"/>
      <c r="F655" s="62"/>
      <c r="G655" s="37"/>
      <c r="H655" s="64"/>
      <c r="I655" s="40"/>
      <c r="J655" s="40"/>
      <c r="K655" s="33"/>
      <c r="L655" s="33"/>
      <c r="M655" s="38"/>
    </row>
    <row r="656" spans="4:13" x14ac:dyDescent="0.25">
      <c r="D656" s="34"/>
      <c r="E656" s="34"/>
      <c r="F656" s="62"/>
      <c r="G656" s="37"/>
      <c r="H656" s="64"/>
      <c r="I656" s="40"/>
      <c r="J656" s="40"/>
      <c r="K656" s="33"/>
      <c r="L656" s="33"/>
      <c r="M656" s="38"/>
    </row>
    <row r="657" spans="4:13" x14ac:dyDescent="0.25">
      <c r="D657" s="34"/>
      <c r="E657" s="34"/>
      <c r="F657" s="62"/>
      <c r="G657" s="37"/>
      <c r="H657" s="64"/>
      <c r="I657" s="40"/>
      <c r="J657" s="40"/>
      <c r="K657" s="33"/>
      <c r="L657" s="33"/>
      <c r="M657" s="38"/>
    </row>
    <row r="658" spans="4:13" x14ac:dyDescent="0.25">
      <c r="D658" s="34"/>
      <c r="E658" s="34"/>
      <c r="F658" s="62"/>
      <c r="G658" s="37"/>
      <c r="H658" s="64"/>
      <c r="I658" s="40"/>
      <c r="J658" s="40"/>
      <c r="K658" s="33"/>
      <c r="L658" s="33"/>
      <c r="M658" s="38"/>
    </row>
    <row r="659" spans="4:13" x14ac:dyDescent="0.25">
      <c r="D659" s="34"/>
      <c r="E659" s="34"/>
      <c r="F659" s="62"/>
      <c r="G659" s="37"/>
      <c r="H659" s="64"/>
      <c r="I659" s="40"/>
      <c r="J659" s="40"/>
      <c r="K659" s="33"/>
      <c r="L659" s="33"/>
      <c r="M659" s="38"/>
    </row>
    <row r="660" spans="4:13" x14ac:dyDescent="0.25">
      <c r="D660" s="34"/>
      <c r="E660" s="34"/>
      <c r="F660" s="62"/>
      <c r="G660" s="37"/>
      <c r="H660" s="64"/>
      <c r="I660" s="40"/>
      <c r="J660" s="40"/>
      <c r="K660" s="33"/>
      <c r="L660" s="33"/>
      <c r="M660" s="38"/>
    </row>
    <row r="661" spans="4:13" x14ac:dyDescent="0.25">
      <c r="D661" s="34"/>
      <c r="E661" s="34"/>
      <c r="F661" s="62"/>
      <c r="G661" s="37"/>
      <c r="H661" s="64"/>
      <c r="I661" s="40"/>
      <c r="J661" s="40"/>
      <c r="K661" s="33"/>
      <c r="L661" s="33"/>
      <c r="M661" s="38"/>
    </row>
    <row r="662" spans="4:13" x14ac:dyDescent="0.25">
      <c r="D662" s="34"/>
      <c r="E662" s="34"/>
      <c r="F662" s="62"/>
      <c r="G662" s="37"/>
      <c r="H662" s="64"/>
      <c r="I662" s="40"/>
      <c r="J662" s="40"/>
      <c r="K662" s="33"/>
      <c r="L662" s="33"/>
      <c r="M662" s="38"/>
    </row>
    <row r="663" spans="4:13" x14ac:dyDescent="0.25">
      <c r="D663" s="34"/>
      <c r="E663" s="34"/>
      <c r="F663" s="62"/>
      <c r="G663" s="37"/>
      <c r="H663" s="64"/>
      <c r="I663" s="40"/>
      <c r="J663" s="40"/>
      <c r="K663" s="33"/>
      <c r="L663" s="33"/>
      <c r="M663" s="38"/>
    </row>
    <row r="664" spans="4:13" x14ac:dyDescent="0.25">
      <c r="D664" s="34"/>
      <c r="E664" s="34"/>
      <c r="F664" s="62"/>
      <c r="G664" s="37"/>
      <c r="H664" s="64"/>
      <c r="I664" s="40"/>
      <c r="J664" s="40"/>
      <c r="K664" s="33"/>
      <c r="L664" s="33"/>
      <c r="M664" s="38"/>
    </row>
    <row r="665" spans="4:13" x14ac:dyDescent="0.25">
      <c r="D665" s="34"/>
      <c r="E665" s="34"/>
      <c r="F665" s="62"/>
      <c r="G665" s="37"/>
      <c r="H665" s="64"/>
      <c r="I665" s="40"/>
      <c r="J665" s="40"/>
      <c r="K665" s="33"/>
      <c r="L665" s="33"/>
      <c r="M665" s="38"/>
    </row>
    <row r="666" spans="4:13" x14ac:dyDescent="0.25">
      <c r="D666" s="34"/>
      <c r="E666" s="34"/>
      <c r="F666" s="62"/>
      <c r="G666" s="37"/>
      <c r="H666" s="64"/>
      <c r="I666" s="40"/>
      <c r="J666" s="40"/>
      <c r="K666" s="33"/>
      <c r="L666" s="33"/>
      <c r="M666" s="38"/>
    </row>
    <row r="667" spans="4:13" x14ac:dyDescent="0.25">
      <c r="D667" s="34"/>
      <c r="E667" s="34"/>
      <c r="F667" s="62"/>
      <c r="G667" s="37"/>
      <c r="H667" s="64"/>
      <c r="I667" s="40"/>
      <c r="J667" s="40"/>
      <c r="K667" s="33"/>
      <c r="L667" s="33"/>
      <c r="M667" s="38"/>
    </row>
    <row r="668" spans="4:13" x14ac:dyDescent="0.25">
      <c r="D668" s="34"/>
      <c r="E668" s="34"/>
      <c r="F668" s="62"/>
      <c r="G668" s="37"/>
      <c r="H668" s="64"/>
      <c r="I668" s="40"/>
      <c r="J668" s="40"/>
      <c r="K668" s="33"/>
      <c r="L668" s="33"/>
      <c r="M668" s="38"/>
    </row>
    <row r="669" spans="4:13" x14ac:dyDescent="0.25">
      <c r="D669" s="34"/>
      <c r="E669" s="34"/>
      <c r="F669" s="62"/>
      <c r="G669" s="37"/>
      <c r="H669" s="64"/>
      <c r="I669" s="40"/>
      <c r="J669" s="40"/>
      <c r="K669" s="33"/>
      <c r="L669" s="33"/>
      <c r="M669" s="38"/>
    </row>
    <row r="670" spans="4:13" x14ac:dyDescent="0.25">
      <c r="D670" s="34"/>
      <c r="E670" s="34"/>
      <c r="F670" s="62"/>
      <c r="G670" s="37"/>
      <c r="H670" s="64"/>
      <c r="I670" s="40"/>
      <c r="J670" s="40"/>
      <c r="K670" s="33"/>
      <c r="L670" s="33"/>
      <c r="M670" s="38"/>
    </row>
    <row r="671" spans="4:13" x14ac:dyDescent="0.25">
      <c r="D671" s="34"/>
      <c r="E671" s="34"/>
      <c r="F671" s="62"/>
      <c r="G671" s="37"/>
      <c r="H671" s="64"/>
      <c r="I671" s="40"/>
      <c r="J671" s="40"/>
      <c r="K671" s="33"/>
      <c r="L671" s="33"/>
      <c r="M671" s="38"/>
    </row>
    <row r="672" spans="4:13" x14ac:dyDescent="0.25">
      <c r="D672" s="34"/>
      <c r="E672" s="34"/>
      <c r="F672" s="62"/>
      <c r="G672" s="37"/>
      <c r="H672" s="64"/>
      <c r="I672" s="40"/>
      <c r="J672" s="40"/>
      <c r="K672" s="33"/>
      <c r="L672" s="33"/>
      <c r="M672" s="38"/>
    </row>
    <row r="673" spans="4:13" x14ac:dyDescent="0.25">
      <c r="D673" s="34"/>
      <c r="E673" s="34"/>
      <c r="F673" s="62"/>
      <c r="G673" s="37"/>
      <c r="H673" s="64"/>
      <c r="I673" s="40"/>
      <c r="J673" s="40"/>
      <c r="K673" s="33"/>
      <c r="L673" s="33"/>
      <c r="M673" s="38"/>
    </row>
    <row r="674" spans="4:13" x14ac:dyDescent="0.25">
      <c r="D674" s="34"/>
      <c r="E674" s="34"/>
      <c r="F674" s="62"/>
      <c r="G674" s="37"/>
      <c r="H674" s="64"/>
      <c r="I674" s="40"/>
      <c r="J674" s="40"/>
      <c r="K674" s="33"/>
      <c r="L674" s="33"/>
      <c r="M674" s="38"/>
    </row>
    <row r="675" spans="4:13" x14ac:dyDescent="0.25">
      <c r="D675" s="34"/>
      <c r="E675" s="34"/>
      <c r="F675" s="62"/>
      <c r="G675" s="37"/>
      <c r="H675" s="64"/>
      <c r="I675" s="40"/>
      <c r="J675" s="40"/>
      <c r="K675" s="33"/>
      <c r="L675" s="33"/>
      <c r="M675" s="38"/>
    </row>
    <row r="676" spans="4:13" x14ac:dyDescent="0.25">
      <c r="D676" s="34"/>
      <c r="E676" s="34"/>
      <c r="F676" s="62"/>
      <c r="G676" s="37"/>
      <c r="H676" s="64"/>
      <c r="I676" s="40"/>
      <c r="J676" s="40"/>
      <c r="K676" s="33"/>
      <c r="L676" s="33"/>
      <c r="M676" s="38"/>
    </row>
    <row r="677" spans="4:13" x14ac:dyDescent="0.25">
      <c r="D677" s="34"/>
      <c r="E677" s="34"/>
      <c r="F677" s="62"/>
      <c r="G677" s="37"/>
      <c r="H677" s="64"/>
      <c r="I677" s="40"/>
      <c r="J677" s="40"/>
      <c r="K677" s="33"/>
      <c r="L677" s="33"/>
      <c r="M677" s="38"/>
    </row>
    <row r="678" spans="4:13" x14ac:dyDescent="0.25">
      <c r="D678" s="34"/>
      <c r="E678" s="34"/>
      <c r="F678" s="62"/>
      <c r="G678" s="37"/>
      <c r="H678" s="64"/>
      <c r="I678" s="40"/>
      <c r="J678" s="40"/>
      <c r="K678" s="33"/>
      <c r="L678" s="33"/>
      <c r="M678" s="38"/>
    </row>
    <row r="679" spans="4:13" x14ac:dyDescent="0.25">
      <c r="D679" s="34"/>
      <c r="E679" s="34"/>
      <c r="F679" s="62"/>
      <c r="G679" s="37"/>
      <c r="H679" s="64"/>
      <c r="I679" s="40"/>
      <c r="J679" s="40"/>
      <c r="K679" s="33"/>
      <c r="L679" s="33"/>
      <c r="M679" s="38"/>
    </row>
    <row r="680" spans="4:13" x14ac:dyDescent="0.25">
      <c r="D680" s="34"/>
      <c r="E680" s="34"/>
      <c r="F680" s="62"/>
      <c r="G680" s="37"/>
      <c r="H680" s="64"/>
      <c r="I680" s="40"/>
      <c r="J680" s="40"/>
      <c r="K680" s="33"/>
      <c r="L680" s="33"/>
      <c r="M680" s="38"/>
    </row>
    <row r="681" spans="4:13" x14ac:dyDescent="0.25">
      <c r="D681" s="34"/>
      <c r="E681" s="34"/>
      <c r="F681" s="62"/>
      <c r="G681" s="37"/>
      <c r="H681" s="64"/>
      <c r="I681" s="40"/>
      <c r="J681" s="40"/>
      <c r="K681" s="33"/>
      <c r="L681" s="33"/>
      <c r="M681" s="38"/>
    </row>
    <row r="682" spans="4:13" x14ac:dyDescent="0.25">
      <c r="D682" s="34"/>
      <c r="E682" s="34"/>
      <c r="F682" s="62"/>
      <c r="G682" s="37"/>
      <c r="H682" s="64"/>
      <c r="I682" s="40"/>
      <c r="J682" s="40"/>
      <c r="K682" s="33"/>
      <c r="L682" s="33"/>
      <c r="M682" s="38"/>
    </row>
    <row r="683" spans="4:13" x14ac:dyDescent="0.25">
      <c r="D683" s="34"/>
      <c r="E683" s="34"/>
      <c r="F683" s="62"/>
      <c r="G683" s="37"/>
      <c r="H683" s="64"/>
      <c r="I683" s="40"/>
      <c r="J683" s="40"/>
      <c r="K683" s="33"/>
      <c r="L683" s="33"/>
      <c r="M683" s="38"/>
    </row>
    <row r="684" spans="4:13" x14ac:dyDescent="0.25">
      <c r="D684" s="34"/>
      <c r="E684" s="34"/>
      <c r="F684" s="62"/>
      <c r="G684" s="37"/>
      <c r="H684" s="64"/>
      <c r="I684" s="40"/>
      <c r="J684" s="40"/>
      <c r="K684" s="33"/>
      <c r="L684" s="33"/>
      <c r="M684" s="38"/>
    </row>
    <row r="685" spans="4:13" x14ac:dyDescent="0.25">
      <c r="D685" s="34"/>
      <c r="E685" s="34"/>
      <c r="F685" s="62"/>
      <c r="G685" s="37"/>
      <c r="H685" s="64"/>
      <c r="I685" s="40"/>
      <c r="J685" s="40"/>
      <c r="K685" s="33"/>
      <c r="L685" s="33"/>
      <c r="M685" s="38"/>
    </row>
    <row r="686" spans="4:13" x14ac:dyDescent="0.25">
      <c r="D686" s="34"/>
      <c r="E686" s="34"/>
      <c r="F686" s="62"/>
      <c r="G686" s="37"/>
      <c r="H686" s="64"/>
      <c r="I686" s="40"/>
      <c r="J686" s="40"/>
      <c r="K686" s="33"/>
      <c r="L686" s="33"/>
      <c r="M686" s="38"/>
    </row>
    <row r="687" spans="4:13" x14ac:dyDescent="0.25">
      <c r="D687" s="34"/>
      <c r="E687" s="34"/>
      <c r="F687" s="62"/>
      <c r="G687" s="37"/>
      <c r="H687" s="64"/>
      <c r="I687" s="40"/>
      <c r="J687" s="40"/>
      <c r="K687" s="33"/>
      <c r="L687" s="33"/>
      <c r="M687" s="38"/>
    </row>
    <row r="688" spans="4:13" x14ac:dyDescent="0.25">
      <c r="D688" s="34"/>
      <c r="E688" s="34"/>
      <c r="F688" s="62"/>
      <c r="G688" s="37"/>
      <c r="H688" s="64"/>
      <c r="I688" s="40"/>
      <c r="J688" s="40"/>
      <c r="K688" s="33"/>
      <c r="L688" s="33"/>
      <c r="M688" s="38"/>
    </row>
    <row r="689" spans="4:13" x14ac:dyDescent="0.25">
      <c r="D689" s="34"/>
      <c r="E689" s="34"/>
      <c r="F689" s="62"/>
      <c r="G689" s="37"/>
      <c r="H689" s="64"/>
      <c r="I689" s="40"/>
      <c r="J689" s="40"/>
      <c r="K689" s="33"/>
      <c r="L689" s="33"/>
      <c r="M689" s="38"/>
    </row>
    <row r="690" spans="4:13" x14ac:dyDescent="0.25">
      <c r="D690" s="34"/>
      <c r="E690" s="34"/>
      <c r="F690" s="62"/>
      <c r="G690" s="37"/>
      <c r="H690" s="64"/>
      <c r="I690" s="40"/>
      <c r="J690" s="40"/>
      <c r="K690" s="33"/>
      <c r="L690" s="33"/>
      <c r="M690" s="38"/>
    </row>
    <row r="691" spans="4:13" x14ac:dyDescent="0.25">
      <c r="D691" s="34"/>
      <c r="E691" s="34"/>
      <c r="F691" s="62"/>
      <c r="G691" s="37"/>
      <c r="H691" s="64"/>
      <c r="I691" s="40"/>
      <c r="J691" s="40"/>
      <c r="K691" s="33"/>
      <c r="L691" s="33"/>
      <c r="M691" s="38"/>
    </row>
    <row r="692" spans="4:13" x14ac:dyDescent="0.25">
      <c r="D692" s="34"/>
      <c r="E692" s="34"/>
      <c r="F692" s="62"/>
      <c r="G692" s="37"/>
      <c r="H692" s="64"/>
      <c r="I692" s="40"/>
      <c r="J692" s="40"/>
      <c r="K692" s="33"/>
      <c r="L692" s="33"/>
      <c r="M692" s="38"/>
    </row>
    <row r="693" spans="4:13" x14ac:dyDescent="0.25">
      <c r="D693" s="34"/>
      <c r="E693" s="34"/>
      <c r="F693" s="62"/>
      <c r="G693" s="37"/>
      <c r="H693" s="64"/>
      <c r="I693" s="40"/>
      <c r="J693" s="40"/>
      <c r="K693" s="33"/>
      <c r="L693" s="33"/>
      <c r="M693" s="38"/>
    </row>
    <row r="694" spans="4:13" x14ac:dyDescent="0.25">
      <c r="D694" s="34"/>
      <c r="E694" s="34"/>
      <c r="F694" s="62"/>
      <c r="G694" s="37"/>
      <c r="H694" s="64"/>
      <c r="I694" s="40"/>
      <c r="J694" s="40"/>
      <c r="K694" s="33"/>
      <c r="L694" s="33"/>
      <c r="M694" s="38"/>
    </row>
    <row r="695" spans="4:13" x14ac:dyDescent="0.25">
      <c r="D695" s="34"/>
      <c r="E695" s="34"/>
      <c r="F695" s="62"/>
      <c r="G695" s="37"/>
      <c r="H695" s="64"/>
      <c r="I695" s="40"/>
      <c r="J695" s="40"/>
      <c r="K695" s="33"/>
      <c r="L695" s="33"/>
      <c r="M695" s="38"/>
    </row>
    <row r="696" spans="4:13" x14ac:dyDescent="0.25">
      <c r="D696" s="34"/>
      <c r="E696" s="34"/>
      <c r="F696" s="62"/>
      <c r="G696" s="37"/>
      <c r="H696" s="64"/>
      <c r="I696" s="40"/>
      <c r="J696" s="40"/>
      <c r="K696" s="33"/>
      <c r="L696" s="33"/>
      <c r="M696" s="38"/>
    </row>
    <row r="697" spans="4:13" x14ac:dyDescent="0.25">
      <c r="D697" s="34"/>
      <c r="E697" s="34"/>
      <c r="F697" s="62"/>
      <c r="G697" s="37"/>
      <c r="H697" s="64"/>
      <c r="I697" s="40"/>
      <c r="J697" s="40"/>
      <c r="K697" s="33"/>
      <c r="L697" s="33"/>
      <c r="M697" s="38"/>
    </row>
    <row r="698" spans="4:13" x14ac:dyDescent="0.25">
      <c r="D698" s="34"/>
      <c r="E698" s="34"/>
      <c r="F698" s="62"/>
      <c r="G698" s="37"/>
      <c r="H698" s="64"/>
      <c r="I698" s="40"/>
      <c r="J698" s="40"/>
      <c r="K698" s="33"/>
      <c r="L698" s="33"/>
      <c r="M698" s="38"/>
    </row>
    <row r="699" spans="4:13" x14ac:dyDescent="0.25">
      <c r="D699" s="34"/>
      <c r="E699" s="34"/>
      <c r="F699" s="62"/>
      <c r="G699" s="37"/>
      <c r="H699" s="64"/>
      <c r="I699" s="40"/>
      <c r="J699" s="40"/>
      <c r="K699" s="33"/>
      <c r="L699" s="33"/>
      <c r="M699" s="38"/>
    </row>
    <row r="700" spans="4:13" x14ac:dyDescent="0.25">
      <c r="D700" s="34"/>
      <c r="E700" s="34"/>
      <c r="F700" s="62"/>
      <c r="G700" s="37"/>
      <c r="H700" s="64"/>
      <c r="I700" s="40"/>
      <c r="J700" s="40"/>
      <c r="K700" s="33"/>
      <c r="L700" s="33"/>
      <c r="M700" s="38"/>
    </row>
    <row r="701" spans="4:13" x14ac:dyDescent="0.25">
      <c r="D701" s="34"/>
      <c r="E701" s="34"/>
      <c r="F701" s="62"/>
      <c r="G701" s="37"/>
      <c r="H701" s="64"/>
      <c r="I701" s="40"/>
      <c r="J701" s="40"/>
      <c r="K701" s="33"/>
      <c r="L701" s="33"/>
      <c r="M701" s="38"/>
    </row>
    <row r="702" spans="4:13" x14ac:dyDescent="0.25">
      <c r="D702" s="34"/>
      <c r="E702" s="34"/>
      <c r="F702" s="62"/>
      <c r="G702" s="37"/>
      <c r="H702" s="64"/>
      <c r="I702" s="40"/>
      <c r="J702" s="40"/>
      <c r="K702" s="33"/>
      <c r="L702" s="33"/>
      <c r="M702" s="38"/>
    </row>
    <row r="703" spans="4:13" x14ac:dyDescent="0.25">
      <c r="D703" s="34"/>
      <c r="E703" s="34"/>
      <c r="F703" s="62"/>
      <c r="G703" s="37"/>
      <c r="H703" s="64"/>
      <c r="I703" s="40"/>
      <c r="J703" s="40"/>
      <c r="K703" s="33"/>
      <c r="L703" s="33"/>
      <c r="M703" s="38"/>
    </row>
    <row r="704" spans="4:13" x14ac:dyDescent="0.25">
      <c r="D704" s="34"/>
      <c r="E704" s="34"/>
      <c r="F704" s="62"/>
      <c r="G704" s="37"/>
      <c r="H704" s="64"/>
      <c r="I704" s="40"/>
      <c r="J704" s="40"/>
      <c r="K704" s="33"/>
      <c r="L704" s="33"/>
      <c r="M704" s="38"/>
    </row>
    <row r="705" spans="4:13" x14ac:dyDescent="0.25">
      <c r="D705" s="34"/>
      <c r="E705" s="34"/>
      <c r="F705" s="62"/>
      <c r="G705" s="37"/>
      <c r="H705" s="64"/>
      <c r="I705" s="40"/>
      <c r="J705" s="40"/>
      <c r="K705" s="33"/>
      <c r="L705" s="33"/>
      <c r="M705" s="38"/>
    </row>
    <row r="706" spans="4:13" x14ac:dyDescent="0.25">
      <c r="D706" s="34"/>
      <c r="E706" s="34"/>
      <c r="F706" s="62"/>
      <c r="G706" s="37"/>
      <c r="H706" s="64"/>
      <c r="I706" s="40"/>
      <c r="J706" s="40"/>
      <c r="K706" s="33"/>
      <c r="L706" s="33"/>
      <c r="M706" s="38"/>
    </row>
    <row r="707" spans="4:13" x14ac:dyDescent="0.25">
      <c r="D707" s="34"/>
      <c r="E707" s="34"/>
      <c r="F707" s="62"/>
      <c r="G707" s="37"/>
      <c r="H707" s="64"/>
      <c r="I707" s="40"/>
      <c r="J707" s="40"/>
      <c r="K707" s="33"/>
      <c r="L707" s="33"/>
      <c r="M707" s="38"/>
    </row>
    <row r="708" spans="4:13" x14ac:dyDescent="0.25">
      <c r="D708" s="34"/>
      <c r="E708" s="34"/>
      <c r="F708" s="62"/>
      <c r="G708" s="37"/>
      <c r="H708" s="64"/>
      <c r="I708" s="40"/>
      <c r="J708" s="40"/>
      <c r="K708" s="33"/>
      <c r="L708" s="33"/>
      <c r="M708" s="38"/>
    </row>
    <row r="709" spans="4:13" x14ac:dyDescent="0.25">
      <c r="D709" s="34"/>
      <c r="E709" s="34"/>
      <c r="F709" s="62"/>
      <c r="G709" s="37"/>
      <c r="H709" s="64"/>
      <c r="I709" s="40"/>
      <c r="J709" s="40"/>
      <c r="K709" s="33"/>
      <c r="L709" s="33"/>
      <c r="M709" s="38"/>
    </row>
    <row r="710" spans="4:13" x14ac:dyDescent="0.25">
      <c r="D710" s="34"/>
      <c r="E710" s="34"/>
      <c r="F710" s="62"/>
      <c r="G710" s="37"/>
      <c r="H710" s="64"/>
      <c r="I710" s="40"/>
      <c r="J710" s="40"/>
      <c r="K710" s="33"/>
      <c r="L710" s="33"/>
      <c r="M710" s="38"/>
    </row>
    <row r="711" spans="4:13" x14ac:dyDescent="0.25">
      <c r="D711" s="34"/>
      <c r="E711" s="34"/>
      <c r="F711" s="62"/>
      <c r="G711" s="37"/>
      <c r="H711" s="64"/>
      <c r="I711" s="40"/>
      <c r="J711" s="40"/>
      <c r="K711" s="33"/>
      <c r="L711" s="33"/>
      <c r="M711" s="38"/>
    </row>
    <row r="712" spans="4:13" x14ac:dyDescent="0.25">
      <c r="D712" s="34"/>
      <c r="E712" s="34"/>
      <c r="F712" s="62"/>
      <c r="G712" s="37"/>
      <c r="H712" s="64"/>
      <c r="I712" s="40"/>
      <c r="J712" s="40"/>
      <c r="K712" s="33"/>
      <c r="L712" s="33"/>
      <c r="M712" s="38"/>
    </row>
    <row r="713" spans="4:13" x14ac:dyDescent="0.25">
      <c r="D713" s="34"/>
      <c r="E713" s="34"/>
      <c r="F713" s="62"/>
      <c r="G713" s="37"/>
      <c r="H713" s="64"/>
      <c r="I713" s="40"/>
      <c r="J713" s="40"/>
      <c r="K713" s="33"/>
      <c r="L713" s="33"/>
      <c r="M713" s="38"/>
    </row>
    <row r="714" spans="4:13" x14ac:dyDescent="0.25">
      <c r="D714" s="34"/>
      <c r="E714" s="34"/>
      <c r="F714" s="62"/>
      <c r="G714" s="37"/>
      <c r="H714" s="64"/>
      <c r="I714" s="40"/>
      <c r="J714" s="40"/>
      <c r="K714" s="33"/>
      <c r="L714" s="33"/>
      <c r="M714" s="38"/>
    </row>
    <row r="715" spans="4:13" x14ac:dyDescent="0.25">
      <c r="D715" s="34"/>
      <c r="E715" s="34"/>
      <c r="F715" s="62"/>
      <c r="G715" s="37"/>
      <c r="H715" s="64"/>
      <c r="I715" s="40"/>
      <c r="J715" s="40"/>
      <c r="K715" s="33"/>
      <c r="L715" s="33"/>
      <c r="M715" s="38"/>
    </row>
    <row r="716" spans="4:13" x14ac:dyDescent="0.25">
      <c r="D716" s="34"/>
      <c r="E716" s="34"/>
      <c r="F716" s="62"/>
      <c r="G716" s="37"/>
      <c r="H716" s="64"/>
      <c r="I716" s="40"/>
      <c r="J716" s="40"/>
      <c r="K716" s="33"/>
      <c r="L716" s="33"/>
      <c r="M716" s="38"/>
    </row>
    <row r="717" spans="4:13" x14ac:dyDescent="0.25">
      <c r="D717" s="34"/>
      <c r="E717" s="34"/>
      <c r="F717" s="62"/>
      <c r="G717" s="37"/>
      <c r="H717" s="64"/>
      <c r="I717" s="40"/>
      <c r="J717" s="40"/>
      <c r="K717" s="33"/>
      <c r="L717" s="33"/>
      <c r="M717" s="38"/>
    </row>
    <row r="718" spans="4:13" x14ac:dyDescent="0.25">
      <c r="D718" s="34"/>
      <c r="E718" s="34"/>
      <c r="F718" s="62"/>
      <c r="G718" s="37"/>
      <c r="H718" s="64"/>
      <c r="I718" s="40"/>
      <c r="J718" s="40"/>
      <c r="K718" s="33"/>
      <c r="L718" s="33"/>
      <c r="M718" s="38"/>
    </row>
    <row r="719" spans="4:13" x14ac:dyDescent="0.25">
      <c r="D719" s="34"/>
      <c r="E719" s="34"/>
      <c r="F719" s="62"/>
      <c r="G719" s="37"/>
      <c r="H719" s="64"/>
      <c r="I719" s="40"/>
      <c r="J719" s="40"/>
      <c r="K719" s="33"/>
      <c r="L719" s="33"/>
      <c r="M719" s="38"/>
    </row>
    <row r="720" spans="4:13" x14ac:dyDescent="0.25">
      <c r="D720" s="34"/>
      <c r="E720" s="34"/>
      <c r="F720" s="62"/>
      <c r="G720" s="37"/>
      <c r="H720" s="64"/>
      <c r="I720" s="40"/>
      <c r="J720" s="40"/>
      <c r="K720" s="33"/>
      <c r="L720" s="33"/>
      <c r="M720" s="38"/>
    </row>
    <row r="721" spans="4:13" x14ac:dyDescent="0.25">
      <c r="D721" s="34"/>
      <c r="E721" s="34"/>
      <c r="F721" s="62"/>
      <c r="G721" s="37"/>
      <c r="H721" s="64"/>
      <c r="I721" s="40"/>
      <c r="J721" s="40"/>
      <c r="K721" s="33"/>
      <c r="L721" s="33"/>
      <c r="M721" s="38"/>
    </row>
    <row r="722" spans="4:13" x14ac:dyDescent="0.25">
      <c r="D722" s="34"/>
      <c r="E722" s="34"/>
      <c r="F722" s="62"/>
      <c r="G722" s="37"/>
      <c r="H722" s="64"/>
      <c r="I722" s="40"/>
      <c r="J722" s="40"/>
      <c r="K722" s="33"/>
      <c r="L722" s="33"/>
      <c r="M722" s="38"/>
    </row>
    <row r="723" spans="4:13" x14ac:dyDescent="0.25">
      <c r="D723" s="34"/>
      <c r="E723" s="34"/>
      <c r="F723" s="62"/>
      <c r="G723" s="37"/>
      <c r="H723" s="64"/>
      <c r="I723" s="40"/>
      <c r="J723" s="40"/>
      <c r="K723" s="33"/>
      <c r="L723" s="33"/>
      <c r="M723" s="38"/>
    </row>
    <row r="724" spans="4:13" x14ac:dyDescent="0.25">
      <c r="D724" s="34"/>
      <c r="E724" s="34"/>
      <c r="F724" s="62"/>
      <c r="G724" s="37"/>
      <c r="H724" s="64"/>
      <c r="I724" s="40"/>
      <c r="J724" s="40"/>
      <c r="K724" s="33"/>
      <c r="L724" s="33"/>
      <c r="M724" s="38"/>
    </row>
    <row r="725" spans="4:13" x14ac:dyDescent="0.25">
      <c r="D725" s="34"/>
      <c r="E725" s="34"/>
      <c r="F725" s="62"/>
      <c r="G725" s="37"/>
      <c r="H725" s="64"/>
      <c r="I725" s="40"/>
      <c r="J725" s="40"/>
      <c r="K725" s="33"/>
      <c r="L725" s="33"/>
      <c r="M725" s="38"/>
    </row>
    <row r="726" spans="4:13" x14ac:dyDescent="0.25">
      <c r="D726" s="34"/>
      <c r="E726" s="34"/>
      <c r="F726" s="62"/>
      <c r="G726" s="37"/>
      <c r="H726" s="64"/>
      <c r="I726" s="40"/>
      <c r="J726" s="40"/>
      <c r="K726" s="33"/>
      <c r="L726" s="33"/>
      <c r="M726" s="38"/>
    </row>
    <row r="727" spans="4:13" x14ac:dyDescent="0.25">
      <c r="D727" s="34"/>
      <c r="E727" s="34"/>
      <c r="F727" s="62"/>
      <c r="G727" s="37"/>
      <c r="H727" s="64"/>
      <c r="I727" s="40"/>
      <c r="J727" s="40"/>
      <c r="K727" s="33"/>
      <c r="L727" s="33"/>
      <c r="M727" s="38"/>
    </row>
    <row r="728" spans="4:13" x14ac:dyDescent="0.25">
      <c r="D728" s="34"/>
      <c r="E728" s="34"/>
      <c r="F728" s="62"/>
      <c r="G728" s="37"/>
      <c r="H728" s="64"/>
      <c r="I728" s="40"/>
      <c r="J728" s="40"/>
      <c r="K728" s="33"/>
      <c r="L728" s="33"/>
      <c r="M728" s="38"/>
    </row>
    <row r="729" spans="4:13" x14ac:dyDescent="0.25">
      <c r="D729" s="34"/>
      <c r="E729" s="34"/>
      <c r="F729" s="62"/>
      <c r="G729" s="37"/>
      <c r="H729" s="64"/>
      <c r="I729" s="40"/>
      <c r="J729" s="40"/>
      <c r="K729" s="33"/>
      <c r="L729" s="33"/>
      <c r="M729" s="38"/>
    </row>
    <row r="730" spans="4:13" x14ac:dyDescent="0.25">
      <c r="D730" s="34"/>
      <c r="E730" s="34"/>
      <c r="F730" s="62"/>
      <c r="G730" s="37"/>
      <c r="H730" s="64"/>
      <c r="I730" s="40"/>
      <c r="J730" s="40"/>
      <c r="K730" s="33"/>
      <c r="L730" s="33"/>
      <c r="M730" s="38"/>
    </row>
    <row r="731" spans="4:13" x14ac:dyDescent="0.25">
      <c r="D731" s="34"/>
      <c r="E731" s="34"/>
      <c r="F731" s="62"/>
      <c r="G731" s="37"/>
      <c r="H731" s="64"/>
      <c r="I731" s="40"/>
      <c r="J731" s="40"/>
      <c r="K731" s="33"/>
      <c r="L731" s="33"/>
      <c r="M731" s="38"/>
    </row>
    <row r="732" spans="4:13" x14ac:dyDescent="0.25">
      <c r="D732" s="34"/>
      <c r="E732" s="34"/>
      <c r="F732" s="62"/>
      <c r="G732" s="37"/>
      <c r="H732" s="64"/>
      <c r="I732" s="40"/>
      <c r="J732" s="40"/>
      <c r="K732" s="33"/>
      <c r="L732" s="33"/>
      <c r="M732" s="38"/>
    </row>
    <row r="733" spans="4:13" x14ac:dyDescent="0.25">
      <c r="D733" s="34"/>
      <c r="E733" s="34"/>
      <c r="F733" s="62"/>
      <c r="G733" s="37"/>
      <c r="H733" s="64"/>
      <c r="I733" s="40"/>
      <c r="J733" s="40"/>
      <c r="K733" s="33"/>
      <c r="L733" s="33"/>
      <c r="M733" s="38"/>
    </row>
    <row r="734" spans="4:13" x14ac:dyDescent="0.25">
      <c r="D734" s="34"/>
      <c r="E734" s="34"/>
      <c r="F734" s="62"/>
      <c r="G734" s="37"/>
      <c r="H734" s="64"/>
      <c r="I734" s="40"/>
      <c r="J734" s="40"/>
      <c r="K734" s="33"/>
      <c r="L734" s="33"/>
      <c r="M734" s="38"/>
    </row>
    <row r="735" spans="4:13" x14ac:dyDescent="0.25">
      <c r="D735" s="34"/>
      <c r="E735" s="34"/>
      <c r="F735" s="62"/>
      <c r="G735" s="37"/>
      <c r="H735" s="64"/>
      <c r="I735" s="40"/>
      <c r="J735" s="40"/>
      <c r="K735" s="33"/>
      <c r="L735" s="33"/>
      <c r="M735" s="38"/>
    </row>
    <row r="736" spans="4:13" x14ac:dyDescent="0.25">
      <c r="D736" s="34"/>
      <c r="E736" s="34"/>
      <c r="F736" s="62"/>
      <c r="G736" s="37"/>
      <c r="H736" s="64"/>
      <c r="I736" s="40"/>
      <c r="J736" s="40"/>
      <c r="K736" s="33"/>
      <c r="L736" s="33"/>
      <c r="M736" s="38"/>
    </row>
    <row r="737" spans="4:13" x14ac:dyDescent="0.25">
      <c r="D737" s="34"/>
      <c r="E737" s="34"/>
      <c r="F737" s="62"/>
      <c r="G737" s="37"/>
      <c r="H737" s="64"/>
      <c r="I737" s="40"/>
      <c r="J737" s="40"/>
      <c r="K737" s="33"/>
      <c r="L737" s="33"/>
      <c r="M737" s="38"/>
    </row>
    <row r="738" spans="4:13" x14ac:dyDescent="0.25">
      <c r="D738" s="34"/>
      <c r="E738" s="34"/>
      <c r="F738" s="62"/>
      <c r="G738" s="37"/>
      <c r="H738" s="64"/>
      <c r="I738" s="40"/>
      <c r="J738" s="40"/>
      <c r="K738" s="33"/>
      <c r="L738" s="33"/>
      <c r="M738" s="38"/>
    </row>
    <row r="739" spans="4:13" x14ac:dyDescent="0.25">
      <c r="D739" s="34"/>
      <c r="E739" s="34"/>
      <c r="F739" s="62"/>
      <c r="G739" s="37"/>
      <c r="H739" s="64"/>
      <c r="I739" s="40"/>
      <c r="J739" s="40"/>
      <c r="K739" s="33"/>
      <c r="L739" s="33"/>
      <c r="M739" s="38"/>
    </row>
    <row r="740" spans="4:13" x14ac:dyDescent="0.25">
      <c r="D740" s="34"/>
      <c r="E740" s="34"/>
      <c r="F740" s="62"/>
      <c r="G740" s="37"/>
      <c r="H740" s="64"/>
      <c r="I740" s="40"/>
      <c r="J740" s="40"/>
      <c r="K740" s="33"/>
      <c r="L740" s="33"/>
      <c r="M740" s="38"/>
    </row>
    <row r="741" spans="4:13" x14ac:dyDescent="0.25">
      <c r="D741" s="34"/>
      <c r="E741" s="34"/>
      <c r="F741" s="62"/>
      <c r="G741" s="37"/>
      <c r="H741" s="64"/>
      <c r="I741" s="40"/>
      <c r="J741" s="40"/>
      <c r="K741" s="33"/>
      <c r="L741" s="33"/>
      <c r="M741" s="38"/>
    </row>
    <row r="742" spans="4:13" x14ac:dyDescent="0.25">
      <c r="D742" s="34"/>
      <c r="E742" s="34"/>
      <c r="F742" s="62"/>
      <c r="G742" s="37"/>
      <c r="H742" s="64"/>
      <c r="I742" s="40"/>
      <c r="J742" s="40"/>
      <c r="K742" s="33"/>
      <c r="L742" s="33"/>
      <c r="M742" s="38"/>
    </row>
    <row r="743" spans="4:13" x14ac:dyDescent="0.25">
      <c r="D743" s="34"/>
      <c r="E743" s="34"/>
      <c r="F743" s="62"/>
      <c r="G743" s="37"/>
      <c r="H743" s="64"/>
      <c r="I743" s="40"/>
      <c r="J743" s="40"/>
      <c r="K743" s="33"/>
      <c r="L743" s="33"/>
      <c r="M743" s="38"/>
    </row>
    <row r="744" spans="4:13" x14ac:dyDescent="0.25">
      <c r="D744" s="34"/>
      <c r="E744" s="34"/>
      <c r="F744" s="62"/>
      <c r="G744" s="37"/>
      <c r="H744" s="64"/>
      <c r="I744" s="40"/>
      <c r="J744" s="40"/>
      <c r="K744" s="33"/>
      <c r="L744" s="33"/>
      <c r="M744" s="38"/>
    </row>
    <row r="745" spans="4:13" x14ac:dyDescent="0.25">
      <c r="D745" s="34"/>
      <c r="E745" s="34"/>
      <c r="F745" s="62"/>
      <c r="G745" s="37"/>
      <c r="H745" s="64"/>
      <c r="I745" s="40"/>
      <c r="J745" s="40"/>
      <c r="K745" s="33"/>
      <c r="L745" s="33"/>
      <c r="M745" s="38"/>
    </row>
    <row r="746" spans="4:13" x14ac:dyDescent="0.25">
      <c r="D746" s="34"/>
      <c r="E746" s="34"/>
      <c r="F746" s="62"/>
      <c r="G746" s="37"/>
      <c r="H746" s="64"/>
      <c r="I746" s="40"/>
      <c r="J746" s="40"/>
      <c r="K746" s="33"/>
      <c r="L746" s="33"/>
      <c r="M746" s="38"/>
    </row>
    <row r="747" spans="4:13" x14ac:dyDescent="0.25">
      <c r="D747" s="34"/>
      <c r="E747" s="34"/>
      <c r="F747" s="62"/>
      <c r="G747" s="37"/>
      <c r="H747" s="64"/>
      <c r="I747" s="40"/>
      <c r="J747" s="40"/>
      <c r="K747" s="33"/>
      <c r="L747" s="33"/>
      <c r="M747" s="38"/>
    </row>
    <row r="748" spans="4:13" x14ac:dyDescent="0.25">
      <c r="D748" s="34"/>
      <c r="E748" s="34"/>
      <c r="F748" s="62"/>
      <c r="G748" s="37"/>
      <c r="H748" s="64"/>
      <c r="I748" s="40"/>
      <c r="J748" s="40"/>
      <c r="K748" s="33"/>
      <c r="L748" s="33"/>
      <c r="M748" s="38"/>
    </row>
    <row r="749" spans="4:13" x14ac:dyDescent="0.25">
      <c r="D749" s="34"/>
      <c r="E749" s="34"/>
      <c r="F749" s="62"/>
      <c r="G749" s="37"/>
      <c r="H749" s="64"/>
      <c r="I749" s="40"/>
      <c r="J749" s="40"/>
      <c r="K749" s="33"/>
      <c r="L749" s="33"/>
      <c r="M749" s="38"/>
    </row>
    <row r="750" spans="4:13" x14ac:dyDescent="0.25">
      <c r="D750" s="34"/>
      <c r="E750" s="34"/>
      <c r="F750" s="62"/>
      <c r="G750" s="37"/>
      <c r="H750" s="64"/>
      <c r="I750" s="40"/>
      <c r="J750" s="40"/>
      <c r="K750" s="33"/>
      <c r="L750" s="33"/>
      <c r="M750" s="38"/>
    </row>
    <row r="751" spans="4:13" x14ac:dyDescent="0.25">
      <c r="D751" s="34"/>
      <c r="E751" s="34"/>
      <c r="F751" s="62"/>
      <c r="G751" s="37"/>
      <c r="H751" s="64"/>
      <c r="I751" s="40"/>
      <c r="J751" s="40"/>
      <c r="K751" s="33"/>
      <c r="L751" s="33"/>
      <c r="M751" s="38"/>
    </row>
    <row r="752" spans="4:13" x14ac:dyDescent="0.25">
      <c r="D752" s="34"/>
      <c r="E752" s="34"/>
      <c r="F752" s="62"/>
      <c r="G752" s="37"/>
      <c r="H752" s="64"/>
      <c r="I752" s="40"/>
      <c r="J752" s="40"/>
      <c r="K752" s="33"/>
      <c r="L752" s="33"/>
      <c r="M752" s="38"/>
    </row>
    <row r="753" spans="4:13" x14ac:dyDescent="0.25">
      <c r="D753" s="34"/>
      <c r="E753" s="34"/>
      <c r="F753" s="62"/>
      <c r="G753" s="37"/>
      <c r="H753" s="64"/>
      <c r="I753" s="40"/>
      <c r="J753" s="40"/>
      <c r="K753" s="33"/>
      <c r="L753" s="33"/>
      <c r="M753" s="38"/>
    </row>
    <row r="754" spans="4:13" x14ac:dyDescent="0.25">
      <c r="D754" s="34"/>
      <c r="E754" s="34"/>
      <c r="F754" s="62"/>
      <c r="G754" s="37"/>
      <c r="H754" s="64"/>
      <c r="I754" s="40"/>
      <c r="J754" s="40"/>
      <c r="K754" s="33"/>
      <c r="L754" s="33"/>
      <c r="M754" s="38"/>
    </row>
    <row r="755" spans="4:13" x14ac:dyDescent="0.25">
      <c r="D755" s="34"/>
      <c r="E755" s="34"/>
      <c r="F755" s="62"/>
      <c r="G755" s="37"/>
      <c r="H755" s="64"/>
      <c r="I755" s="40"/>
      <c r="J755" s="40"/>
      <c r="K755" s="33"/>
      <c r="L755" s="33"/>
      <c r="M755" s="38"/>
    </row>
    <row r="756" spans="4:13" x14ac:dyDescent="0.25">
      <c r="D756" s="34"/>
      <c r="E756" s="34"/>
      <c r="F756" s="62"/>
      <c r="G756" s="37"/>
      <c r="H756" s="64"/>
      <c r="I756" s="40"/>
      <c r="J756" s="40"/>
      <c r="K756" s="33"/>
      <c r="L756" s="33"/>
      <c r="M756" s="38"/>
    </row>
    <row r="757" spans="4:13" x14ac:dyDescent="0.25">
      <c r="D757" s="34"/>
      <c r="E757" s="34"/>
      <c r="F757" s="62"/>
      <c r="G757" s="37"/>
      <c r="H757" s="64"/>
      <c r="I757" s="40"/>
      <c r="J757" s="40"/>
      <c r="K757" s="33"/>
      <c r="L757" s="33"/>
      <c r="M757" s="38"/>
    </row>
    <row r="758" spans="4:13" x14ac:dyDescent="0.25">
      <c r="D758" s="34"/>
      <c r="E758" s="34"/>
      <c r="F758" s="62"/>
      <c r="G758" s="37"/>
      <c r="H758" s="64"/>
      <c r="I758" s="40"/>
      <c r="J758" s="40"/>
      <c r="K758" s="33"/>
      <c r="L758" s="33"/>
      <c r="M758" s="38"/>
    </row>
    <row r="759" spans="4:13" x14ac:dyDescent="0.25">
      <c r="D759" s="34"/>
      <c r="E759" s="34"/>
      <c r="F759" s="62"/>
      <c r="G759" s="37"/>
      <c r="H759" s="64"/>
      <c r="I759" s="40"/>
      <c r="J759" s="40"/>
      <c r="K759" s="33"/>
      <c r="L759" s="33"/>
      <c r="M759" s="38"/>
    </row>
    <row r="760" spans="4:13" x14ac:dyDescent="0.25">
      <c r="D760" s="34"/>
      <c r="E760" s="34"/>
      <c r="F760" s="62"/>
      <c r="G760" s="37"/>
      <c r="H760" s="64"/>
      <c r="I760" s="40"/>
      <c r="J760" s="40"/>
      <c r="K760" s="33"/>
      <c r="L760" s="33"/>
      <c r="M760" s="38"/>
    </row>
    <row r="761" spans="4:13" x14ac:dyDescent="0.25">
      <c r="D761" s="34"/>
      <c r="E761" s="34"/>
      <c r="F761" s="62"/>
      <c r="G761" s="37"/>
      <c r="H761" s="64"/>
      <c r="I761" s="40"/>
      <c r="J761" s="40"/>
      <c r="K761" s="33"/>
      <c r="L761" s="33"/>
      <c r="M761" s="38"/>
    </row>
    <row r="762" spans="4:13" x14ac:dyDescent="0.25">
      <c r="D762" s="34"/>
      <c r="E762" s="34"/>
      <c r="F762" s="62"/>
      <c r="G762" s="37"/>
      <c r="H762" s="64"/>
      <c r="I762" s="40"/>
      <c r="J762" s="40"/>
      <c r="K762" s="33"/>
      <c r="L762" s="33"/>
      <c r="M762" s="38"/>
    </row>
    <row r="763" spans="4:13" x14ac:dyDescent="0.25">
      <c r="D763" s="34"/>
      <c r="E763" s="34"/>
      <c r="F763" s="62"/>
      <c r="G763" s="37"/>
      <c r="H763" s="64"/>
      <c r="I763" s="40"/>
      <c r="J763" s="40"/>
      <c r="K763" s="33"/>
      <c r="L763" s="33"/>
      <c r="M763" s="38"/>
    </row>
    <row r="764" spans="4:13" x14ac:dyDescent="0.25">
      <c r="D764" s="34"/>
      <c r="E764" s="34"/>
      <c r="F764" s="62"/>
      <c r="G764" s="37"/>
      <c r="H764" s="64"/>
      <c r="I764" s="40"/>
      <c r="J764" s="40"/>
      <c r="K764" s="33"/>
      <c r="L764" s="33"/>
      <c r="M764" s="38"/>
    </row>
    <row r="765" spans="4:13" x14ac:dyDescent="0.25">
      <c r="D765" s="34"/>
      <c r="E765" s="34"/>
      <c r="F765" s="62"/>
      <c r="G765" s="37"/>
      <c r="H765" s="64"/>
      <c r="I765" s="40"/>
      <c r="J765" s="40"/>
      <c r="K765" s="33"/>
      <c r="L765" s="33"/>
      <c r="M765" s="38"/>
    </row>
    <row r="766" spans="4:13" x14ac:dyDescent="0.25">
      <c r="D766" s="34"/>
      <c r="E766" s="34"/>
      <c r="F766" s="62"/>
      <c r="G766" s="37"/>
      <c r="H766" s="64"/>
      <c r="I766" s="40"/>
      <c r="J766" s="40"/>
      <c r="K766" s="33"/>
      <c r="L766" s="33"/>
      <c r="M766" s="38"/>
    </row>
    <row r="767" spans="4:13" x14ac:dyDescent="0.25">
      <c r="D767" s="34"/>
      <c r="E767" s="34"/>
      <c r="F767" s="62"/>
      <c r="G767" s="37"/>
      <c r="H767" s="64"/>
      <c r="I767" s="40"/>
      <c r="J767" s="40"/>
      <c r="K767" s="33"/>
      <c r="L767" s="33"/>
      <c r="M767" s="38"/>
    </row>
    <row r="768" spans="4:13" x14ac:dyDescent="0.25">
      <c r="D768" s="34"/>
      <c r="E768" s="34"/>
      <c r="F768" s="62"/>
      <c r="G768" s="37"/>
      <c r="H768" s="64"/>
      <c r="I768" s="40"/>
      <c r="J768" s="40"/>
      <c r="K768" s="33"/>
      <c r="L768" s="33"/>
      <c r="M768" s="38"/>
    </row>
    <row r="769" spans="4:13" x14ac:dyDescent="0.25">
      <c r="D769" s="34"/>
      <c r="E769" s="34"/>
      <c r="F769" s="62"/>
      <c r="G769" s="37"/>
      <c r="H769" s="64"/>
      <c r="I769" s="40"/>
      <c r="J769" s="40"/>
      <c r="K769" s="33"/>
      <c r="L769" s="33"/>
      <c r="M769" s="38"/>
    </row>
    <row r="770" spans="4:13" x14ac:dyDescent="0.25">
      <c r="D770" s="34"/>
      <c r="E770" s="34"/>
      <c r="F770" s="62"/>
      <c r="G770" s="37"/>
      <c r="H770" s="64"/>
      <c r="I770" s="40"/>
      <c r="J770" s="40"/>
      <c r="K770" s="33"/>
      <c r="L770" s="33"/>
      <c r="M770" s="38"/>
    </row>
    <row r="771" spans="4:13" x14ac:dyDescent="0.25">
      <c r="D771" s="34"/>
      <c r="E771" s="34"/>
      <c r="F771" s="62"/>
      <c r="G771" s="37"/>
      <c r="H771" s="64"/>
      <c r="I771" s="40"/>
      <c r="J771" s="40"/>
      <c r="K771" s="33"/>
      <c r="L771" s="33"/>
      <c r="M771" s="38"/>
    </row>
    <row r="772" spans="4:13" x14ac:dyDescent="0.25">
      <c r="D772" s="34"/>
      <c r="E772" s="34"/>
      <c r="F772" s="62"/>
      <c r="G772" s="37"/>
      <c r="H772" s="64"/>
      <c r="I772" s="40"/>
      <c r="J772" s="40"/>
      <c r="K772" s="33"/>
      <c r="L772" s="33"/>
      <c r="M772" s="38"/>
    </row>
    <row r="773" spans="4:13" x14ac:dyDescent="0.25">
      <c r="D773" s="34"/>
      <c r="E773" s="34"/>
      <c r="F773" s="62"/>
      <c r="G773" s="37"/>
      <c r="H773" s="64"/>
      <c r="I773" s="40"/>
      <c r="J773" s="40"/>
      <c r="K773" s="33"/>
      <c r="L773" s="33"/>
      <c r="M773" s="38"/>
    </row>
    <row r="774" spans="4:13" x14ac:dyDescent="0.25">
      <c r="D774" s="34"/>
      <c r="E774" s="34"/>
      <c r="F774" s="62"/>
      <c r="G774" s="37"/>
      <c r="H774" s="64"/>
      <c r="I774" s="40"/>
      <c r="J774" s="40"/>
      <c r="K774" s="33"/>
      <c r="L774" s="33"/>
      <c r="M774" s="38"/>
    </row>
    <row r="775" spans="4:13" x14ac:dyDescent="0.25">
      <c r="D775" s="34"/>
      <c r="E775" s="34"/>
      <c r="F775" s="62"/>
      <c r="G775" s="37"/>
      <c r="H775" s="64"/>
      <c r="I775" s="40"/>
      <c r="J775" s="40"/>
      <c r="K775" s="33"/>
      <c r="L775" s="33"/>
      <c r="M775" s="38"/>
    </row>
    <row r="776" spans="4:13" x14ac:dyDescent="0.25">
      <c r="D776" s="34"/>
      <c r="E776" s="34"/>
      <c r="F776" s="62"/>
      <c r="G776" s="37"/>
      <c r="H776" s="64"/>
      <c r="I776" s="40"/>
      <c r="J776" s="40"/>
      <c r="K776" s="33"/>
      <c r="L776" s="33"/>
      <c r="M776" s="38"/>
    </row>
    <row r="777" spans="4:13" x14ac:dyDescent="0.25">
      <c r="D777" s="34"/>
      <c r="E777" s="34"/>
      <c r="F777" s="62"/>
      <c r="G777" s="37"/>
      <c r="H777" s="64"/>
      <c r="I777" s="40"/>
      <c r="J777" s="40"/>
      <c r="K777" s="33"/>
      <c r="L777" s="33"/>
      <c r="M777" s="38"/>
    </row>
    <row r="778" spans="4:13" x14ac:dyDescent="0.25">
      <c r="D778" s="34"/>
      <c r="E778" s="34"/>
      <c r="F778" s="62"/>
      <c r="G778" s="37"/>
      <c r="H778" s="64"/>
      <c r="I778" s="40"/>
      <c r="J778" s="40"/>
      <c r="K778" s="33"/>
      <c r="L778" s="33"/>
      <c r="M778" s="38"/>
    </row>
    <row r="779" spans="4:13" x14ac:dyDescent="0.25">
      <c r="D779" s="34"/>
      <c r="E779" s="34"/>
      <c r="F779" s="62"/>
      <c r="G779" s="37"/>
      <c r="H779" s="64"/>
      <c r="I779" s="40"/>
      <c r="J779" s="40"/>
      <c r="K779" s="33"/>
      <c r="L779" s="33"/>
      <c r="M779" s="38"/>
    </row>
    <row r="780" spans="4:13" x14ac:dyDescent="0.25">
      <c r="D780" s="34"/>
      <c r="E780" s="34"/>
      <c r="F780" s="62"/>
      <c r="G780" s="37"/>
      <c r="H780" s="64"/>
      <c r="I780" s="40"/>
      <c r="J780" s="40"/>
      <c r="K780" s="33"/>
      <c r="L780" s="33"/>
      <c r="M780" s="38"/>
    </row>
    <row r="781" spans="4:13" x14ac:dyDescent="0.25">
      <c r="D781" s="34"/>
      <c r="E781" s="34"/>
      <c r="F781" s="62"/>
      <c r="G781" s="37"/>
      <c r="H781" s="64"/>
      <c r="I781" s="40"/>
      <c r="J781" s="40"/>
      <c r="K781" s="33"/>
      <c r="L781" s="33"/>
      <c r="M781" s="38"/>
    </row>
    <row r="782" spans="4:13" x14ac:dyDescent="0.25">
      <c r="D782" s="34"/>
      <c r="E782" s="34"/>
      <c r="F782" s="62"/>
      <c r="G782" s="37"/>
      <c r="H782" s="64"/>
      <c r="I782" s="40"/>
      <c r="J782" s="40"/>
      <c r="K782" s="33"/>
      <c r="L782" s="33"/>
      <c r="M782" s="38"/>
    </row>
    <row r="783" spans="4:13" x14ac:dyDescent="0.25">
      <c r="D783" s="34"/>
      <c r="E783" s="34"/>
      <c r="F783" s="62"/>
      <c r="G783" s="37"/>
      <c r="H783" s="64"/>
      <c r="I783" s="40"/>
      <c r="J783" s="40"/>
      <c r="K783" s="33"/>
      <c r="L783" s="33"/>
      <c r="M783" s="38"/>
    </row>
    <row r="784" spans="4:13" x14ac:dyDescent="0.25">
      <c r="D784" s="34"/>
      <c r="E784" s="34"/>
      <c r="F784" s="62"/>
      <c r="G784" s="37"/>
      <c r="H784" s="64"/>
      <c r="I784" s="40"/>
      <c r="J784" s="40"/>
      <c r="K784" s="33"/>
      <c r="L784" s="33"/>
      <c r="M784" s="38"/>
    </row>
    <row r="785" spans="4:13" x14ac:dyDescent="0.25">
      <c r="D785" s="34"/>
      <c r="E785" s="34"/>
      <c r="F785" s="62"/>
      <c r="G785" s="37"/>
      <c r="H785" s="64"/>
      <c r="I785" s="40"/>
      <c r="J785" s="40"/>
      <c r="K785" s="33"/>
      <c r="L785" s="33"/>
      <c r="M785" s="38"/>
    </row>
    <row r="786" spans="4:13" x14ac:dyDescent="0.25">
      <c r="D786" s="34"/>
      <c r="E786" s="34"/>
      <c r="F786" s="62"/>
      <c r="G786" s="37"/>
      <c r="H786" s="64"/>
      <c r="I786" s="40"/>
      <c r="J786" s="40"/>
      <c r="K786" s="33"/>
      <c r="L786" s="33"/>
      <c r="M786" s="38"/>
    </row>
    <row r="787" spans="4:13" x14ac:dyDescent="0.25">
      <c r="D787" s="34"/>
      <c r="E787" s="34"/>
      <c r="F787" s="62"/>
      <c r="G787" s="37"/>
      <c r="H787" s="64"/>
      <c r="I787" s="40"/>
      <c r="J787" s="40"/>
      <c r="K787" s="33"/>
      <c r="L787" s="33"/>
      <c r="M787" s="38"/>
    </row>
    <row r="788" spans="4:13" x14ac:dyDescent="0.25">
      <c r="D788" s="34"/>
      <c r="E788" s="34"/>
      <c r="F788" s="62"/>
      <c r="G788" s="37"/>
      <c r="H788" s="64"/>
      <c r="I788" s="40"/>
      <c r="J788" s="40"/>
      <c r="K788" s="33"/>
      <c r="L788" s="33"/>
      <c r="M788" s="38"/>
    </row>
    <row r="789" spans="4:13" x14ac:dyDescent="0.25">
      <c r="D789" s="34"/>
      <c r="E789" s="34"/>
      <c r="F789" s="62"/>
      <c r="G789" s="37"/>
      <c r="H789" s="64"/>
      <c r="I789" s="40"/>
      <c r="J789" s="40"/>
      <c r="K789" s="33"/>
      <c r="L789" s="33"/>
      <c r="M789" s="38"/>
    </row>
    <row r="790" spans="4:13" x14ac:dyDescent="0.25">
      <c r="D790" s="34"/>
      <c r="E790" s="34"/>
      <c r="F790" s="62"/>
      <c r="G790" s="37"/>
      <c r="H790" s="64"/>
      <c r="I790" s="40"/>
      <c r="J790" s="40"/>
      <c r="K790" s="33"/>
      <c r="L790" s="33"/>
      <c r="M790" s="38"/>
    </row>
    <row r="791" spans="4:13" x14ac:dyDescent="0.25">
      <c r="D791" s="34"/>
      <c r="E791" s="34"/>
      <c r="F791" s="62"/>
      <c r="G791" s="37"/>
      <c r="H791" s="64"/>
      <c r="I791" s="40"/>
      <c r="J791" s="40"/>
      <c r="K791" s="33"/>
      <c r="L791" s="33"/>
      <c r="M791" s="38"/>
    </row>
    <row r="792" spans="4:13" x14ac:dyDescent="0.25">
      <c r="D792" s="34"/>
      <c r="E792" s="34"/>
      <c r="F792" s="62"/>
      <c r="G792" s="37"/>
      <c r="H792" s="64"/>
      <c r="I792" s="40"/>
      <c r="J792" s="40"/>
      <c r="K792" s="33"/>
      <c r="L792" s="33"/>
      <c r="M792" s="38"/>
    </row>
    <row r="793" spans="4:13" x14ac:dyDescent="0.25">
      <c r="D793" s="34"/>
      <c r="E793" s="34"/>
      <c r="F793" s="62"/>
      <c r="G793" s="37"/>
      <c r="H793" s="64"/>
      <c r="I793" s="40"/>
      <c r="J793" s="40"/>
      <c r="K793" s="33"/>
      <c r="L793" s="33"/>
      <c r="M793" s="38"/>
    </row>
    <row r="794" spans="4:13" x14ac:dyDescent="0.25">
      <c r="D794" s="34"/>
      <c r="E794" s="34"/>
      <c r="F794" s="62"/>
      <c r="G794" s="37"/>
      <c r="H794" s="64"/>
      <c r="I794" s="40"/>
      <c r="J794" s="40"/>
      <c r="K794" s="33"/>
      <c r="L794" s="33"/>
      <c r="M794" s="38"/>
    </row>
    <row r="795" spans="4:13" x14ac:dyDescent="0.25">
      <c r="D795" s="34"/>
      <c r="E795" s="34"/>
      <c r="F795" s="62"/>
      <c r="G795" s="37"/>
      <c r="H795" s="64"/>
      <c r="I795" s="40"/>
      <c r="J795" s="40"/>
      <c r="K795" s="33"/>
      <c r="L795" s="33"/>
      <c r="M795" s="38"/>
    </row>
    <row r="796" spans="4:13" x14ac:dyDescent="0.25">
      <c r="D796" s="34"/>
      <c r="E796" s="34"/>
      <c r="F796" s="62"/>
      <c r="G796" s="37"/>
      <c r="H796" s="64"/>
      <c r="I796" s="40"/>
      <c r="J796" s="40"/>
      <c r="K796" s="33"/>
      <c r="L796" s="33"/>
      <c r="M796" s="38"/>
    </row>
    <row r="797" spans="4:13" x14ac:dyDescent="0.25">
      <c r="D797" s="34"/>
      <c r="E797" s="34"/>
      <c r="F797" s="62"/>
      <c r="G797" s="37"/>
      <c r="H797" s="64"/>
      <c r="I797" s="40"/>
      <c r="J797" s="40"/>
      <c r="K797" s="33"/>
      <c r="L797" s="33"/>
      <c r="M797" s="38"/>
    </row>
    <row r="798" spans="4:13" x14ac:dyDescent="0.25">
      <c r="D798" s="34"/>
      <c r="E798" s="34"/>
      <c r="F798" s="62"/>
      <c r="G798" s="37"/>
      <c r="H798" s="64"/>
      <c r="I798" s="40"/>
      <c r="J798" s="40"/>
      <c r="K798" s="33"/>
      <c r="L798" s="33"/>
      <c r="M798" s="38"/>
    </row>
    <row r="799" spans="4:13" x14ac:dyDescent="0.25">
      <c r="D799" s="34"/>
      <c r="E799" s="34"/>
      <c r="F799" s="62"/>
      <c r="G799" s="37"/>
      <c r="H799" s="64"/>
      <c r="I799" s="40"/>
      <c r="J799" s="40"/>
      <c r="K799" s="33"/>
      <c r="L799" s="33"/>
      <c r="M799" s="38"/>
    </row>
    <row r="800" spans="4:13" x14ac:dyDescent="0.25">
      <c r="D800" s="34"/>
      <c r="E800" s="34"/>
      <c r="F800" s="62"/>
      <c r="G800" s="37"/>
      <c r="H800" s="64"/>
      <c r="I800" s="40"/>
      <c r="J800" s="40"/>
      <c r="K800" s="33"/>
      <c r="L800" s="33"/>
      <c r="M800" s="38"/>
    </row>
    <row r="801" spans="4:13" x14ac:dyDescent="0.25">
      <c r="D801" s="34"/>
      <c r="E801" s="34"/>
      <c r="F801" s="62"/>
      <c r="G801" s="37"/>
      <c r="H801" s="64"/>
      <c r="I801" s="40"/>
      <c r="J801" s="40"/>
      <c r="K801" s="33"/>
      <c r="L801" s="33"/>
      <c r="M801" s="38"/>
    </row>
    <row r="802" spans="4:13" x14ac:dyDescent="0.25">
      <c r="D802" s="34"/>
      <c r="E802" s="34"/>
      <c r="F802" s="62"/>
      <c r="G802" s="37"/>
      <c r="H802" s="64"/>
      <c r="I802" s="40"/>
      <c r="J802" s="40"/>
      <c r="K802" s="33"/>
      <c r="L802" s="33"/>
      <c r="M802" s="38"/>
    </row>
    <row r="803" spans="4:13" x14ac:dyDescent="0.25">
      <c r="D803" s="34"/>
      <c r="E803" s="34"/>
      <c r="F803" s="62"/>
      <c r="G803" s="37"/>
      <c r="H803" s="64"/>
      <c r="I803" s="40"/>
      <c r="J803" s="40"/>
      <c r="K803" s="33"/>
      <c r="L803" s="33"/>
      <c r="M803" s="38"/>
    </row>
    <row r="804" spans="4:13" x14ac:dyDescent="0.25">
      <c r="D804" s="34"/>
      <c r="E804" s="34"/>
      <c r="F804" s="62"/>
      <c r="G804" s="37"/>
      <c r="H804" s="64"/>
      <c r="I804" s="40"/>
      <c r="J804" s="40"/>
      <c r="K804" s="33"/>
      <c r="L804" s="33"/>
      <c r="M804" s="38"/>
    </row>
    <row r="805" spans="4:13" x14ac:dyDescent="0.25">
      <c r="D805" s="34"/>
      <c r="E805" s="34"/>
      <c r="F805" s="62"/>
      <c r="G805" s="37"/>
      <c r="H805" s="64"/>
      <c r="I805" s="40"/>
      <c r="J805" s="40"/>
      <c r="K805" s="33"/>
      <c r="L805" s="33"/>
      <c r="M805" s="38"/>
    </row>
    <row r="806" spans="4:13" x14ac:dyDescent="0.25">
      <c r="D806" s="34"/>
      <c r="E806" s="34"/>
      <c r="F806" s="62"/>
      <c r="G806" s="37"/>
      <c r="H806" s="64"/>
      <c r="I806" s="40"/>
      <c r="J806" s="40"/>
      <c r="K806" s="33"/>
      <c r="L806" s="33"/>
      <c r="M806" s="38"/>
    </row>
    <row r="807" spans="4:13" x14ac:dyDescent="0.25">
      <c r="D807" s="34"/>
      <c r="E807" s="34"/>
      <c r="F807" s="62"/>
      <c r="G807" s="37"/>
      <c r="H807" s="64"/>
      <c r="I807" s="40"/>
      <c r="J807" s="40"/>
      <c r="K807" s="33"/>
      <c r="L807" s="33"/>
      <c r="M807" s="38"/>
    </row>
    <row r="808" spans="4:13" x14ac:dyDescent="0.25">
      <c r="D808" s="34"/>
      <c r="E808" s="34"/>
      <c r="F808" s="62"/>
      <c r="G808" s="37"/>
      <c r="H808" s="64"/>
      <c r="I808" s="40"/>
      <c r="J808" s="40"/>
      <c r="K808" s="33"/>
      <c r="L808" s="33"/>
      <c r="M808" s="38"/>
    </row>
    <row r="809" spans="4:13" x14ac:dyDescent="0.25">
      <c r="D809" s="34"/>
      <c r="E809" s="34"/>
      <c r="F809" s="62"/>
      <c r="G809" s="37"/>
      <c r="H809" s="64"/>
      <c r="I809" s="40"/>
      <c r="J809" s="40"/>
      <c r="K809" s="33"/>
      <c r="L809" s="33"/>
      <c r="M809" s="38"/>
    </row>
    <row r="810" spans="4:13" x14ac:dyDescent="0.25">
      <c r="D810" s="34"/>
      <c r="E810" s="34"/>
      <c r="F810" s="62"/>
      <c r="G810" s="37"/>
      <c r="H810" s="64"/>
      <c r="I810" s="40"/>
      <c r="J810" s="40"/>
      <c r="K810" s="33"/>
      <c r="L810" s="33"/>
      <c r="M810" s="38"/>
    </row>
    <row r="811" spans="4:13" x14ac:dyDescent="0.25">
      <c r="D811" s="34"/>
      <c r="E811" s="34"/>
      <c r="F811" s="62"/>
      <c r="G811" s="37"/>
      <c r="H811" s="64"/>
      <c r="I811" s="40"/>
      <c r="J811" s="40"/>
      <c r="K811" s="33"/>
      <c r="L811" s="33"/>
      <c r="M811" s="38"/>
    </row>
    <row r="812" spans="4:13" x14ac:dyDescent="0.25">
      <c r="D812" s="34"/>
      <c r="E812" s="34"/>
      <c r="F812" s="62"/>
      <c r="G812" s="37"/>
      <c r="H812" s="64"/>
      <c r="I812" s="40"/>
      <c r="J812" s="40"/>
      <c r="K812" s="33"/>
      <c r="L812" s="33"/>
      <c r="M812" s="38"/>
    </row>
    <row r="813" spans="4:13" x14ac:dyDescent="0.25">
      <c r="D813" s="34"/>
      <c r="E813" s="34"/>
      <c r="F813" s="62"/>
      <c r="G813" s="37"/>
      <c r="H813" s="64"/>
      <c r="I813" s="40"/>
      <c r="J813" s="40"/>
      <c r="K813" s="33"/>
      <c r="L813" s="33"/>
      <c r="M813" s="38"/>
    </row>
    <row r="814" spans="4:13" x14ac:dyDescent="0.25">
      <c r="D814" s="34"/>
      <c r="E814" s="34"/>
      <c r="F814" s="62"/>
      <c r="G814" s="37"/>
      <c r="H814" s="64"/>
      <c r="I814" s="40"/>
      <c r="J814" s="40"/>
      <c r="K814" s="33"/>
      <c r="L814" s="33"/>
      <c r="M814" s="38"/>
    </row>
    <row r="815" spans="4:13" x14ac:dyDescent="0.25">
      <c r="D815" s="34"/>
      <c r="E815" s="34"/>
      <c r="F815" s="62"/>
      <c r="G815" s="37"/>
      <c r="H815" s="64"/>
      <c r="I815" s="40"/>
      <c r="J815" s="40"/>
      <c r="K815" s="33"/>
      <c r="L815" s="33"/>
      <c r="M815" s="38"/>
    </row>
    <row r="816" spans="4:13" x14ac:dyDescent="0.25">
      <c r="D816" s="34"/>
      <c r="E816" s="34"/>
      <c r="F816" s="62"/>
      <c r="G816" s="37"/>
      <c r="H816" s="64"/>
      <c r="I816" s="40"/>
      <c r="J816" s="40"/>
      <c r="K816" s="33"/>
      <c r="L816" s="33"/>
      <c r="M816" s="38"/>
    </row>
    <row r="817" spans="4:13" x14ac:dyDescent="0.25">
      <c r="D817" s="34"/>
      <c r="E817" s="34"/>
      <c r="F817" s="62"/>
      <c r="G817" s="37"/>
      <c r="H817" s="64"/>
      <c r="I817" s="40"/>
      <c r="J817" s="40"/>
      <c r="K817" s="33"/>
      <c r="L817" s="33"/>
      <c r="M817" s="38"/>
    </row>
    <row r="818" spans="4:13" x14ac:dyDescent="0.25">
      <c r="D818" s="34"/>
      <c r="E818" s="34"/>
      <c r="F818" s="62"/>
      <c r="G818" s="37"/>
      <c r="H818" s="64"/>
      <c r="I818" s="40"/>
      <c r="J818" s="40"/>
      <c r="K818" s="33"/>
      <c r="L818" s="33"/>
      <c r="M818" s="38"/>
    </row>
    <row r="819" spans="4:13" x14ac:dyDescent="0.25">
      <c r="D819" s="34"/>
      <c r="E819" s="34"/>
      <c r="F819" s="62"/>
      <c r="G819" s="37"/>
      <c r="H819" s="64"/>
      <c r="I819" s="40"/>
      <c r="J819" s="40"/>
      <c r="K819" s="33"/>
      <c r="L819" s="33"/>
      <c r="M819" s="38"/>
    </row>
    <row r="820" spans="4:13" x14ac:dyDescent="0.25">
      <c r="D820" s="34"/>
      <c r="E820" s="34"/>
      <c r="F820" s="62"/>
      <c r="G820" s="37"/>
      <c r="H820" s="64"/>
      <c r="I820" s="40"/>
      <c r="J820" s="40"/>
      <c r="K820" s="33"/>
      <c r="L820" s="33"/>
      <c r="M820" s="38"/>
    </row>
    <row r="821" spans="4:13" x14ac:dyDescent="0.25">
      <c r="D821" s="34"/>
      <c r="E821" s="34"/>
      <c r="F821" s="62"/>
      <c r="G821" s="37"/>
      <c r="H821" s="64"/>
      <c r="I821" s="40"/>
      <c r="J821" s="40"/>
      <c r="K821" s="33"/>
      <c r="L821" s="33"/>
      <c r="M821" s="38"/>
    </row>
    <row r="822" spans="4:13" x14ac:dyDescent="0.25">
      <c r="D822" s="34"/>
      <c r="E822" s="34"/>
      <c r="F822" s="62"/>
      <c r="G822" s="37"/>
      <c r="H822" s="64"/>
      <c r="I822" s="40"/>
      <c r="J822" s="40"/>
      <c r="K822" s="33"/>
      <c r="L822" s="33"/>
      <c r="M822" s="38"/>
    </row>
    <row r="823" spans="4:13" x14ac:dyDescent="0.25">
      <c r="D823" s="34"/>
      <c r="E823" s="34"/>
      <c r="F823" s="62"/>
      <c r="G823" s="37"/>
      <c r="H823" s="64"/>
      <c r="I823" s="40"/>
      <c r="J823" s="40"/>
      <c r="K823" s="33"/>
      <c r="L823" s="33"/>
      <c r="M823" s="38"/>
    </row>
    <row r="824" spans="4:13" x14ac:dyDescent="0.25">
      <c r="D824" s="34"/>
      <c r="E824" s="34"/>
      <c r="F824" s="62"/>
      <c r="G824" s="37"/>
      <c r="H824" s="64"/>
      <c r="I824" s="40"/>
      <c r="J824" s="40"/>
      <c r="K824" s="33"/>
      <c r="L824" s="33"/>
      <c r="M824" s="38"/>
    </row>
    <row r="825" spans="4:13" x14ac:dyDescent="0.25">
      <c r="D825" s="34"/>
      <c r="E825" s="34"/>
      <c r="F825" s="62"/>
      <c r="G825" s="37"/>
      <c r="H825" s="64"/>
      <c r="I825" s="40"/>
      <c r="J825" s="40"/>
      <c r="K825" s="33"/>
      <c r="L825" s="33"/>
      <c r="M825" s="38"/>
    </row>
    <row r="826" spans="4:13" x14ac:dyDescent="0.25">
      <c r="D826" s="34"/>
      <c r="E826" s="34"/>
      <c r="F826" s="62"/>
      <c r="G826" s="37"/>
      <c r="H826" s="64"/>
      <c r="I826" s="40"/>
      <c r="J826" s="40"/>
      <c r="K826" s="33"/>
      <c r="L826" s="33"/>
      <c r="M826" s="38"/>
    </row>
    <row r="827" spans="4:13" x14ac:dyDescent="0.25">
      <c r="D827" s="34"/>
      <c r="E827" s="34"/>
      <c r="F827" s="62"/>
      <c r="G827" s="37"/>
      <c r="H827" s="64"/>
      <c r="I827" s="40"/>
      <c r="J827" s="40"/>
      <c r="K827" s="33"/>
      <c r="L827" s="33"/>
      <c r="M827" s="38"/>
    </row>
    <row r="828" spans="4:13" x14ac:dyDescent="0.25">
      <c r="D828" s="34"/>
      <c r="E828" s="34"/>
      <c r="F828" s="62"/>
      <c r="G828" s="37"/>
      <c r="H828" s="64"/>
      <c r="I828" s="40"/>
      <c r="J828" s="40"/>
      <c r="K828" s="33"/>
      <c r="L828" s="33"/>
      <c r="M828" s="38"/>
    </row>
    <row r="829" spans="4:13" x14ac:dyDescent="0.25">
      <c r="D829" s="34"/>
      <c r="E829" s="34"/>
      <c r="F829" s="62"/>
      <c r="G829" s="37"/>
      <c r="H829" s="64"/>
      <c r="I829" s="40"/>
      <c r="J829" s="40"/>
      <c r="K829" s="33"/>
      <c r="L829" s="33"/>
      <c r="M829" s="38"/>
    </row>
    <row r="830" spans="4:13" x14ac:dyDescent="0.25">
      <c r="D830" s="34"/>
      <c r="E830" s="34"/>
      <c r="F830" s="62"/>
      <c r="G830" s="37"/>
      <c r="H830" s="64"/>
      <c r="I830" s="40"/>
      <c r="J830" s="40"/>
      <c r="K830" s="33"/>
      <c r="L830" s="33"/>
      <c r="M830" s="38"/>
    </row>
    <row r="831" spans="4:13" x14ac:dyDescent="0.25">
      <c r="D831" s="34"/>
      <c r="E831" s="34"/>
      <c r="F831" s="62"/>
      <c r="G831" s="37"/>
      <c r="H831" s="64"/>
      <c r="I831" s="40"/>
      <c r="J831" s="40"/>
      <c r="K831" s="33"/>
      <c r="L831" s="33"/>
      <c r="M831" s="38"/>
    </row>
    <row r="832" spans="4:13" x14ac:dyDescent="0.25">
      <c r="D832" s="34"/>
      <c r="E832" s="34"/>
      <c r="F832" s="62"/>
      <c r="G832" s="37"/>
      <c r="H832" s="64"/>
      <c r="I832" s="40"/>
      <c r="J832" s="40"/>
      <c r="K832" s="33"/>
      <c r="L832" s="33"/>
      <c r="M832" s="38"/>
    </row>
    <row r="833" spans="4:13" x14ac:dyDescent="0.25">
      <c r="D833" s="34"/>
      <c r="E833" s="34"/>
      <c r="F833" s="62"/>
      <c r="G833" s="37"/>
      <c r="H833" s="64"/>
      <c r="I833" s="40"/>
      <c r="J833" s="40"/>
      <c r="K833" s="33"/>
      <c r="L833" s="33"/>
      <c r="M833" s="38"/>
    </row>
    <row r="834" spans="4:13" x14ac:dyDescent="0.25">
      <c r="D834" s="34"/>
      <c r="E834" s="34"/>
      <c r="F834" s="62"/>
      <c r="G834" s="37"/>
      <c r="H834" s="64"/>
      <c r="I834" s="40"/>
      <c r="J834" s="40"/>
      <c r="K834" s="33"/>
      <c r="L834" s="33"/>
      <c r="M834" s="38"/>
    </row>
    <row r="835" spans="4:13" x14ac:dyDescent="0.25">
      <c r="D835" s="34"/>
      <c r="E835" s="34"/>
      <c r="F835" s="62"/>
      <c r="G835" s="37"/>
      <c r="H835" s="64"/>
      <c r="I835" s="40"/>
      <c r="J835" s="40"/>
      <c r="K835" s="33"/>
      <c r="L835" s="33"/>
      <c r="M835" s="38"/>
    </row>
    <row r="836" spans="4:13" x14ac:dyDescent="0.25">
      <c r="D836" s="34"/>
      <c r="E836" s="34"/>
      <c r="F836" s="62"/>
      <c r="G836" s="37"/>
      <c r="H836" s="64"/>
      <c r="I836" s="40"/>
      <c r="J836" s="40"/>
      <c r="K836" s="33"/>
      <c r="L836" s="33"/>
      <c r="M836" s="38"/>
    </row>
    <row r="837" spans="4:13" x14ac:dyDescent="0.25">
      <c r="D837" s="34"/>
      <c r="E837" s="34"/>
      <c r="F837" s="62"/>
      <c r="G837" s="37"/>
      <c r="H837" s="64"/>
      <c r="I837" s="40"/>
      <c r="J837" s="40"/>
      <c r="K837" s="33"/>
      <c r="L837" s="33"/>
      <c r="M837" s="38"/>
    </row>
    <row r="838" spans="4:13" x14ac:dyDescent="0.25">
      <c r="D838" s="34"/>
      <c r="E838" s="34"/>
      <c r="F838" s="62"/>
      <c r="G838" s="37"/>
      <c r="H838" s="64"/>
      <c r="I838" s="40"/>
      <c r="J838" s="40"/>
      <c r="K838" s="33"/>
      <c r="L838" s="33"/>
      <c r="M838" s="38"/>
    </row>
    <row r="839" spans="4:13" x14ac:dyDescent="0.25">
      <c r="D839" s="34"/>
      <c r="E839" s="34"/>
      <c r="F839" s="62"/>
      <c r="G839" s="37"/>
      <c r="H839" s="64"/>
      <c r="I839" s="40"/>
      <c r="J839" s="40"/>
      <c r="K839" s="33"/>
      <c r="L839" s="33"/>
      <c r="M839" s="38"/>
    </row>
    <row r="840" spans="4:13" x14ac:dyDescent="0.25">
      <c r="D840" s="34"/>
      <c r="E840" s="34"/>
      <c r="F840" s="62"/>
      <c r="G840" s="37"/>
      <c r="H840" s="64"/>
      <c r="I840" s="40"/>
      <c r="J840" s="40"/>
      <c r="K840" s="33"/>
      <c r="L840" s="33"/>
      <c r="M840" s="38"/>
    </row>
    <row r="841" spans="4:13" x14ac:dyDescent="0.25">
      <c r="D841" s="34"/>
      <c r="E841" s="34"/>
      <c r="F841" s="62"/>
      <c r="G841" s="37"/>
      <c r="H841" s="64"/>
      <c r="I841" s="40"/>
      <c r="J841" s="40"/>
      <c r="K841" s="33"/>
      <c r="L841" s="33"/>
      <c r="M841" s="38"/>
    </row>
    <row r="842" spans="4:13" x14ac:dyDescent="0.25">
      <c r="D842" s="34"/>
      <c r="E842" s="34"/>
      <c r="F842" s="62"/>
      <c r="G842" s="37"/>
      <c r="H842" s="64"/>
      <c r="I842" s="40"/>
      <c r="J842" s="40"/>
      <c r="K842" s="33"/>
      <c r="L842" s="33"/>
      <c r="M842" s="38"/>
    </row>
    <row r="843" spans="4:13" x14ac:dyDescent="0.25">
      <c r="D843" s="34"/>
      <c r="E843" s="34"/>
      <c r="F843" s="62"/>
      <c r="G843" s="37"/>
      <c r="H843" s="64"/>
      <c r="I843" s="40"/>
      <c r="J843" s="40"/>
      <c r="K843" s="33"/>
      <c r="L843" s="33"/>
      <c r="M843" s="38"/>
    </row>
    <row r="844" spans="4:13" x14ac:dyDescent="0.25">
      <c r="D844" s="34"/>
      <c r="E844" s="34"/>
      <c r="F844" s="62"/>
      <c r="G844" s="37"/>
      <c r="H844" s="64"/>
      <c r="I844" s="40"/>
      <c r="J844" s="40"/>
      <c r="K844" s="33"/>
      <c r="L844" s="33"/>
      <c r="M844" s="38"/>
    </row>
    <row r="845" spans="4:13" x14ac:dyDescent="0.25">
      <c r="D845" s="34"/>
      <c r="E845" s="34"/>
      <c r="F845" s="62"/>
      <c r="G845" s="37"/>
      <c r="H845" s="64"/>
      <c r="I845" s="40"/>
      <c r="J845" s="40"/>
      <c r="K845" s="33"/>
      <c r="L845" s="33"/>
      <c r="M845" s="38"/>
    </row>
    <row r="846" spans="4:13" x14ac:dyDescent="0.25">
      <c r="D846" s="34"/>
      <c r="E846" s="34"/>
      <c r="F846" s="62"/>
      <c r="G846" s="37"/>
      <c r="H846" s="64"/>
      <c r="I846" s="40"/>
      <c r="J846" s="40"/>
      <c r="K846" s="33"/>
      <c r="L846" s="33"/>
      <c r="M846" s="38"/>
    </row>
    <row r="847" spans="4:13" x14ac:dyDescent="0.25">
      <c r="D847" s="34"/>
      <c r="E847" s="34"/>
      <c r="F847" s="62"/>
      <c r="G847" s="37"/>
      <c r="H847" s="64"/>
      <c r="I847" s="40"/>
      <c r="J847" s="40"/>
      <c r="K847" s="33"/>
      <c r="L847" s="33"/>
      <c r="M847" s="38"/>
    </row>
    <row r="848" spans="4:13" x14ac:dyDescent="0.25">
      <c r="D848" s="34"/>
      <c r="E848" s="34"/>
      <c r="F848" s="62"/>
      <c r="G848" s="37"/>
      <c r="H848" s="64"/>
      <c r="I848" s="40"/>
      <c r="J848" s="40"/>
      <c r="K848" s="33"/>
      <c r="L848" s="33"/>
      <c r="M848" s="38"/>
    </row>
    <row r="849" spans="4:13" x14ac:dyDescent="0.25">
      <c r="D849" s="34"/>
      <c r="E849" s="34"/>
      <c r="F849" s="62"/>
      <c r="G849" s="37"/>
      <c r="H849" s="64"/>
      <c r="I849" s="40"/>
      <c r="J849" s="40"/>
      <c r="K849" s="33"/>
      <c r="L849" s="33"/>
      <c r="M849" s="38"/>
    </row>
    <row r="850" spans="4:13" x14ac:dyDescent="0.25">
      <c r="D850" s="34"/>
      <c r="E850" s="34"/>
      <c r="F850" s="62"/>
      <c r="G850" s="37"/>
      <c r="H850" s="64"/>
      <c r="I850" s="40"/>
      <c r="J850" s="40"/>
      <c r="K850" s="33"/>
      <c r="L850" s="33"/>
      <c r="M850" s="38"/>
    </row>
    <row r="851" spans="4:13" x14ac:dyDescent="0.25">
      <c r="D851" s="34"/>
      <c r="E851" s="34"/>
      <c r="F851" s="62"/>
      <c r="G851" s="37"/>
      <c r="H851" s="64"/>
      <c r="I851" s="40"/>
      <c r="J851" s="40"/>
      <c r="K851" s="33"/>
      <c r="L851" s="33"/>
      <c r="M851" s="38"/>
    </row>
    <row r="852" spans="4:13" x14ac:dyDescent="0.25">
      <c r="D852" s="34"/>
      <c r="E852" s="34"/>
      <c r="F852" s="62"/>
      <c r="G852" s="37"/>
      <c r="H852" s="64"/>
      <c r="I852" s="40"/>
      <c r="J852" s="40"/>
      <c r="K852" s="33"/>
      <c r="L852" s="33"/>
      <c r="M852" s="38"/>
    </row>
    <row r="853" spans="4:13" x14ac:dyDescent="0.25">
      <c r="D853" s="34"/>
      <c r="E853" s="34"/>
      <c r="F853" s="62"/>
      <c r="G853" s="37"/>
      <c r="H853" s="64"/>
      <c r="I853" s="40"/>
      <c r="J853" s="40"/>
      <c r="K853" s="33"/>
      <c r="L853" s="33"/>
      <c r="M853" s="38"/>
    </row>
    <row r="854" spans="4:13" x14ac:dyDescent="0.25">
      <c r="D854" s="34"/>
      <c r="E854" s="34"/>
      <c r="F854" s="62"/>
      <c r="G854" s="37"/>
      <c r="H854" s="64"/>
      <c r="I854" s="40"/>
      <c r="J854" s="40"/>
      <c r="K854" s="33"/>
      <c r="L854" s="33"/>
      <c r="M854" s="38"/>
    </row>
    <row r="855" spans="4:13" x14ac:dyDescent="0.25">
      <c r="D855" s="34"/>
      <c r="E855" s="34"/>
      <c r="F855" s="62"/>
      <c r="G855" s="37"/>
      <c r="H855" s="64"/>
      <c r="I855" s="40"/>
      <c r="J855" s="40"/>
      <c r="K855" s="33"/>
      <c r="L855" s="33"/>
      <c r="M855" s="38"/>
    </row>
    <row r="856" spans="4:13" x14ac:dyDescent="0.25">
      <c r="D856" s="34"/>
      <c r="E856" s="34"/>
      <c r="F856" s="62"/>
      <c r="G856" s="37"/>
      <c r="H856" s="64"/>
      <c r="I856" s="40"/>
      <c r="J856" s="40"/>
      <c r="K856" s="33"/>
      <c r="L856" s="33"/>
      <c r="M856" s="38"/>
    </row>
    <row r="857" spans="4:13" x14ac:dyDescent="0.25">
      <c r="D857" s="34"/>
      <c r="E857" s="34"/>
      <c r="F857" s="62"/>
      <c r="G857" s="37"/>
      <c r="H857" s="64"/>
      <c r="I857" s="40"/>
      <c r="J857" s="40"/>
      <c r="K857" s="33"/>
      <c r="L857" s="33"/>
      <c r="M857" s="38"/>
    </row>
    <row r="858" spans="4:13" x14ac:dyDescent="0.25">
      <c r="D858" s="34"/>
      <c r="E858" s="34"/>
      <c r="F858" s="62"/>
      <c r="G858" s="37"/>
      <c r="H858" s="64"/>
      <c r="I858" s="40"/>
      <c r="J858" s="40"/>
      <c r="K858" s="33"/>
      <c r="L858" s="33"/>
      <c r="M858" s="38"/>
    </row>
    <row r="859" spans="4:13" x14ac:dyDescent="0.25">
      <c r="D859" s="34"/>
      <c r="E859" s="34"/>
      <c r="F859" s="62"/>
      <c r="G859" s="37"/>
      <c r="H859" s="64"/>
      <c r="I859" s="40"/>
      <c r="J859" s="40"/>
      <c r="K859" s="33"/>
      <c r="L859" s="33"/>
      <c r="M859" s="38"/>
    </row>
    <row r="860" spans="4:13" x14ac:dyDescent="0.25">
      <c r="D860" s="34"/>
      <c r="E860" s="34"/>
      <c r="F860" s="62"/>
      <c r="G860" s="37"/>
      <c r="H860" s="64"/>
      <c r="I860" s="40"/>
      <c r="J860" s="40"/>
      <c r="K860" s="33"/>
      <c r="L860" s="33"/>
      <c r="M860" s="38"/>
    </row>
    <row r="861" spans="4:13" x14ac:dyDescent="0.25">
      <c r="D861" s="34"/>
      <c r="E861" s="34"/>
      <c r="F861" s="62"/>
      <c r="G861" s="37"/>
      <c r="H861" s="64"/>
      <c r="I861" s="40"/>
      <c r="J861" s="40"/>
      <c r="K861" s="33"/>
      <c r="L861" s="33"/>
      <c r="M861" s="38"/>
    </row>
    <row r="862" spans="4:13" x14ac:dyDescent="0.25">
      <c r="D862" s="34"/>
      <c r="E862" s="34"/>
      <c r="F862" s="62"/>
      <c r="G862" s="37"/>
      <c r="H862" s="64"/>
      <c r="I862" s="40"/>
      <c r="J862" s="40"/>
      <c r="K862" s="33"/>
      <c r="L862" s="33"/>
      <c r="M862" s="38"/>
    </row>
    <row r="863" spans="4:13" x14ac:dyDescent="0.25">
      <c r="D863" s="34"/>
      <c r="E863" s="34"/>
      <c r="F863" s="62"/>
      <c r="G863" s="37"/>
      <c r="H863" s="64"/>
      <c r="I863" s="40"/>
      <c r="J863" s="40"/>
      <c r="K863" s="33"/>
      <c r="L863" s="33"/>
      <c r="M863" s="38"/>
    </row>
    <row r="864" spans="4:13" x14ac:dyDescent="0.25">
      <c r="D864" s="34"/>
      <c r="E864" s="34"/>
      <c r="F864" s="62"/>
      <c r="G864" s="37"/>
      <c r="H864" s="64"/>
      <c r="I864" s="40"/>
      <c r="J864" s="40"/>
      <c r="K864" s="33"/>
      <c r="L864" s="33"/>
      <c r="M864" s="38"/>
    </row>
    <row r="865" spans="4:13" x14ac:dyDescent="0.25">
      <c r="D865" s="34"/>
      <c r="E865" s="34"/>
      <c r="F865" s="62"/>
      <c r="G865" s="37"/>
      <c r="H865" s="64"/>
      <c r="I865" s="40"/>
      <c r="J865" s="40"/>
      <c r="K865" s="33"/>
      <c r="L865" s="33"/>
      <c r="M865" s="38"/>
    </row>
    <row r="866" spans="4:13" x14ac:dyDescent="0.25">
      <c r="D866" s="34"/>
      <c r="E866" s="34"/>
      <c r="F866" s="62"/>
      <c r="G866" s="37"/>
      <c r="H866" s="64"/>
      <c r="I866" s="40"/>
      <c r="J866" s="40"/>
      <c r="K866" s="33"/>
      <c r="L866" s="33"/>
      <c r="M866" s="38"/>
    </row>
    <row r="867" spans="4:13" x14ac:dyDescent="0.25">
      <c r="D867" s="34"/>
      <c r="E867" s="34"/>
      <c r="F867" s="62"/>
      <c r="G867" s="37"/>
      <c r="H867" s="64"/>
      <c r="I867" s="40"/>
      <c r="J867" s="40"/>
      <c r="K867" s="33"/>
      <c r="L867" s="33"/>
      <c r="M867" s="38"/>
    </row>
    <row r="868" spans="4:13" x14ac:dyDescent="0.25">
      <c r="D868" s="34"/>
      <c r="E868" s="34"/>
      <c r="F868" s="62"/>
      <c r="G868" s="37"/>
      <c r="H868" s="64"/>
      <c r="I868" s="40"/>
      <c r="J868" s="40"/>
      <c r="K868" s="33"/>
      <c r="L868" s="33"/>
      <c r="M868" s="38"/>
    </row>
    <row r="869" spans="4:13" x14ac:dyDescent="0.25">
      <c r="D869" s="34"/>
      <c r="E869" s="34"/>
      <c r="F869" s="62"/>
      <c r="G869" s="37"/>
      <c r="H869" s="64"/>
      <c r="I869" s="40"/>
      <c r="J869" s="40"/>
      <c r="K869" s="33"/>
      <c r="L869" s="33"/>
      <c r="M869" s="38"/>
    </row>
    <row r="870" spans="4:13" x14ac:dyDescent="0.25">
      <c r="D870" s="34"/>
      <c r="E870" s="34"/>
      <c r="F870" s="62"/>
      <c r="G870" s="37"/>
      <c r="H870" s="64"/>
      <c r="I870" s="40"/>
      <c r="J870" s="40"/>
      <c r="K870" s="33"/>
      <c r="L870" s="33"/>
      <c r="M870" s="38"/>
    </row>
    <row r="871" spans="4:13" x14ac:dyDescent="0.25">
      <c r="D871" s="34"/>
      <c r="E871" s="34"/>
      <c r="F871" s="62"/>
      <c r="G871" s="37"/>
      <c r="H871" s="64"/>
      <c r="I871" s="40"/>
      <c r="J871" s="40"/>
      <c r="K871" s="33"/>
      <c r="L871" s="33"/>
      <c r="M871" s="38"/>
    </row>
    <row r="872" spans="4:13" x14ac:dyDescent="0.25">
      <c r="D872" s="34"/>
      <c r="E872" s="34"/>
      <c r="F872" s="62"/>
      <c r="G872" s="37"/>
      <c r="H872" s="64"/>
      <c r="I872" s="40"/>
      <c r="J872" s="40"/>
      <c r="K872" s="33"/>
      <c r="L872" s="33"/>
      <c r="M872" s="38"/>
    </row>
    <row r="873" spans="4:13" x14ac:dyDescent="0.25">
      <c r="D873" s="34"/>
      <c r="E873" s="34"/>
      <c r="F873" s="62"/>
      <c r="G873" s="37"/>
      <c r="H873" s="64"/>
      <c r="I873" s="40"/>
      <c r="J873" s="40"/>
      <c r="K873" s="33"/>
      <c r="L873" s="33"/>
      <c r="M873" s="38"/>
    </row>
    <row r="874" spans="4:13" x14ac:dyDescent="0.25">
      <c r="D874" s="34"/>
      <c r="E874" s="34"/>
      <c r="F874" s="62"/>
      <c r="G874" s="37"/>
      <c r="H874" s="64"/>
      <c r="I874" s="40"/>
      <c r="J874" s="40"/>
      <c r="K874" s="33"/>
      <c r="L874" s="33"/>
      <c r="M874" s="38"/>
    </row>
    <row r="875" spans="4:13" x14ac:dyDescent="0.25">
      <c r="D875" s="34"/>
      <c r="E875" s="34"/>
      <c r="F875" s="62"/>
      <c r="G875" s="37"/>
      <c r="H875" s="64"/>
      <c r="I875" s="40"/>
      <c r="J875" s="40"/>
      <c r="K875" s="33"/>
      <c r="L875" s="33"/>
      <c r="M875" s="38"/>
    </row>
    <row r="876" spans="4:13" x14ac:dyDescent="0.25">
      <c r="D876" s="34"/>
      <c r="E876" s="34"/>
      <c r="F876" s="62"/>
      <c r="G876" s="37"/>
      <c r="H876" s="64"/>
      <c r="I876" s="40"/>
      <c r="J876" s="40"/>
      <c r="K876" s="33"/>
      <c r="L876" s="33"/>
      <c r="M876" s="38"/>
    </row>
    <row r="877" spans="4:13" x14ac:dyDescent="0.25">
      <c r="D877" s="34"/>
      <c r="E877" s="34"/>
      <c r="F877" s="62"/>
      <c r="G877" s="37"/>
      <c r="H877" s="64"/>
      <c r="I877" s="40"/>
      <c r="J877" s="40"/>
      <c r="K877" s="33"/>
      <c r="L877" s="33"/>
      <c r="M877" s="38"/>
    </row>
    <row r="878" spans="4:13" x14ac:dyDescent="0.25">
      <c r="D878" s="34"/>
      <c r="E878" s="34"/>
      <c r="F878" s="62"/>
      <c r="G878" s="37"/>
      <c r="H878" s="64"/>
      <c r="I878" s="40"/>
      <c r="J878" s="40"/>
      <c r="K878" s="33"/>
      <c r="L878" s="33"/>
      <c r="M878" s="38"/>
    </row>
    <row r="879" spans="4:13" x14ac:dyDescent="0.25">
      <c r="D879" s="34"/>
      <c r="E879" s="34"/>
      <c r="F879" s="62"/>
      <c r="G879" s="37"/>
      <c r="H879" s="64"/>
      <c r="I879" s="40"/>
      <c r="J879" s="40"/>
      <c r="K879" s="33"/>
      <c r="L879" s="33"/>
      <c r="M879" s="38"/>
    </row>
    <row r="880" spans="4:13" x14ac:dyDescent="0.25">
      <c r="D880" s="34"/>
      <c r="E880" s="34"/>
      <c r="F880" s="62"/>
      <c r="G880" s="37"/>
      <c r="H880" s="64"/>
      <c r="I880" s="40"/>
      <c r="J880" s="40"/>
      <c r="K880" s="33"/>
      <c r="L880" s="33"/>
      <c r="M880" s="38"/>
    </row>
    <row r="881" spans="4:13" x14ac:dyDescent="0.25">
      <c r="D881" s="34"/>
      <c r="E881" s="34"/>
      <c r="F881" s="62"/>
      <c r="G881" s="37"/>
      <c r="H881" s="64"/>
      <c r="I881" s="40"/>
      <c r="J881" s="40"/>
      <c r="K881" s="33"/>
      <c r="L881" s="33"/>
      <c r="M881" s="38"/>
    </row>
    <row r="882" spans="4:13" x14ac:dyDescent="0.25">
      <c r="D882" s="34"/>
      <c r="E882" s="34"/>
      <c r="F882" s="62"/>
      <c r="G882" s="37"/>
      <c r="H882" s="64"/>
      <c r="I882" s="40"/>
      <c r="J882" s="40"/>
      <c r="K882" s="33"/>
      <c r="L882" s="33"/>
      <c r="M882" s="38"/>
    </row>
    <row r="883" spans="4:13" x14ac:dyDescent="0.25">
      <c r="D883" s="34"/>
      <c r="E883" s="34"/>
      <c r="F883" s="62"/>
      <c r="G883" s="37"/>
      <c r="H883" s="64"/>
      <c r="I883" s="40"/>
      <c r="J883" s="40"/>
      <c r="K883" s="33"/>
      <c r="L883" s="33"/>
      <c r="M883" s="38"/>
    </row>
    <row r="884" spans="4:13" x14ac:dyDescent="0.25">
      <c r="D884" s="34"/>
      <c r="E884" s="34"/>
      <c r="F884" s="62"/>
      <c r="G884" s="37"/>
      <c r="H884" s="64"/>
      <c r="I884" s="40"/>
      <c r="J884" s="40"/>
      <c r="K884" s="33"/>
      <c r="L884" s="33"/>
      <c r="M884" s="38"/>
    </row>
    <row r="885" spans="4:13" x14ac:dyDescent="0.25">
      <c r="D885" s="34"/>
      <c r="E885" s="34"/>
      <c r="F885" s="62"/>
      <c r="G885" s="37"/>
      <c r="H885" s="64"/>
      <c r="I885" s="40"/>
      <c r="J885" s="40"/>
      <c r="K885" s="33"/>
      <c r="L885" s="33"/>
      <c r="M885" s="38"/>
    </row>
    <row r="886" spans="4:13" x14ac:dyDescent="0.25">
      <c r="D886" s="34"/>
      <c r="E886" s="34"/>
      <c r="F886" s="62"/>
      <c r="G886" s="37"/>
      <c r="H886" s="64"/>
      <c r="I886" s="40"/>
      <c r="J886" s="40"/>
      <c r="K886" s="33"/>
      <c r="L886" s="33"/>
      <c r="M886" s="38"/>
    </row>
    <row r="887" spans="4:13" x14ac:dyDescent="0.25">
      <c r="D887" s="34"/>
      <c r="E887" s="34"/>
      <c r="F887" s="62"/>
      <c r="G887" s="37"/>
      <c r="H887" s="64"/>
      <c r="I887" s="40"/>
      <c r="J887" s="40"/>
      <c r="K887" s="33"/>
      <c r="L887" s="33"/>
      <c r="M887" s="38"/>
    </row>
    <row r="888" spans="4:13" x14ac:dyDescent="0.25">
      <c r="D888" s="34"/>
      <c r="E888" s="34"/>
      <c r="F888" s="62"/>
      <c r="G888" s="37"/>
      <c r="H888" s="64"/>
      <c r="I888" s="40"/>
      <c r="J888" s="40"/>
      <c r="K888" s="33"/>
      <c r="L888" s="33"/>
      <c r="M888" s="38"/>
    </row>
    <row r="889" spans="4:13" x14ac:dyDescent="0.25">
      <c r="D889" s="34"/>
      <c r="E889" s="34"/>
      <c r="F889" s="62"/>
      <c r="G889" s="37"/>
      <c r="H889" s="64"/>
      <c r="I889" s="40"/>
      <c r="J889" s="40"/>
      <c r="K889" s="33"/>
      <c r="L889" s="33"/>
      <c r="M889" s="38"/>
    </row>
    <row r="890" spans="4:13" x14ac:dyDescent="0.25">
      <c r="D890" s="34"/>
      <c r="E890" s="34"/>
      <c r="F890" s="62"/>
      <c r="G890" s="37"/>
      <c r="H890" s="64"/>
      <c r="I890" s="40"/>
      <c r="J890" s="40"/>
      <c r="K890" s="33"/>
      <c r="L890" s="33"/>
      <c r="M890" s="38"/>
    </row>
    <row r="891" spans="4:13" x14ac:dyDescent="0.25">
      <c r="D891" s="34"/>
      <c r="E891" s="34"/>
      <c r="F891" s="62"/>
      <c r="G891" s="37"/>
      <c r="H891" s="64"/>
      <c r="I891" s="40"/>
      <c r="J891" s="40"/>
      <c r="K891" s="33"/>
      <c r="L891" s="33"/>
      <c r="M891" s="38"/>
    </row>
    <row r="892" spans="4:13" x14ac:dyDescent="0.25">
      <c r="D892" s="34"/>
      <c r="E892" s="34"/>
      <c r="F892" s="62"/>
      <c r="G892" s="37"/>
      <c r="H892" s="64"/>
      <c r="I892" s="40"/>
      <c r="J892" s="40"/>
      <c r="K892" s="33"/>
      <c r="L892" s="33"/>
      <c r="M892" s="38"/>
    </row>
    <row r="893" spans="4:13" x14ac:dyDescent="0.25">
      <c r="D893" s="34"/>
      <c r="E893" s="34"/>
      <c r="F893" s="62"/>
      <c r="G893" s="37"/>
      <c r="H893" s="64"/>
      <c r="I893" s="40"/>
      <c r="J893" s="40"/>
      <c r="K893" s="33"/>
      <c r="L893" s="33"/>
      <c r="M893" s="38"/>
    </row>
    <row r="894" spans="4:13" x14ac:dyDescent="0.25">
      <c r="D894" s="34"/>
      <c r="E894" s="34"/>
      <c r="F894" s="62"/>
      <c r="G894" s="37"/>
      <c r="H894" s="64"/>
      <c r="I894" s="40"/>
      <c r="J894" s="40"/>
      <c r="K894" s="33"/>
      <c r="L894" s="33"/>
      <c r="M894" s="38"/>
    </row>
    <row r="895" spans="4:13" x14ac:dyDescent="0.25">
      <c r="D895" s="34"/>
      <c r="E895" s="34"/>
      <c r="F895" s="62"/>
      <c r="G895" s="37"/>
      <c r="H895" s="64"/>
      <c r="I895" s="40"/>
      <c r="J895" s="40"/>
      <c r="K895" s="33"/>
      <c r="L895" s="33"/>
      <c r="M895" s="38"/>
    </row>
    <row r="896" spans="4:13" x14ac:dyDescent="0.25">
      <c r="D896" s="34"/>
      <c r="E896" s="34"/>
      <c r="F896" s="62"/>
      <c r="G896" s="37"/>
      <c r="H896" s="64"/>
      <c r="I896" s="40"/>
      <c r="J896" s="40"/>
      <c r="K896" s="33"/>
      <c r="L896" s="33"/>
      <c r="M896" s="38"/>
    </row>
    <row r="897" spans="4:13" x14ac:dyDescent="0.25">
      <c r="D897" s="34"/>
      <c r="E897" s="34"/>
      <c r="F897" s="62"/>
      <c r="G897" s="37"/>
      <c r="H897" s="64"/>
      <c r="I897" s="40"/>
      <c r="J897" s="40"/>
      <c r="K897" s="33"/>
      <c r="L897" s="33"/>
      <c r="M897" s="38"/>
    </row>
    <row r="898" spans="4:13" x14ac:dyDescent="0.25">
      <c r="D898" s="34"/>
      <c r="E898" s="34"/>
      <c r="F898" s="62"/>
      <c r="G898" s="37"/>
      <c r="H898" s="64"/>
      <c r="I898" s="40"/>
      <c r="J898" s="40"/>
      <c r="K898" s="33"/>
      <c r="L898" s="33"/>
      <c r="M898" s="38"/>
    </row>
    <row r="899" spans="4:13" x14ac:dyDescent="0.25">
      <c r="D899" s="34"/>
      <c r="E899" s="34"/>
      <c r="F899" s="62"/>
      <c r="G899" s="37"/>
      <c r="H899" s="64"/>
      <c r="I899" s="40"/>
      <c r="J899" s="40"/>
      <c r="K899" s="33"/>
      <c r="L899" s="33"/>
      <c r="M899" s="38"/>
    </row>
    <row r="900" spans="4:13" x14ac:dyDescent="0.25">
      <c r="D900" s="34"/>
      <c r="E900" s="34"/>
      <c r="F900" s="62"/>
      <c r="G900" s="37"/>
      <c r="H900" s="64"/>
      <c r="I900" s="40"/>
      <c r="J900" s="40"/>
      <c r="K900" s="33"/>
      <c r="L900" s="33"/>
      <c r="M900" s="38"/>
    </row>
    <row r="901" spans="4:13" x14ac:dyDescent="0.25">
      <c r="D901" s="34"/>
      <c r="E901" s="34"/>
      <c r="F901" s="62"/>
      <c r="G901" s="37"/>
      <c r="H901" s="64"/>
      <c r="I901" s="40"/>
      <c r="J901" s="40"/>
      <c r="K901" s="33"/>
      <c r="L901" s="33"/>
      <c r="M901" s="38"/>
    </row>
    <row r="902" spans="4:13" x14ac:dyDescent="0.25">
      <c r="D902" s="34"/>
      <c r="E902" s="34"/>
      <c r="F902" s="62"/>
      <c r="G902" s="37"/>
      <c r="H902" s="64"/>
      <c r="I902" s="40"/>
      <c r="J902" s="40"/>
      <c r="K902" s="33"/>
      <c r="L902" s="33"/>
      <c r="M902" s="38"/>
    </row>
    <row r="903" spans="4:13" x14ac:dyDescent="0.25">
      <c r="D903" s="34"/>
      <c r="E903" s="34"/>
      <c r="F903" s="62"/>
      <c r="G903" s="37"/>
      <c r="H903" s="64"/>
      <c r="I903" s="40"/>
      <c r="J903" s="40"/>
      <c r="K903" s="33"/>
      <c r="L903" s="33"/>
      <c r="M903" s="38"/>
    </row>
    <row r="904" spans="4:13" x14ac:dyDescent="0.25">
      <c r="D904" s="34"/>
      <c r="E904" s="34"/>
      <c r="F904" s="62"/>
      <c r="G904" s="37"/>
      <c r="H904" s="64"/>
      <c r="I904" s="40"/>
      <c r="J904" s="40"/>
      <c r="K904" s="33"/>
      <c r="L904" s="33"/>
      <c r="M904" s="38"/>
    </row>
    <row r="905" spans="4:13" x14ac:dyDescent="0.25">
      <c r="D905" s="34"/>
      <c r="E905" s="34"/>
      <c r="F905" s="62"/>
      <c r="G905" s="37"/>
      <c r="H905" s="64"/>
      <c r="I905" s="40"/>
      <c r="J905" s="40"/>
      <c r="K905" s="33"/>
      <c r="L905" s="33"/>
      <c r="M905" s="38"/>
    </row>
    <row r="906" spans="4:13" x14ac:dyDescent="0.25">
      <c r="D906" s="34"/>
      <c r="E906" s="34"/>
      <c r="F906" s="62"/>
      <c r="G906" s="37"/>
      <c r="H906" s="64"/>
      <c r="I906" s="40"/>
      <c r="J906" s="40"/>
      <c r="K906" s="33"/>
      <c r="L906" s="33"/>
      <c r="M906" s="38"/>
    </row>
    <row r="907" spans="4:13" x14ac:dyDescent="0.25">
      <c r="D907" s="34"/>
      <c r="E907" s="34"/>
      <c r="F907" s="62"/>
      <c r="G907" s="37"/>
      <c r="H907" s="64"/>
      <c r="I907" s="40"/>
      <c r="J907" s="40"/>
      <c r="K907" s="33"/>
      <c r="L907" s="33"/>
      <c r="M907" s="38"/>
    </row>
    <row r="908" spans="4:13" x14ac:dyDescent="0.25">
      <c r="D908" s="34"/>
      <c r="E908" s="34"/>
      <c r="F908" s="62"/>
      <c r="G908" s="37"/>
      <c r="H908" s="64"/>
      <c r="I908" s="40"/>
      <c r="J908" s="40"/>
      <c r="K908" s="33"/>
      <c r="L908" s="33"/>
      <c r="M908" s="38"/>
    </row>
    <row r="909" spans="4:13" x14ac:dyDescent="0.25">
      <c r="D909" s="34"/>
      <c r="E909" s="34"/>
      <c r="F909" s="62"/>
      <c r="G909" s="37"/>
      <c r="H909" s="64"/>
      <c r="I909" s="40"/>
      <c r="J909" s="40"/>
      <c r="K909" s="33"/>
      <c r="L909" s="33"/>
      <c r="M909" s="38"/>
    </row>
    <row r="910" spans="4:13" x14ac:dyDescent="0.25">
      <c r="D910" s="34"/>
      <c r="E910" s="34"/>
      <c r="F910" s="62"/>
      <c r="G910" s="37"/>
      <c r="H910" s="64"/>
      <c r="I910" s="40"/>
      <c r="J910" s="40"/>
      <c r="K910" s="33"/>
      <c r="L910" s="33"/>
      <c r="M910" s="38"/>
    </row>
    <row r="911" spans="4:13" x14ac:dyDescent="0.25">
      <c r="D911" s="34"/>
      <c r="E911" s="34"/>
      <c r="F911" s="62"/>
      <c r="G911" s="37"/>
      <c r="H911" s="64"/>
      <c r="I911" s="40"/>
      <c r="J911" s="40"/>
      <c r="K911" s="33"/>
      <c r="L911" s="33"/>
      <c r="M911" s="38"/>
    </row>
    <row r="912" spans="4:13" x14ac:dyDescent="0.25">
      <c r="D912" s="34"/>
      <c r="E912" s="34"/>
      <c r="F912" s="62"/>
      <c r="G912" s="37"/>
      <c r="H912" s="64"/>
      <c r="I912" s="40"/>
      <c r="J912" s="40"/>
      <c r="K912" s="33"/>
      <c r="L912" s="33"/>
      <c r="M912" s="38"/>
    </row>
    <row r="913" spans="4:13" x14ac:dyDescent="0.25">
      <c r="D913" s="34"/>
      <c r="E913" s="34"/>
      <c r="F913" s="62"/>
      <c r="G913" s="37"/>
      <c r="H913" s="64"/>
      <c r="I913" s="40"/>
      <c r="J913" s="40"/>
      <c r="K913" s="33"/>
      <c r="L913" s="33"/>
      <c r="M913" s="38"/>
    </row>
    <row r="914" spans="4:13" x14ac:dyDescent="0.25">
      <c r="D914" s="34"/>
      <c r="E914" s="34"/>
      <c r="F914" s="62"/>
      <c r="G914" s="37"/>
      <c r="H914" s="64"/>
      <c r="I914" s="40"/>
      <c r="J914" s="40"/>
      <c r="K914" s="33"/>
      <c r="L914" s="33"/>
      <c r="M914" s="38"/>
    </row>
    <row r="915" spans="4:13" x14ac:dyDescent="0.25">
      <c r="D915" s="34"/>
      <c r="E915" s="34"/>
      <c r="F915" s="62"/>
      <c r="G915" s="37"/>
      <c r="H915" s="64"/>
      <c r="I915" s="40"/>
      <c r="J915" s="40"/>
      <c r="K915" s="33"/>
      <c r="L915" s="33"/>
      <c r="M915" s="38"/>
    </row>
    <row r="916" spans="4:13" x14ac:dyDescent="0.25">
      <c r="D916" s="34"/>
      <c r="E916" s="34"/>
      <c r="F916" s="62"/>
      <c r="G916" s="37"/>
      <c r="H916" s="64"/>
      <c r="I916" s="40"/>
      <c r="J916" s="40"/>
      <c r="K916" s="33"/>
      <c r="L916" s="33"/>
      <c r="M916" s="38"/>
    </row>
    <row r="917" spans="4:13" x14ac:dyDescent="0.25">
      <c r="D917" s="34"/>
      <c r="E917" s="34"/>
      <c r="F917" s="62"/>
      <c r="G917" s="37"/>
      <c r="H917" s="64"/>
      <c r="I917" s="40"/>
      <c r="J917" s="40"/>
      <c r="K917" s="33"/>
      <c r="L917" s="33"/>
      <c r="M917" s="38"/>
    </row>
    <row r="918" spans="4:13" x14ac:dyDescent="0.25">
      <c r="D918" s="34"/>
      <c r="E918" s="34"/>
      <c r="F918" s="62"/>
      <c r="G918" s="37"/>
      <c r="H918" s="64"/>
      <c r="I918" s="40"/>
      <c r="J918" s="40"/>
      <c r="K918" s="33"/>
      <c r="L918" s="33"/>
      <c r="M918" s="38"/>
    </row>
    <row r="919" spans="4:13" x14ac:dyDescent="0.25">
      <c r="D919" s="34"/>
      <c r="E919" s="34"/>
      <c r="F919" s="62"/>
      <c r="G919" s="37"/>
      <c r="H919" s="64"/>
      <c r="I919" s="40"/>
      <c r="J919" s="40"/>
      <c r="K919" s="33"/>
      <c r="L919" s="33"/>
      <c r="M919" s="38"/>
    </row>
    <row r="920" spans="4:13" x14ac:dyDescent="0.25">
      <c r="D920" s="34"/>
      <c r="E920" s="34"/>
      <c r="F920" s="62"/>
      <c r="G920" s="37"/>
      <c r="H920" s="64"/>
      <c r="I920" s="40"/>
      <c r="J920" s="40"/>
      <c r="K920" s="33"/>
      <c r="L920" s="33"/>
      <c r="M920" s="38"/>
    </row>
    <row r="921" spans="4:13" x14ac:dyDescent="0.25">
      <c r="D921" s="34"/>
      <c r="E921" s="34"/>
      <c r="F921" s="62"/>
      <c r="G921" s="37"/>
      <c r="H921" s="64"/>
      <c r="I921" s="40"/>
      <c r="J921" s="40"/>
      <c r="K921" s="33"/>
      <c r="L921" s="33"/>
      <c r="M921" s="38"/>
    </row>
    <row r="922" spans="4:13" x14ac:dyDescent="0.25">
      <c r="D922" s="34"/>
      <c r="E922" s="34"/>
      <c r="F922" s="62"/>
      <c r="G922" s="37"/>
      <c r="H922" s="64"/>
      <c r="I922" s="40"/>
      <c r="J922" s="40"/>
      <c r="K922" s="33"/>
      <c r="L922" s="33"/>
      <c r="M922" s="38"/>
    </row>
    <row r="923" spans="4:13" x14ac:dyDescent="0.25">
      <c r="D923" s="34"/>
      <c r="E923" s="34"/>
      <c r="F923" s="62"/>
      <c r="G923" s="37"/>
      <c r="H923" s="64"/>
      <c r="I923" s="40"/>
      <c r="J923" s="40"/>
      <c r="K923" s="33"/>
      <c r="L923" s="33"/>
      <c r="M923" s="38"/>
    </row>
    <row r="924" spans="4:13" x14ac:dyDescent="0.25">
      <c r="D924" s="34"/>
      <c r="E924" s="34"/>
      <c r="F924" s="62"/>
      <c r="G924" s="37"/>
      <c r="H924" s="64"/>
      <c r="I924" s="40"/>
      <c r="J924" s="40"/>
      <c r="K924" s="33"/>
      <c r="L924" s="33"/>
      <c r="M924" s="38"/>
    </row>
    <row r="925" spans="4:13" x14ac:dyDescent="0.25">
      <c r="D925" s="34"/>
      <c r="E925" s="34"/>
      <c r="F925" s="62"/>
      <c r="G925" s="37"/>
      <c r="H925" s="64"/>
      <c r="I925" s="40"/>
      <c r="J925" s="40"/>
      <c r="K925" s="33"/>
      <c r="L925" s="33"/>
      <c r="M925" s="38"/>
    </row>
    <row r="926" spans="4:13" x14ac:dyDescent="0.25">
      <c r="D926" s="34"/>
      <c r="E926" s="34"/>
      <c r="F926" s="62"/>
      <c r="G926" s="37"/>
      <c r="H926" s="64"/>
      <c r="I926" s="40"/>
      <c r="J926" s="40"/>
      <c r="K926" s="33"/>
      <c r="L926" s="33"/>
      <c r="M926" s="38"/>
    </row>
    <row r="927" spans="4:13" x14ac:dyDescent="0.25">
      <c r="D927" s="34"/>
      <c r="E927" s="34"/>
      <c r="F927" s="62"/>
      <c r="G927" s="37"/>
      <c r="H927" s="64"/>
      <c r="I927" s="40"/>
      <c r="J927" s="40"/>
      <c r="K927" s="33"/>
      <c r="L927" s="33"/>
      <c r="M927" s="38"/>
    </row>
    <row r="928" spans="4:13" x14ac:dyDescent="0.25">
      <c r="D928" s="34"/>
      <c r="E928" s="34"/>
      <c r="F928" s="62"/>
      <c r="G928" s="37"/>
      <c r="H928" s="64"/>
      <c r="I928" s="40"/>
      <c r="J928" s="40"/>
      <c r="K928" s="33"/>
      <c r="L928" s="33"/>
      <c r="M928" s="38"/>
    </row>
    <row r="929" spans="4:13" x14ac:dyDescent="0.25">
      <c r="D929" s="34"/>
      <c r="E929" s="34"/>
      <c r="F929" s="62"/>
      <c r="G929" s="37"/>
      <c r="H929" s="64"/>
      <c r="I929" s="40"/>
      <c r="J929" s="40"/>
      <c r="K929" s="33"/>
      <c r="L929" s="33"/>
      <c r="M929" s="38"/>
    </row>
    <row r="930" spans="4:13" x14ac:dyDescent="0.25">
      <c r="D930" s="34"/>
      <c r="E930" s="34"/>
      <c r="F930" s="62"/>
      <c r="G930" s="37"/>
      <c r="H930" s="64"/>
      <c r="I930" s="40"/>
      <c r="J930" s="40"/>
      <c r="K930" s="33"/>
      <c r="L930" s="33"/>
      <c r="M930" s="38"/>
    </row>
    <row r="931" spans="4:13" x14ac:dyDescent="0.25">
      <c r="D931" s="34"/>
      <c r="E931" s="34"/>
      <c r="F931" s="62"/>
      <c r="G931" s="37"/>
      <c r="H931" s="64"/>
      <c r="I931" s="40"/>
      <c r="J931" s="40"/>
      <c r="K931" s="33"/>
      <c r="L931" s="33"/>
      <c r="M931" s="38"/>
    </row>
    <row r="932" spans="4:13" x14ac:dyDescent="0.25">
      <c r="D932" s="34"/>
      <c r="E932" s="34"/>
      <c r="F932" s="62"/>
      <c r="G932" s="37"/>
      <c r="H932" s="64"/>
      <c r="I932" s="40"/>
      <c r="J932" s="40"/>
      <c r="K932" s="33"/>
      <c r="L932" s="33"/>
      <c r="M932" s="38"/>
    </row>
    <row r="933" spans="4:13" x14ac:dyDescent="0.25">
      <c r="D933" s="34"/>
      <c r="E933" s="34"/>
      <c r="F933" s="62"/>
      <c r="G933" s="37"/>
      <c r="H933" s="64"/>
      <c r="I933" s="40"/>
      <c r="J933" s="40"/>
      <c r="K933" s="33"/>
      <c r="L933" s="33"/>
      <c r="M933" s="38"/>
    </row>
    <row r="934" spans="4:13" x14ac:dyDescent="0.25">
      <c r="D934" s="34"/>
      <c r="E934" s="34"/>
      <c r="F934" s="62"/>
      <c r="G934" s="37"/>
      <c r="H934" s="64"/>
      <c r="I934" s="40"/>
      <c r="J934" s="40"/>
      <c r="K934" s="33"/>
      <c r="L934" s="33"/>
      <c r="M934" s="38"/>
    </row>
    <row r="935" spans="4:13" x14ac:dyDescent="0.25">
      <c r="D935" s="34"/>
      <c r="E935" s="34"/>
      <c r="F935" s="62"/>
      <c r="G935" s="37"/>
      <c r="H935" s="64"/>
      <c r="I935" s="40"/>
      <c r="J935" s="40"/>
      <c r="K935" s="33"/>
      <c r="L935" s="33"/>
      <c r="M935" s="38"/>
    </row>
    <row r="936" spans="4:13" x14ac:dyDescent="0.25">
      <c r="D936" s="34"/>
      <c r="E936" s="34"/>
      <c r="F936" s="62"/>
      <c r="G936" s="37"/>
      <c r="H936" s="64"/>
      <c r="I936" s="40"/>
      <c r="J936" s="40"/>
      <c r="K936" s="33"/>
      <c r="L936" s="33"/>
      <c r="M936" s="38"/>
    </row>
    <row r="937" spans="4:13" x14ac:dyDescent="0.25">
      <c r="D937" s="34"/>
      <c r="E937" s="34"/>
      <c r="F937" s="62"/>
      <c r="G937" s="37"/>
      <c r="H937" s="64"/>
      <c r="I937" s="40"/>
      <c r="J937" s="40"/>
      <c r="K937" s="33"/>
      <c r="L937" s="33"/>
      <c r="M937" s="38"/>
    </row>
    <row r="938" spans="4:13" x14ac:dyDescent="0.25">
      <c r="D938" s="34"/>
      <c r="E938" s="34"/>
      <c r="F938" s="62"/>
      <c r="G938" s="37"/>
      <c r="H938" s="64"/>
      <c r="I938" s="40"/>
      <c r="J938" s="40"/>
      <c r="K938" s="33"/>
      <c r="L938" s="33"/>
      <c r="M938" s="38"/>
    </row>
    <row r="939" spans="4:13" x14ac:dyDescent="0.25">
      <c r="D939" s="34"/>
      <c r="E939" s="34"/>
      <c r="F939" s="62"/>
      <c r="G939" s="37"/>
      <c r="H939" s="64"/>
      <c r="I939" s="40"/>
      <c r="J939" s="40"/>
      <c r="K939" s="33"/>
      <c r="L939" s="33"/>
      <c r="M939" s="38"/>
    </row>
    <row r="940" spans="4:13" x14ac:dyDescent="0.25">
      <c r="D940" s="34"/>
      <c r="E940" s="34"/>
      <c r="F940" s="62"/>
      <c r="G940" s="37"/>
      <c r="H940" s="64"/>
      <c r="I940" s="40"/>
      <c r="J940" s="40"/>
      <c r="K940" s="33"/>
      <c r="L940" s="33"/>
      <c r="M940" s="38"/>
    </row>
    <row r="941" spans="4:13" x14ac:dyDescent="0.25">
      <c r="D941" s="34"/>
      <c r="E941" s="34"/>
      <c r="F941" s="62"/>
      <c r="G941" s="37"/>
      <c r="H941" s="64"/>
      <c r="I941" s="40"/>
      <c r="J941" s="40"/>
      <c r="K941" s="33"/>
      <c r="L941" s="33"/>
      <c r="M941" s="38"/>
    </row>
    <row r="942" spans="4:13" x14ac:dyDescent="0.25">
      <c r="D942" s="34"/>
      <c r="E942" s="34"/>
      <c r="F942" s="62"/>
      <c r="G942" s="37"/>
      <c r="H942" s="64"/>
      <c r="I942" s="40"/>
      <c r="J942" s="40"/>
      <c r="K942" s="33"/>
      <c r="L942" s="33"/>
      <c r="M942" s="38"/>
    </row>
    <row r="943" spans="4:13" x14ac:dyDescent="0.25">
      <c r="D943" s="34"/>
      <c r="E943" s="34"/>
      <c r="F943" s="62"/>
      <c r="G943" s="37"/>
      <c r="H943" s="64"/>
      <c r="I943" s="40"/>
      <c r="J943" s="40"/>
      <c r="K943" s="33"/>
      <c r="L943" s="33"/>
      <c r="M943" s="38"/>
    </row>
    <row r="944" spans="4:13" x14ac:dyDescent="0.25">
      <c r="D944" s="34"/>
      <c r="E944" s="34"/>
      <c r="F944" s="62"/>
      <c r="G944" s="37"/>
      <c r="H944" s="64"/>
      <c r="I944" s="40"/>
      <c r="J944" s="40"/>
      <c r="K944" s="33"/>
      <c r="L944" s="33"/>
      <c r="M944" s="38"/>
    </row>
    <row r="945" spans="4:13" x14ac:dyDescent="0.25">
      <c r="D945" s="34"/>
      <c r="E945" s="34"/>
      <c r="F945" s="62"/>
      <c r="G945" s="37"/>
      <c r="H945" s="64"/>
      <c r="I945" s="40"/>
      <c r="J945" s="40"/>
      <c r="K945" s="33"/>
      <c r="L945" s="33"/>
      <c r="M945" s="38"/>
    </row>
    <row r="946" spans="4:13" x14ac:dyDescent="0.25">
      <c r="D946" s="34"/>
      <c r="E946" s="34"/>
      <c r="F946" s="62"/>
      <c r="G946" s="37"/>
      <c r="H946" s="64"/>
      <c r="I946" s="40"/>
      <c r="J946" s="40"/>
      <c r="K946" s="33"/>
      <c r="L946" s="33"/>
      <c r="M946" s="38"/>
    </row>
    <row r="947" spans="4:13" x14ac:dyDescent="0.25">
      <c r="D947" s="34"/>
      <c r="E947" s="34"/>
      <c r="F947" s="62"/>
      <c r="G947" s="37"/>
      <c r="H947" s="64"/>
      <c r="I947" s="40"/>
      <c r="J947" s="40"/>
      <c r="K947" s="33"/>
      <c r="L947" s="33"/>
      <c r="M947" s="38"/>
    </row>
    <row r="948" spans="4:13" x14ac:dyDescent="0.25">
      <c r="D948" s="34"/>
      <c r="E948" s="34"/>
      <c r="F948" s="62"/>
      <c r="G948" s="37"/>
      <c r="H948" s="64"/>
      <c r="I948" s="40"/>
      <c r="J948" s="40"/>
      <c r="K948" s="33"/>
      <c r="L948" s="33"/>
      <c r="M948" s="38"/>
    </row>
    <row r="949" spans="4:13" x14ac:dyDescent="0.25">
      <c r="D949" s="34"/>
      <c r="E949" s="34"/>
      <c r="F949" s="62"/>
      <c r="G949" s="37"/>
      <c r="H949" s="64"/>
      <c r="I949" s="40"/>
      <c r="J949" s="40"/>
      <c r="K949" s="33"/>
      <c r="L949" s="33"/>
      <c r="M949" s="38"/>
    </row>
    <row r="950" spans="4:13" x14ac:dyDescent="0.25">
      <c r="D950" s="34"/>
      <c r="E950" s="34"/>
      <c r="F950" s="62"/>
      <c r="G950" s="37"/>
      <c r="H950" s="64"/>
      <c r="I950" s="40"/>
      <c r="J950" s="40"/>
      <c r="K950" s="33"/>
      <c r="L950" s="33"/>
      <c r="M950" s="38"/>
    </row>
    <row r="951" spans="4:13" x14ac:dyDescent="0.25">
      <c r="D951" s="34"/>
      <c r="E951" s="34"/>
      <c r="F951" s="62"/>
      <c r="G951" s="37"/>
      <c r="H951" s="64"/>
      <c r="I951" s="40"/>
      <c r="J951" s="40"/>
      <c r="K951" s="33"/>
      <c r="L951" s="33"/>
      <c r="M951" s="38"/>
    </row>
    <row r="952" spans="4:13" x14ac:dyDescent="0.25">
      <c r="D952" s="34"/>
      <c r="E952" s="34"/>
      <c r="F952" s="62"/>
      <c r="G952" s="37"/>
      <c r="H952" s="64"/>
      <c r="I952" s="40"/>
      <c r="J952" s="40"/>
      <c r="K952" s="33"/>
      <c r="L952" s="33"/>
      <c r="M952" s="38"/>
    </row>
    <row r="953" spans="4:13" x14ac:dyDescent="0.25">
      <c r="D953" s="34"/>
      <c r="E953" s="34"/>
      <c r="F953" s="62"/>
      <c r="G953" s="37"/>
      <c r="H953" s="64"/>
      <c r="I953" s="40"/>
      <c r="J953" s="40"/>
      <c r="K953" s="33"/>
      <c r="L953" s="33"/>
      <c r="M953" s="38"/>
    </row>
    <row r="954" spans="4:13" x14ac:dyDescent="0.25">
      <c r="D954" s="34"/>
      <c r="E954" s="34"/>
      <c r="F954" s="62"/>
      <c r="G954" s="37"/>
      <c r="H954" s="64"/>
      <c r="I954" s="40"/>
      <c r="J954" s="40"/>
      <c r="K954" s="33"/>
      <c r="L954" s="33"/>
      <c r="M954" s="38"/>
    </row>
    <row r="955" spans="4:13" x14ac:dyDescent="0.25">
      <c r="D955" s="34"/>
      <c r="E955" s="34"/>
      <c r="F955" s="62"/>
      <c r="G955" s="37"/>
      <c r="H955" s="64"/>
      <c r="I955" s="40"/>
      <c r="J955" s="40"/>
      <c r="K955" s="33"/>
      <c r="L955" s="33"/>
      <c r="M955" s="38"/>
    </row>
    <row r="956" spans="4:13" x14ac:dyDescent="0.25">
      <c r="D956" s="34"/>
      <c r="E956" s="34"/>
      <c r="F956" s="62"/>
      <c r="G956" s="37"/>
      <c r="H956" s="64"/>
      <c r="I956" s="40"/>
      <c r="J956" s="40"/>
      <c r="K956" s="33"/>
      <c r="L956" s="33"/>
      <c r="M956" s="38"/>
    </row>
    <row r="957" spans="4:13" x14ac:dyDescent="0.25">
      <c r="D957" s="34"/>
      <c r="E957" s="34"/>
      <c r="F957" s="62"/>
      <c r="G957" s="37"/>
      <c r="H957" s="64"/>
      <c r="I957" s="40"/>
      <c r="J957" s="40"/>
      <c r="K957" s="33"/>
      <c r="L957" s="33"/>
      <c r="M957" s="38"/>
    </row>
    <row r="958" spans="4:13" x14ac:dyDescent="0.25">
      <c r="D958" s="34"/>
      <c r="E958" s="34"/>
      <c r="F958" s="62"/>
      <c r="G958" s="37"/>
      <c r="H958" s="64"/>
      <c r="I958" s="40"/>
      <c r="J958" s="40"/>
      <c r="K958" s="33"/>
      <c r="L958" s="33"/>
      <c r="M958" s="38"/>
    </row>
    <row r="959" spans="4:13" x14ac:dyDescent="0.25">
      <c r="D959" s="34"/>
      <c r="E959" s="34"/>
      <c r="F959" s="62"/>
      <c r="G959" s="37"/>
      <c r="H959" s="64"/>
      <c r="I959" s="40"/>
      <c r="J959" s="40"/>
      <c r="K959" s="33"/>
      <c r="L959" s="33"/>
      <c r="M959" s="38"/>
    </row>
    <row r="960" spans="4:13" x14ac:dyDescent="0.25">
      <c r="D960" s="34"/>
      <c r="E960" s="34"/>
      <c r="F960" s="62"/>
      <c r="G960" s="37"/>
      <c r="H960" s="64"/>
      <c r="I960" s="40"/>
      <c r="J960" s="40"/>
      <c r="K960" s="33"/>
      <c r="L960" s="33"/>
      <c r="M960" s="38"/>
    </row>
    <row r="961" spans="4:13" x14ac:dyDescent="0.25">
      <c r="D961" s="34"/>
      <c r="E961" s="34"/>
      <c r="F961" s="62"/>
      <c r="G961" s="37"/>
      <c r="H961" s="64"/>
      <c r="I961" s="40"/>
      <c r="J961" s="40"/>
      <c r="K961" s="33"/>
      <c r="L961" s="33"/>
      <c r="M961" s="38"/>
    </row>
    <row r="962" spans="4:13" x14ac:dyDescent="0.25">
      <c r="D962" s="34"/>
      <c r="E962" s="34"/>
      <c r="F962" s="62"/>
      <c r="G962" s="37"/>
      <c r="H962" s="64"/>
      <c r="I962" s="40"/>
      <c r="J962" s="40"/>
      <c r="K962" s="33"/>
      <c r="L962" s="33"/>
      <c r="M962" s="38"/>
    </row>
    <row r="963" spans="4:13" x14ac:dyDescent="0.25">
      <c r="D963" s="34"/>
      <c r="E963" s="34"/>
      <c r="F963" s="62"/>
      <c r="G963" s="37"/>
      <c r="H963" s="64"/>
      <c r="I963" s="40"/>
      <c r="J963" s="40"/>
      <c r="K963" s="33"/>
      <c r="L963" s="33"/>
      <c r="M963" s="38"/>
    </row>
    <row r="964" spans="4:13" x14ac:dyDescent="0.25">
      <c r="D964" s="34"/>
      <c r="E964" s="34"/>
      <c r="F964" s="62"/>
      <c r="G964" s="37"/>
      <c r="H964" s="64"/>
      <c r="I964" s="40"/>
      <c r="J964" s="40"/>
      <c r="K964" s="33"/>
      <c r="L964" s="33"/>
      <c r="M964" s="38"/>
    </row>
    <row r="965" spans="4:13" x14ac:dyDescent="0.25">
      <c r="D965" s="34"/>
      <c r="E965" s="34"/>
      <c r="F965" s="62"/>
      <c r="G965" s="37"/>
      <c r="H965" s="64"/>
      <c r="I965" s="40"/>
      <c r="J965" s="40"/>
      <c r="K965" s="33"/>
      <c r="L965" s="33"/>
      <c r="M965" s="38"/>
    </row>
    <row r="966" spans="4:13" x14ac:dyDescent="0.25">
      <c r="D966" s="34"/>
      <c r="E966" s="34"/>
      <c r="F966" s="62"/>
      <c r="G966" s="37"/>
      <c r="H966" s="64"/>
      <c r="I966" s="40"/>
      <c r="J966" s="40"/>
      <c r="K966" s="33"/>
      <c r="L966" s="33"/>
      <c r="M966" s="38"/>
    </row>
    <row r="967" spans="4:13" x14ac:dyDescent="0.25">
      <c r="D967" s="34"/>
      <c r="E967" s="34"/>
      <c r="F967" s="62"/>
      <c r="G967" s="37"/>
      <c r="H967" s="64"/>
      <c r="I967" s="40"/>
      <c r="J967" s="40"/>
      <c r="K967" s="33"/>
      <c r="L967" s="33"/>
      <c r="M967" s="38"/>
    </row>
    <row r="968" spans="4:13" x14ac:dyDescent="0.25">
      <c r="D968" s="34"/>
      <c r="E968" s="34"/>
      <c r="F968" s="62"/>
      <c r="G968" s="37"/>
      <c r="H968" s="64"/>
      <c r="I968" s="40"/>
      <c r="J968" s="40"/>
      <c r="K968" s="33"/>
      <c r="L968" s="33"/>
      <c r="M968" s="38"/>
    </row>
    <row r="969" spans="4:13" x14ac:dyDescent="0.25">
      <c r="D969" s="34"/>
      <c r="E969" s="34"/>
      <c r="F969" s="62"/>
      <c r="G969" s="37"/>
      <c r="H969" s="64"/>
      <c r="I969" s="40"/>
      <c r="J969" s="40"/>
      <c r="K969" s="33"/>
      <c r="L969" s="33"/>
      <c r="M969" s="38"/>
    </row>
    <row r="970" spans="4:13" x14ac:dyDescent="0.25">
      <c r="D970" s="34"/>
      <c r="E970" s="34"/>
      <c r="F970" s="62"/>
      <c r="G970" s="37"/>
      <c r="H970" s="64"/>
      <c r="I970" s="40"/>
      <c r="J970" s="40"/>
      <c r="K970" s="33"/>
      <c r="L970" s="33"/>
      <c r="M970" s="38"/>
    </row>
    <row r="971" spans="4:13" x14ac:dyDescent="0.25">
      <c r="D971" s="34"/>
      <c r="E971" s="34"/>
      <c r="F971" s="62"/>
      <c r="G971" s="37"/>
      <c r="H971" s="64"/>
      <c r="I971" s="40"/>
      <c r="J971" s="40"/>
      <c r="K971" s="33"/>
      <c r="L971" s="33"/>
      <c r="M971" s="38"/>
    </row>
    <row r="972" spans="4:13" x14ac:dyDescent="0.25">
      <c r="D972" s="34"/>
      <c r="E972" s="34"/>
      <c r="F972" s="62"/>
      <c r="G972" s="37"/>
      <c r="H972" s="64"/>
      <c r="I972" s="40"/>
      <c r="J972" s="40"/>
      <c r="K972" s="33"/>
      <c r="L972" s="33"/>
      <c r="M972" s="38"/>
    </row>
    <row r="973" spans="4:13" x14ac:dyDescent="0.25">
      <c r="D973" s="34"/>
      <c r="E973" s="34"/>
      <c r="F973" s="62"/>
      <c r="G973" s="37"/>
      <c r="H973" s="64"/>
      <c r="I973" s="40"/>
      <c r="J973" s="40"/>
      <c r="K973" s="33"/>
      <c r="L973" s="33"/>
      <c r="M973" s="38"/>
    </row>
    <row r="974" spans="4:13" x14ac:dyDescent="0.25">
      <c r="D974" s="34"/>
      <c r="E974" s="34"/>
      <c r="F974" s="62"/>
      <c r="G974" s="37"/>
      <c r="H974" s="64"/>
      <c r="I974" s="40"/>
      <c r="J974" s="40"/>
      <c r="K974" s="33"/>
      <c r="L974" s="33"/>
      <c r="M974" s="38"/>
    </row>
    <row r="975" spans="4:13" x14ac:dyDescent="0.25">
      <c r="D975" s="34"/>
      <c r="E975" s="34"/>
      <c r="F975" s="62"/>
      <c r="G975" s="37"/>
      <c r="H975" s="64"/>
      <c r="I975" s="40"/>
      <c r="J975" s="40"/>
      <c r="K975" s="33"/>
      <c r="L975" s="33"/>
      <c r="M975" s="38"/>
    </row>
    <row r="976" spans="4:13" x14ac:dyDescent="0.25">
      <c r="D976" s="34"/>
      <c r="E976" s="34"/>
      <c r="F976" s="62"/>
      <c r="G976" s="37"/>
      <c r="H976" s="64"/>
      <c r="I976" s="40"/>
      <c r="J976" s="40"/>
      <c r="K976" s="33"/>
      <c r="L976" s="33"/>
      <c r="M976" s="38"/>
    </row>
    <row r="977" spans="4:13" x14ac:dyDescent="0.25">
      <c r="D977" s="34"/>
      <c r="E977" s="34"/>
      <c r="F977" s="62"/>
      <c r="G977" s="37"/>
      <c r="H977" s="64"/>
      <c r="I977" s="40"/>
      <c r="J977" s="40"/>
      <c r="K977" s="33"/>
      <c r="L977" s="33"/>
      <c r="M977" s="38"/>
    </row>
    <row r="978" spans="4:13" x14ac:dyDescent="0.25">
      <c r="D978" s="34"/>
      <c r="E978" s="34"/>
      <c r="F978" s="62"/>
      <c r="G978" s="37"/>
      <c r="H978" s="64"/>
      <c r="I978" s="40"/>
      <c r="J978" s="40"/>
      <c r="K978" s="33"/>
      <c r="L978" s="33"/>
      <c r="M978" s="38"/>
    </row>
    <row r="979" spans="4:13" x14ac:dyDescent="0.25">
      <c r="D979" s="34"/>
      <c r="E979" s="34"/>
      <c r="F979" s="62"/>
      <c r="G979" s="37"/>
      <c r="H979" s="64"/>
      <c r="I979" s="40"/>
      <c r="J979" s="40"/>
      <c r="K979" s="33"/>
      <c r="L979" s="33"/>
      <c r="M979" s="38"/>
    </row>
    <row r="980" spans="4:13" x14ac:dyDescent="0.25">
      <c r="D980" s="34"/>
      <c r="E980" s="34"/>
      <c r="F980" s="62"/>
      <c r="G980" s="37"/>
      <c r="H980" s="64"/>
      <c r="I980" s="40"/>
      <c r="J980" s="40"/>
      <c r="K980" s="33"/>
      <c r="L980" s="33"/>
      <c r="M980" s="38"/>
    </row>
    <row r="981" spans="4:13" x14ac:dyDescent="0.25">
      <c r="D981" s="34"/>
      <c r="E981" s="34"/>
      <c r="F981" s="62"/>
      <c r="G981" s="37"/>
      <c r="H981" s="64"/>
      <c r="I981" s="40"/>
      <c r="J981" s="40"/>
      <c r="K981" s="33"/>
      <c r="L981" s="33"/>
      <c r="M981" s="38"/>
    </row>
    <row r="982" spans="4:13" x14ac:dyDescent="0.25">
      <c r="D982" s="34"/>
      <c r="E982" s="34"/>
      <c r="F982" s="62"/>
      <c r="G982" s="37"/>
      <c r="H982" s="64"/>
      <c r="I982" s="40"/>
      <c r="J982" s="40"/>
      <c r="K982" s="33"/>
      <c r="L982" s="33"/>
      <c r="M982" s="38"/>
    </row>
    <row r="983" spans="4:13" x14ac:dyDescent="0.25">
      <c r="D983" s="34"/>
      <c r="E983" s="34"/>
      <c r="F983" s="62"/>
      <c r="G983" s="37"/>
      <c r="H983" s="64"/>
      <c r="I983" s="40"/>
      <c r="J983" s="40"/>
      <c r="K983" s="33"/>
      <c r="L983" s="33"/>
      <c r="M983" s="38"/>
    </row>
    <row r="984" spans="4:13" x14ac:dyDescent="0.25">
      <c r="D984" s="34"/>
      <c r="E984" s="34"/>
      <c r="F984" s="62"/>
      <c r="G984" s="37"/>
      <c r="H984" s="64"/>
      <c r="I984" s="40"/>
      <c r="J984" s="40"/>
      <c r="K984" s="33"/>
      <c r="L984" s="33"/>
      <c r="M984" s="38"/>
    </row>
    <row r="985" spans="4:13" x14ac:dyDescent="0.25">
      <c r="D985" s="34"/>
      <c r="E985" s="34"/>
      <c r="F985" s="62"/>
      <c r="G985" s="37"/>
      <c r="H985" s="64"/>
      <c r="I985" s="40"/>
      <c r="J985" s="40"/>
      <c r="K985" s="33"/>
      <c r="L985" s="33"/>
      <c r="M985" s="38"/>
    </row>
    <row r="986" spans="4:13" x14ac:dyDescent="0.25">
      <c r="D986" s="34"/>
      <c r="E986" s="34"/>
      <c r="F986" s="62"/>
      <c r="G986" s="37"/>
      <c r="H986" s="64"/>
      <c r="I986" s="40"/>
      <c r="J986" s="40"/>
      <c r="K986" s="33"/>
      <c r="L986" s="33"/>
      <c r="M986" s="38"/>
    </row>
    <row r="987" spans="4:13" x14ac:dyDescent="0.25">
      <c r="D987" s="34"/>
      <c r="E987" s="34"/>
      <c r="F987" s="62"/>
      <c r="G987" s="37"/>
      <c r="H987" s="64"/>
      <c r="I987" s="40"/>
      <c r="J987" s="40"/>
      <c r="K987" s="33"/>
      <c r="L987" s="33"/>
      <c r="M987" s="38"/>
    </row>
    <row r="988" spans="4:13" x14ac:dyDescent="0.25">
      <c r="D988" s="34"/>
      <c r="E988" s="34"/>
      <c r="F988" s="62"/>
      <c r="G988" s="37"/>
      <c r="H988" s="64"/>
      <c r="I988" s="40"/>
      <c r="J988" s="40"/>
      <c r="K988" s="33"/>
      <c r="L988" s="33"/>
      <c r="M988" s="38"/>
    </row>
    <row r="989" spans="4:13" x14ac:dyDescent="0.25">
      <c r="D989" s="34"/>
      <c r="E989" s="34"/>
      <c r="F989" s="62"/>
      <c r="G989" s="37"/>
      <c r="H989" s="64"/>
      <c r="I989" s="40"/>
      <c r="J989" s="40"/>
      <c r="K989" s="33"/>
      <c r="L989" s="33"/>
      <c r="M989" s="38"/>
    </row>
    <row r="990" spans="4:13" x14ac:dyDescent="0.25">
      <c r="D990" s="34"/>
      <c r="E990" s="34"/>
      <c r="F990" s="62"/>
      <c r="G990" s="37"/>
      <c r="H990" s="64"/>
      <c r="I990" s="40"/>
      <c r="J990" s="40"/>
      <c r="K990" s="33"/>
      <c r="L990" s="33"/>
      <c r="M990" s="38"/>
    </row>
    <row r="991" spans="4:13" x14ac:dyDescent="0.25">
      <c r="D991" s="34"/>
      <c r="E991" s="34"/>
      <c r="F991" s="62"/>
      <c r="G991" s="37"/>
      <c r="H991" s="64"/>
      <c r="I991" s="40"/>
      <c r="J991" s="40"/>
      <c r="K991" s="33"/>
      <c r="L991" s="33"/>
      <c r="M991" s="38"/>
    </row>
    <row r="992" spans="4:13" x14ac:dyDescent="0.25">
      <c r="D992" s="34"/>
      <c r="E992" s="34"/>
      <c r="F992" s="62"/>
      <c r="G992" s="37"/>
      <c r="H992" s="64"/>
      <c r="I992" s="40"/>
      <c r="J992" s="40"/>
      <c r="K992" s="33"/>
      <c r="L992" s="33"/>
      <c r="M992" s="38"/>
    </row>
    <row r="993" spans="4:13" x14ac:dyDescent="0.25">
      <c r="D993" s="34"/>
      <c r="E993" s="34"/>
      <c r="F993" s="62"/>
      <c r="G993" s="37"/>
      <c r="H993" s="64"/>
      <c r="I993" s="40"/>
      <c r="J993" s="40"/>
      <c r="K993" s="33"/>
      <c r="L993" s="33"/>
      <c r="M993" s="38"/>
    </row>
    <row r="994" spans="4:13" x14ac:dyDescent="0.25">
      <c r="D994" s="34"/>
      <c r="E994" s="34"/>
      <c r="F994" s="62"/>
      <c r="G994" s="37"/>
      <c r="H994" s="64"/>
      <c r="I994" s="40"/>
      <c r="J994" s="40"/>
      <c r="K994" s="33"/>
      <c r="L994" s="33"/>
      <c r="M994" s="38"/>
    </row>
    <row r="995" spans="4:13" x14ac:dyDescent="0.25">
      <c r="D995" s="34"/>
      <c r="E995" s="34"/>
      <c r="F995" s="62"/>
      <c r="G995" s="37"/>
      <c r="H995" s="64"/>
      <c r="I995" s="40"/>
      <c r="J995" s="40"/>
      <c r="K995" s="33"/>
      <c r="L995" s="33"/>
      <c r="M995" s="38"/>
    </row>
    <row r="996" spans="4:13" x14ac:dyDescent="0.25">
      <c r="D996" s="34"/>
      <c r="E996" s="34"/>
      <c r="F996" s="62"/>
      <c r="G996" s="37"/>
      <c r="H996" s="64"/>
      <c r="I996" s="40"/>
      <c r="J996" s="40"/>
      <c r="K996" s="33"/>
      <c r="L996" s="33"/>
      <c r="M996" s="38"/>
    </row>
    <row r="997" spans="4:13" x14ac:dyDescent="0.25">
      <c r="D997" s="34"/>
      <c r="E997" s="34"/>
      <c r="F997" s="62"/>
      <c r="G997" s="37"/>
      <c r="H997" s="64"/>
      <c r="I997" s="40"/>
      <c r="J997" s="40"/>
      <c r="K997" s="33"/>
      <c r="L997" s="33"/>
      <c r="M997" s="38"/>
    </row>
    <row r="998" spans="4:13" x14ac:dyDescent="0.25">
      <c r="D998" s="34"/>
      <c r="E998" s="34"/>
      <c r="F998" s="62"/>
      <c r="G998" s="37"/>
      <c r="H998" s="64"/>
      <c r="I998" s="40"/>
      <c r="J998" s="40"/>
      <c r="K998" s="33"/>
      <c r="L998" s="33"/>
      <c r="M998" s="38"/>
    </row>
    <row r="999" spans="4:13" x14ac:dyDescent="0.25">
      <c r="D999" s="34"/>
      <c r="E999" s="34"/>
      <c r="F999" s="62"/>
      <c r="G999" s="37"/>
      <c r="H999" s="64"/>
      <c r="I999" s="40"/>
      <c r="J999" s="40"/>
      <c r="K999" s="33"/>
      <c r="L999" s="33"/>
      <c r="M999" s="38"/>
    </row>
    <row r="1000" spans="4:13" x14ac:dyDescent="0.25">
      <c r="D1000" s="34"/>
      <c r="E1000" s="34"/>
      <c r="F1000" s="62"/>
      <c r="G1000" s="37"/>
      <c r="H1000" s="64"/>
      <c r="I1000" s="40"/>
      <c r="J1000" s="40"/>
      <c r="K1000" s="33"/>
      <c r="L1000" s="33"/>
      <c r="M1000" s="38"/>
    </row>
    <row r="1001" spans="4:13" x14ac:dyDescent="0.25">
      <c r="D1001" s="34"/>
      <c r="E1001" s="34"/>
      <c r="F1001" s="62"/>
      <c r="G1001" s="37"/>
      <c r="H1001" s="64"/>
      <c r="I1001" s="40"/>
      <c r="J1001" s="40"/>
      <c r="K1001" s="33"/>
      <c r="L1001" s="33"/>
      <c r="M1001" s="38"/>
    </row>
    <row r="1002" spans="4:13" x14ac:dyDescent="0.25">
      <c r="D1002" s="34"/>
      <c r="E1002" s="34"/>
      <c r="F1002" s="62"/>
      <c r="G1002" s="37"/>
      <c r="H1002" s="64"/>
      <c r="I1002" s="40"/>
      <c r="J1002" s="40"/>
      <c r="K1002" s="33"/>
      <c r="L1002" s="33"/>
      <c r="M1002" s="38"/>
    </row>
    <row r="1003" spans="4:13" x14ac:dyDescent="0.25">
      <c r="D1003" s="34"/>
      <c r="E1003" s="34"/>
      <c r="F1003" s="62"/>
      <c r="G1003" s="37"/>
      <c r="H1003" s="64"/>
      <c r="I1003" s="40"/>
      <c r="J1003" s="40"/>
      <c r="K1003" s="33"/>
      <c r="L1003" s="33"/>
      <c r="M1003" s="38"/>
    </row>
    <row r="1004" spans="4:13" x14ac:dyDescent="0.25">
      <c r="D1004" s="34"/>
      <c r="E1004" s="34"/>
      <c r="F1004" s="62"/>
      <c r="G1004" s="37"/>
      <c r="H1004" s="64"/>
      <c r="I1004" s="40"/>
      <c r="J1004" s="40"/>
      <c r="K1004" s="33"/>
      <c r="L1004" s="33"/>
      <c r="M1004" s="38"/>
    </row>
    <row r="1005" spans="4:13" x14ac:dyDescent="0.25">
      <c r="D1005" s="34"/>
      <c r="E1005" s="34"/>
      <c r="F1005" s="62"/>
      <c r="G1005" s="37"/>
      <c r="H1005" s="64"/>
      <c r="I1005" s="40"/>
      <c r="J1005" s="40"/>
      <c r="K1005" s="33"/>
      <c r="L1005" s="33"/>
      <c r="M1005" s="38"/>
    </row>
    <row r="1006" spans="4:13" x14ac:dyDescent="0.25">
      <c r="D1006" s="34"/>
      <c r="E1006" s="34"/>
      <c r="F1006" s="62"/>
      <c r="G1006" s="37"/>
      <c r="H1006" s="64"/>
      <c r="I1006" s="40"/>
      <c r="J1006" s="40"/>
      <c r="K1006" s="33"/>
      <c r="L1006" s="33"/>
      <c r="M1006" s="38"/>
    </row>
    <row r="1007" spans="4:13" x14ac:dyDescent="0.25">
      <c r="D1007" s="34"/>
      <c r="E1007" s="34"/>
      <c r="F1007" s="62"/>
      <c r="G1007" s="37"/>
      <c r="H1007" s="64"/>
      <c r="I1007" s="40"/>
      <c r="J1007" s="40"/>
      <c r="K1007" s="33"/>
      <c r="L1007" s="33"/>
      <c r="M1007" s="38"/>
    </row>
    <row r="1008" spans="4:13" x14ac:dyDescent="0.25">
      <c r="D1008" s="34"/>
      <c r="E1008" s="34"/>
      <c r="F1008" s="62"/>
      <c r="G1008" s="37"/>
      <c r="H1008" s="64"/>
      <c r="I1008" s="40"/>
      <c r="J1008" s="40"/>
      <c r="K1008" s="33"/>
      <c r="L1008" s="33"/>
      <c r="M1008" s="38"/>
    </row>
    <row r="1009" spans="4:13" x14ac:dyDescent="0.25">
      <c r="D1009" s="34"/>
      <c r="E1009" s="34"/>
      <c r="F1009" s="62"/>
      <c r="G1009" s="37"/>
      <c r="H1009" s="64"/>
      <c r="I1009" s="40"/>
      <c r="J1009" s="40"/>
      <c r="K1009" s="33"/>
      <c r="L1009" s="33"/>
      <c r="M1009" s="38"/>
    </row>
    <row r="1010" spans="4:13" x14ac:dyDescent="0.25">
      <c r="D1010" s="34"/>
      <c r="E1010" s="34"/>
      <c r="F1010" s="62"/>
      <c r="G1010" s="37"/>
      <c r="H1010" s="64"/>
      <c r="I1010" s="40"/>
      <c r="J1010" s="40"/>
      <c r="K1010" s="33"/>
      <c r="L1010" s="33"/>
      <c r="M1010" s="38"/>
    </row>
    <row r="1011" spans="4:13" x14ac:dyDescent="0.25">
      <c r="D1011" s="34"/>
      <c r="E1011" s="34"/>
      <c r="F1011" s="62"/>
      <c r="G1011" s="37"/>
      <c r="H1011" s="64"/>
      <c r="I1011" s="40"/>
      <c r="J1011" s="40"/>
      <c r="K1011" s="33"/>
      <c r="L1011" s="33"/>
      <c r="M1011" s="38"/>
    </row>
    <row r="1012" spans="4:13" x14ac:dyDescent="0.25">
      <c r="D1012" s="34"/>
      <c r="E1012" s="34"/>
      <c r="F1012" s="62"/>
      <c r="G1012" s="37"/>
      <c r="H1012" s="64"/>
      <c r="I1012" s="40"/>
      <c r="J1012" s="40"/>
      <c r="K1012" s="33"/>
      <c r="L1012" s="33"/>
      <c r="M1012" s="38"/>
    </row>
    <row r="1013" spans="4:13" x14ac:dyDescent="0.25">
      <c r="D1013" s="34"/>
      <c r="E1013" s="34"/>
      <c r="F1013" s="62"/>
      <c r="G1013" s="37"/>
      <c r="H1013" s="64"/>
      <c r="I1013" s="40"/>
      <c r="J1013" s="40"/>
      <c r="K1013" s="33"/>
      <c r="L1013" s="33"/>
      <c r="M1013" s="38"/>
    </row>
    <row r="1014" spans="4:13" x14ac:dyDescent="0.25">
      <c r="D1014" s="34"/>
      <c r="E1014" s="34"/>
      <c r="F1014" s="62"/>
      <c r="G1014" s="37"/>
      <c r="H1014" s="64"/>
      <c r="I1014" s="40"/>
      <c r="J1014" s="40"/>
      <c r="K1014" s="33"/>
      <c r="L1014" s="33"/>
      <c r="M1014" s="38"/>
    </row>
    <row r="1015" spans="4:13" x14ac:dyDescent="0.25">
      <c r="D1015" s="34"/>
      <c r="E1015" s="34"/>
      <c r="F1015" s="62"/>
      <c r="G1015" s="37"/>
      <c r="H1015" s="64"/>
      <c r="I1015" s="40"/>
      <c r="J1015" s="40"/>
      <c r="K1015" s="33"/>
      <c r="L1015" s="33"/>
      <c r="M1015" s="38"/>
    </row>
    <row r="1016" spans="4:13" x14ac:dyDescent="0.25">
      <c r="D1016" s="34"/>
      <c r="E1016" s="34"/>
      <c r="F1016" s="62"/>
      <c r="G1016" s="37"/>
      <c r="H1016" s="64"/>
      <c r="I1016" s="40"/>
      <c r="J1016" s="40"/>
      <c r="K1016" s="33"/>
      <c r="L1016" s="33"/>
      <c r="M1016" s="38"/>
    </row>
    <row r="1017" spans="4:13" x14ac:dyDescent="0.25">
      <c r="D1017" s="34"/>
      <c r="E1017" s="34"/>
      <c r="F1017" s="62"/>
      <c r="G1017" s="37"/>
      <c r="H1017" s="64"/>
      <c r="I1017" s="40"/>
      <c r="J1017" s="40"/>
      <c r="K1017" s="33"/>
      <c r="L1017" s="33"/>
      <c r="M1017" s="38"/>
    </row>
    <row r="1018" spans="4:13" x14ac:dyDescent="0.25">
      <c r="D1018" s="34"/>
      <c r="E1018" s="34"/>
      <c r="F1018" s="62"/>
      <c r="G1018" s="37"/>
      <c r="H1018" s="64"/>
      <c r="I1018" s="40"/>
      <c r="J1018" s="40"/>
      <c r="K1018" s="33"/>
      <c r="L1018" s="33"/>
      <c r="M1018" s="38"/>
    </row>
    <row r="1019" spans="4:13" x14ac:dyDescent="0.25">
      <c r="D1019" s="34"/>
      <c r="E1019" s="34"/>
      <c r="F1019" s="62"/>
      <c r="G1019" s="37"/>
      <c r="H1019" s="64"/>
      <c r="I1019" s="40"/>
      <c r="J1019" s="40"/>
      <c r="K1019" s="33"/>
      <c r="L1019" s="33"/>
      <c r="M1019" s="38"/>
    </row>
    <row r="1020" spans="4:13" x14ac:dyDescent="0.25">
      <c r="D1020" s="34"/>
      <c r="E1020" s="34"/>
      <c r="F1020" s="62"/>
      <c r="G1020" s="37"/>
      <c r="H1020" s="64"/>
      <c r="I1020" s="40"/>
      <c r="J1020" s="40"/>
      <c r="K1020" s="33"/>
      <c r="L1020" s="33"/>
      <c r="M1020" s="38"/>
    </row>
    <row r="1021" spans="4:13" x14ac:dyDescent="0.25">
      <c r="D1021" s="34"/>
      <c r="E1021" s="34"/>
      <c r="F1021" s="62"/>
      <c r="G1021" s="37"/>
      <c r="H1021" s="64"/>
      <c r="I1021" s="40"/>
      <c r="J1021" s="40"/>
      <c r="K1021" s="33"/>
      <c r="L1021" s="33"/>
      <c r="M1021" s="38"/>
    </row>
    <row r="1022" spans="4:13" x14ac:dyDescent="0.25">
      <c r="D1022" s="34"/>
      <c r="E1022" s="34"/>
      <c r="F1022" s="62"/>
      <c r="G1022" s="37"/>
      <c r="H1022" s="64"/>
      <c r="I1022" s="40"/>
      <c r="J1022" s="40"/>
      <c r="K1022" s="33"/>
      <c r="L1022" s="33"/>
      <c r="M1022" s="38"/>
    </row>
    <row r="1023" spans="4:13" x14ac:dyDescent="0.25">
      <c r="D1023" s="34"/>
      <c r="E1023" s="34"/>
      <c r="F1023" s="62"/>
      <c r="G1023" s="37"/>
      <c r="H1023" s="64"/>
      <c r="I1023" s="40"/>
      <c r="J1023" s="40"/>
      <c r="K1023" s="33"/>
      <c r="L1023" s="33"/>
      <c r="M1023" s="38"/>
    </row>
    <row r="1024" spans="4:13" x14ac:dyDescent="0.25">
      <c r="D1024" s="34"/>
      <c r="E1024" s="34"/>
      <c r="F1024" s="62"/>
      <c r="G1024" s="37"/>
      <c r="H1024" s="64"/>
      <c r="I1024" s="40"/>
      <c r="J1024" s="40"/>
      <c r="K1024" s="33"/>
      <c r="L1024" s="33"/>
      <c r="M1024" s="38"/>
    </row>
    <row r="1025" spans="4:13" x14ac:dyDescent="0.25">
      <c r="D1025" s="34"/>
      <c r="E1025" s="34"/>
      <c r="F1025" s="62"/>
      <c r="G1025" s="37"/>
      <c r="H1025" s="64"/>
      <c r="I1025" s="40"/>
      <c r="J1025" s="40"/>
      <c r="K1025" s="33"/>
      <c r="L1025" s="33"/>
      <c r="M1025" s="38"/>
    </row>
    <row r="1026" spans="4:13" x14ac:dyDescent="0.25">
      <c r="D1026" s="34"/>
      <c r="E1026" s="34"/>
      <c r="F1026" s="62"/>
      <c r="G1026" s="37"/>
      <c r="H1026" s="64"/>
      <c r="I1026" s="40"/>
      <c r="J1026" s="40"/>
      <c r="K1026" s="33"/>
      <c r="L1026" s="33"/>
      <c r="M1026" s="38"/>
    </row>
    <row r="1027" spans="4:13" x14ac:dyDescent="0.25">
      <c r="D1027" s="34"/>
      <c r="E1027" s="34"/>
      <c r="F1027" s="62"/>
      <c r="G1027" s="37"/>
      <c r="H1027" s="64"/>
      <c r="I1027" s="40"/>
      <c r="J1027" s="40"/>
      <c r="K1027" s="33"/>
      <c r="L1027" s="33"/>
      <c r="M1027" s="38"/>
    </row>
    <row r="1028" spans="4:13" x14ac:dyDescent="0.25">
      <c r="D1028" s="34"/>
      <c r="E1028" s="34"/>
      <c r="F1028" s="62"/>
      <c r="G1028" s="37"/>
      <c r="H1028" s="64"/>
      <c r="I1028" s="40"/>
      <c r="J1028" s="40"/>
      <c r="K1028" s="33"/>
      <c r="L1028" s="33"/>
      <c r="M1028" s="38"/>
    </row>
    <row r="1029" spans="4:13" x14ac:dyDescent="0.25">
      <c r="D1029" s="34"/>
      <c r="E1029" s="34"/>
      <c r="F1029" s="62"/>
      <c r="G1029" s="37"/>
      <c r="H1029" s="64"/>
      <c r="I1029" s="40"/>
      <c r="J1029" s="40"/>
      <c r="K1029" s="33"/>
      <c r="L1029" s="33"/>
      <c r="M1029" s="38"/>
    </row>
    <row r="1030" spans="4:13" x14ac:dyDescent="0.25">
      <c r="D1030" s="34"/>
      <c r="E1030" s="34"/>
      <c r="F1030" s="62"/>
      <c r="G1030" s="37"/>
      <c r="H1030" s="64"/>
      <c r="I1030" s="40"/>
      <c r="J1030" s="40"/>
      <c r="K1030" s="33"/>
      <c r="L1030" s="33"/>
      <c r="M1030" s="38"/>
    </row>
    <row r="1031" spans="4:13" x14ac:dyDescent="0.25">
      <c r="D1031" s="34"/>
      <c r="E1031" s="34"/>
      <c r="F1031" s="62"/>
      <c r="G1031" s="37"/>
      <c r="H1031" s="64"/>
      <c r="I1031" s="40"/>
      <c r="J1031" s="40"/>
      <c r="K1031" s="33"/>
      <c r="L1031" s="33"/>
      <c r="M1031" s="38"/>
    </row>
    <row r="1032" spans="4:13" x14ac:dyDescent="0.25">
      <c r="D1032" s="34"/>
      <c r="E1032" s="34"/>
      <c r="F1032" s="62"/>
      <c r="G1032" s="37"/>
      <c r="H1032" s="64"/>
      <c r="I1032" s="40"/>
      <c r="J1032" s="40"/>
      <c r="K1032" s="33"/>
      <c r="L1032" s="33"/>
      <c r="M1032" s="38"/>
    </row>
    <row r="1033" spans="4:13" x14ac:dyDescent="0.25">
      <c r="D1033" s="34"/>
      <c r="E1033" s="34"/>
      <c r="F1033" s="62"/>
      <c r="G1033" s="37"/>
      <c r="H1033" s="64"/>
      <c r="I1033" s="40"/>
      <c r="J1033" s="40"/>
      <c r="K1033" s="33"/>
      <c r="L1033" s="33"/>
      <c r="M1033" s="38"/>
    </row>
    <row r="1034" spans="4:13" x14ac:dyDescent="0.25">
      <c r="D1034" s="34"/>
      <c r="E1034" s="34"/>
      <c r="F1034" s="62"/>
      <c r="G1034" s="37"/>
      <c r="H1034" s="64"/>
      <c r="I1034" s="40"/>
      <c r="J1034" s="40"/>
      <c r="K1034" s="33"/>
      <c r="L1034" s="33"/>
      <c r="M1034" s="38"/>
    </row>
    <row r="1035" spans="4:13" x14ac:dyDescent="0.25">
      <c r="D1035" s="34"/>
      <c r="E1035" s="34"/>
      <c r="F1035" s="62"/>
      <c r="G1035" s="37"/>
      <c r="H1035" s="64"/>
      <c r="I1035" s="40"/>
      <c r="J1035" s="40"/>
      <c r="K1035" s="33"/>
      <c r="L1035" s="33"/>
      <c r="M1035" s="38"/>
    </row>
    <row r="1036" spans="4:13" x14ac:dyDescent="0.25">
      <c r="D1036" s="34"/>
      <c r="E1036" s="34"/>
      <c r="F1036" s="62"/>
      <c r="G1036" s="37"/>
      <c r="H1036" s="64"/>
      <c r="I1036" s="40"/>
      <c r="J1036" s="40"/>
      <c r="K1036" s="33"/>
      <c r="L1036" s="33"/>
      <c r="M1036" s="38"/>
    </row>
    <row r="1037" spans="4:13" x14ac:dyDescent="0.25">
      <c r="D1037" s="34"/>
      <c r="E1037" s="34"/>
      <c r="F1037" s="62"/>
      <c r="G1037" s="37"/>
      <c r="H1037" s="64"/>
      <c r="I1037" s="40"/>
      <c r="J1037" s="40"/>
      <c r="K1037" s="33"/>
      <c r="L1037" s="33"/>
      <c r="M1037" s="38"/>
    </row>
    <row r="1038" spans="4:13" x14ac:dyDescent="0.25">
      <c r="D1038" s="34"/>
      <c r="E1038" s="34"/>
      <c r="F1038" s="62"/>
      <c r="G1038" s="37"/>
      <c r="H1038" s="64"/>
      <c r="I1038" s="40"/>
      <c r="J1038" s="40"/>
      <c r="K1038" s="33"/>
      <c r="L1038" s="33"/>
      <c r="M1038" s="38"/>
    </row>
    <row r="1039" spans="4:13" x14ac:dyDescent="0.25">
      <c r="D1039" s="34"/>
      <c r="E1039" s="34"/>
      <c r="F1039" s="62"/>
      <c r="G1039" s="37"/>
      <c r="H1039" s="64"/>
      <c r="I1039" s="40"/>
      <c r="J1039" s="40"/>
      <c r="K1039" s="33"/>
      <c r="L1039" s="33"/>
      <c r="M1039" s="38"/>
    </row>
    <row r="1040" spans="4:13" x14ac:dyDescent="0.25">
      <c r="D1040" s="34"/>
      <c r="E1040" s="34"/>
      <c r="F1040" s="62"/>
      <c r="G1040" s="37"/>
      <c r="H1040" s="64"/>
      <c r="I1040" s="40"/>
      <c r="J1040" s="40"/>
      <c r="K1040" s="33"/>
      <c r="L1040" s="33"/>
      <c r="M1040" s="38"/>
    </row>
    <row r="1041" spans="4:13" x14ac:dyDescent="0.25">
      <c r="D1041" s="34"/>
      <c r="E1041" s="34"/>
      <c r="F1041" s="62"/>
      <c r="G1041" s="37"/>
      <c r="H1041" s="64"/>
      <c r="I1041" s="40"/>
      <c r="J1041" s="40"/>
      <c r="K1041" s="33"/>
      <c r="L1041" s="33"/>
      <c r="M1041" s="38"/>
    </row>
    <row r="1042" spans="4:13" x14ac:dyDescent="0.25">
      <c r="D1042" s="34"/>
      <c r="E1042" s="34"/>
      <c r="F1042" s="62"/>
      <c r="G1042" s="37"/>
      <c r="H1042" s="64"/>
      <c r="I1042" s="40"/>
      <c r="J1042" s="40"/>
      <c r="K1042" s="33"/>
      <c r="L1042" s="33"/>
      <c r="M1042" s="38"/>
    </row>
    <row r="1043" spans="4:13" x14ac:dyDescent="0.25">
      <c r="D1043" s="34"/>
      <c r="E1043" s="34"/>
      <c r="F1043" s="62"/>
      <c r="G1043" s="37"/>
      <c r="H1043" s="64"/>
      <c r="I1043" s="40"/>
      <c r="J1043" s="40"/>
      <c r="K1043" s="33"/>
      <c r="L1043" s="33"/>
      <c r="M1043" s="38"/>
    </row>
    <row r="1044" spans="4:13" x14ac:dyDescent="0.25">
      <c r="D1044" s="34"/>
      <c r="E1044" s="34"/>
      <c r="F1044" s="62"/>
      <c r="G1044" s="37"/>
      <c r="H1044" s="64"/>
      <c r="I1044" s="40"/>
      <c r="J1044" s="40"/>
      <c r="K1044" s="33"/>
      <c r="L1044" s="33"/>
      <c r="M1044" s="38"/>
    </row>
    <row r="1045" spans="4:13" x14ac:dyDescent="0.25">
      <c r="D1045" s="34"/>
      <c r="E1045" s="34"/>
      <c r="F1045" s="62"/>
      <c r="G1045" s="37"/>
      <c r="H1045" s="64"/>
      <c r="I1045" s="40"/>
      <c r="J1045" s="40"/>
      <c r="K1045" s="33"/>
      <c r="L1045" s="33"/>
      <c r="M1045" s="38"/>
    </row>
    <row r="1046" spans="4:13" x14ac:dyDescent="0.25">
      <c r="D1046" s="34"/>
      <c r="E1046" s="34"/>
      <c r="F1046" s="62"/>
      <c r="G1046" s="37"/>
      <c r="H1046" s="64"/>
      <c r="I1046" s="40"/>
      <c r="J1046" s="40"/>
      <c r="K1046" s="33"/>
      <c r="L1046" s="33"/>
      <c r="M1046" s="38"/>
    </row>
    <row r="1047" spans="4:13" x14ac:dyDescent="0.25">
      <c r="D1047" s="34"/>
      <c r="E1047" s="34"/>
      <c r="F1047" s="62"/>
      <c r="G1047" s="37"/>
      <c r="H1047" s="64"/>
      <c r="I1047" s="40"/>
      <c r="J1047" s="40"/>
      <c r="K1047" s="33"/>
      <c r="L1047" s="33"/>
      <c r="M1047" s="38"/>
    </row>
    <row r="1048" spans="4:13" x14ac:dyDescent="0.25">
      <c r="D1048" s="34"/>
      <c r="E1048" s="34"/>
      <c r="F1048" s="62"/>
      <c r="G1048" s="37"/>
      <c r="H1048" s="64"/>
      <c r="I1048" s="40"/>
      <c r="J1048" s="40"/>
      <c r="K1048" s="33"/>
      <c r="L1048" s="33"/>
      <c r="M1048" s="38"/>
    </row>
    <row r="1049" spans="4:13" x14ac:dyDescent="0.25">
      <c r="D1049" s="34"/>
      <c r="E1049" s="34"/>
      <c r="F1049" s="62"/>
      <c r="G1049" s="37"/>
      <c r="H1049" s="64"/>
      <c r="I1049" s="40"/>
      <c r="J1049" s="40"/>
      <c r="K1049" s="33"/>
      <c r="L1049" s="33"/>
      <c r="M1049" s="38"/>
    </row>
    <row r="1050" spans="4:13" x14ac:dyDescent="0.25">
      <c r="D1050" s="34"/>
      <c r="E1050" s="34"/>
      <c r="F1050" s="62"/>
      <c r="G1050" s="37"/>
      <c r="H1050" s="64"/>
      <c r="I1050" s="40"/>
      <c r="J1050" s="40"/>
      <c r="K1050" s="33"/>
      <c r="L1050" s="33"/>
      <c r="M1050" s="38"/>
    </row>
    <row r="1051" spans="4:13" x14ac:dyDescent="0.25">
      <c r="D1051" s="34"/>
      <c r="E1051" s="34"/>
      <c r="F1051" s="62"/>
      <c r="G1051" s="37"/>
      <c r="H1051" s="64"/>
      <c r="I1051" s="40"/>
      <c r="J1051" s="40"/>
      <c r="K1051" s="33"/>
      <c r="L1051" s="33"/>
      <c r="M1051" s="38"/>
    </row>
    <row r="1052" spans="4:13" x14ac:dyDescent="0.25">
      <c r="D1052" s="34"/>
      <c r="E1052" s="34"/>
      <c r="F1052" s="62"/>
      <c r="G1052" s="37"/>
      <c r="H1052" s="64"/>
      <c r="I1052" s="40"/>
      <c r="J1052" s="40"/>
      <c r="K1052" s="33"/>
      <c r="L1052" s="33"/>
      <c r="M1052" s="38"/>
    </row>
    <row r="1053" spans="4:13" x14ac:dyDescent="0.25">
      <c r="D1053" s="34"/>
      <c r="E1053" s="34"/>
      <c r="F1053" s="62"/>
      <c r="G1053" s="37"/>
      <c r="H1053" s="64"/>
      <c r="I1053" s="40"/>
      <c r="J1053" s="40"/>
      <c r="K1053" s="33"/>
      <c r="L1053" s="33"/>
      <c r="M1053" s="38"/>
    </row>
    <row r="1054" spans="4:13" x14ac:dyDescent="0.25">
      <c r="D1054" s="34"/>
      <c r="E1054" s="34"/>
      <c r="F1054" s="62"/>
      <c r="G1054" s="37"/>
      <c r="H1054" s="64"/>
      <c r="I1054" s="40"/>
      <c r="J1054" s="40"/>
      <c r="K1054" s="33"/>
      <c r="L1054" s="33"/>
      <c r="M1054" s="38"/>
    </row>
    <row r="1055" spans="4:13" x14ac:dyDescent="0.25">
      <c r="D1055" s="34"/>
      <c r="E1055" s="34"/>
      <c r="F1055" s="62"/>
      <c r="G1055" s="37"/>
      <c r="H1055" s="64"/>
      <c r="I1055" s="40"/>
      <c r="J1055" s="40"/>
      <c r="K1055" s="33"/>
      <c r="L1055" s="33"/>
      <c r="M1055" s="38"/>
    </row>
    <row r="1056" spans="4:13" x14ac:dyDescent="0.25">
      <c r="D1056" s="34"/>
      <c r="E1056" s="34"/>
      <c r="F1056" s="62"/>
      <c r="G1056" s="37"/>
      <c r="H1056" s="64"/>
      <c r="I1056" s="40"/>
      <c r="J1056" s="40"/>
      <c r="K1056" s="33"/>
      <c r="L1056" s="33"/>
      <c r="M1056" s="38"/>
    </row>
    <row r="1057" spans="4:13" x14ac:dyDescent="0.25">
      <c r="D1057" s="34"/>
      <c r="E1057" s="34"/>
      <c r="F1057" s="62"/>
      <c r="G1057" s="37"/>
      <c r="H1057" s="64"/>
      <c r="I1057" s="40"/>
      <c r="J1057" s="40"/>
      <c r="K1057" s="33"/>
      <c r="L1057" s="33"/>
      <c r="M1057" s="38"/>
    </row>
    <row r="1058" spans="4:13" x14ac:dyDescent="0.25">
      <c r="D1058" s="34"/>
      <c r="E1058" s="34"/>
      <c r="F1058" s="62"/>
      <c r="G1058" s="37"/>
      <c r="H1058" s="64"/>
      <c r="I1058" s="40"/>
      <c r="J1058" s="40"/>
      <c r="K1058" s="33"/>
      <c r="L1058" s="33"/>
      <c r="M1058" s="38"/>
    </row>
    <row r="1059" spans="4:13" x14ac:dyDescent="0.25">
      <c r="D1059" s="34"/>
      <c r="E1059" s="34"/>
      <c r="F1059" s="62"/>
      <c r="G1059" s="37"/>
      <c r="H1059" s="64"/>
      <c r="I1059" s="40"/>
      <c r="J1059" s="40"/>
      <c r="K1059" s="33"/>
      <c r="L1059" s="33"/>
      <c r="M1059" s="38"/>
    </row>
    <row r="1060" spans="4:13" x14ac:dyDescent="0.25">
      <c r="D1060" s="34"/>
      <c r="E1060" s="34"/>
      <c r="F1060" s="62"/>
      <c r="G1060" s="37"/>
      <c r="H1060" s="64"/>
      <c r="I1060" s="40"/>
      <c r="J1060" s="40"/>
      <c r="K1060" s="33"/>
      <c r="L1060" s="33"/>
      <c r="M1060" s="38"/>
    </row>
    <row r="1061" spans="4:13" x14ac:dyDescent="0.25">
      <c r="D1061" s="34"/>
      <c r="E1061" s="34"/>
      <c r="F1061" s="62"/>
      <c r="G1061" s="37"/>
      <c r="H1061" s="64"/>
      <c r="I1061" s="40"/>
      <c r="J1061" s="40"/>
      <c r="K1061" s="33"/>
      <c r="L1061" s="33"/>
      <c r="M1061" s="38"/>
    </row>
    <row r="1062" spans="4:13" x14ac:dyDescent="0.25">
      <c r="D1062" s="34"/>
      <c r="E1062" s="34"/>
      <c r="F1062" s="62"/>
      <c r="G1062" s="37"/>
      <c r="H1062" s="64"/>
      <c r="I1062" s="40"/>
      <c r="J1062" s="40"/>
      <c r="K1062" s="33"/>
      <c r="L1062" s="33"/>
      <c r="M1062" s="38"/>
    </row>
    <row r="1063" spans="4:13" x14ac:dyDescent="0.25">
      <c r="D1063" s="34"/>
      <c r="E1063" s="34"/>
      <c r="F1063" s="62"/>
      <c r="G1063" s="37"/>
      <c r="H1063" s="64"/>
      <c r="I1063" s="40"/>
      <c r="J1063" s="40"/>
      <c r="K1063" s="33"/>
      <c r="L1063" s="33"/>
      <c r="M1063" s="38"/>
    </row>
    <row r="1064" spans="4:13" x14ac:dyDescent="0.25">
      <c r="D1064" s="34"/>
      <c r="E1064" s="34"/>
      <c r="F1064" s="62"/>
      <c r="G1064" s="37"/>
      <c r="H1064" s="64"/>
      <c r="I1064" s="40"/>
      <c r="J1064" s="40"/>
      <c r="K1064" s="33"/>
      <c r="L1064" s="33"/>
      <c r="M1064" s="38"/>
    </row>
    <row r="1065" spans="4:13" x14ac:dyDescent="0.25">
      <c r="D1065" s="34"/>
      <c r="E1065" s="34"/>
      <c r="F1065" s="62"/>
      <c r="G1065" s="37"/>
      <c r="H1065" s="64"/>
      <c r="I1065" s="40"/>
      <c r="J1065" s="40"/>
      <c r="K1065" s="33"/>
      <c r="L1065" s="33"/>
      <c r="M1065" s="38"/>
    </row>
    <row r="1066" spans="4:13" x14ac:dyDescent="0.25">
      <c r="D1066" s="34"/>
      <c r="E1066" s="34"/>
      <c r="F1066" s="62"/>
      <c r="G1066" s="37"/>
      <c r="H1066" s="64"/>
      <c r="I1066" s="40"/>
      <c r="J1066" s="40"/>
      <c r="K1066" s="33"/>
      <c r="L1066" s="33"/>
      <c r="M1066" s="38"/>
    </row>
    <row r="1067" spans="4:13" x14ac:dyDescent="0.25">
      <c r="D1067" s="34"/>
      <c r="E1067" s="34"/>
      <c r="F1067" s="62"/>
      <c r="G1067" s="37"/>
      <c r="H1067" s="64"/>
      <c r="I1067" s="40"/>
      <c r="J1067" s="40"/>
      <c r="K1067" s="33"/>
      <c r="L1067" s="33"/>
      <c r="M1067" s="38"/>
    </row>
    <row r="1068" spans="4:13" x14ac:dyDescent="0.25">
      <c r="D1068" s="34"/>
      <c r="E1068" s="34"/>
      <c r="F1068" s="62"/>
      <c r="G1068" s="37"/>
      <c r="H1068" s="64"/>
      <c r="I1068" s="40"/>
      <c r="J1068" s="40"/>
      <c r="K1068" s="33"/>
      <c r="L1068" s="33"/>
      <c r="M1068" s="38"/>
    </row>
    <row r="1069" spans="4:13" x14ac:dyDescent="0.25">
      <c r="D1069" s="34"/>
      <c r="E1069" s="34"/>
      <c r="F1069" s="62"/>
      <c r="G1069" s="37"/>
      <c r="H1069" s="64"/>
      <c r="I1069" s="40"/>
      <c r="J1069" s="40"/>
      <c r="K1069" s="33"/>
      <c r="L1069" s="33"/>
      <c r="M1069" s="38"/>
    </row>
    <row r="1070" spans="4:13" x14ac:dyDescent="0.25">
      <c r="D1070" s="34"/>
      <c r="E1070" s="34"/>
      <c r="F1070" s="62"/>
      <c r="G1070" s="37"/>
      <c r="H1070" s="64"/>
      <c r="I1070" s="40"/>
      <c r="J1070" s="40"/>
      <c r="K1070" s="33"/>
      <c r="L1070" s="33"/>
      <c r="M1070" s="38"/>
    </row>
    <row r="1071" spans="4:13" x14ac:dyDescent="0.25">
      <c r="D1071" s="34"/>
      <c r="E1071" s="34"/>
      <c r="F1071" s="62"/>
      <c r="G1071" s="37"/>
      <c r="H1071" s="64"/>
      <c r="I1071" s="40"/>
      <c r="J1071" s="40"/>
      <c r="K1071" s="33"/>
      <c r="L1071" s="33"/>
      <c r="M1071" s="38"/>
    </row>
    <row r="1072" spans="4:13" x14ac:dyDescent="0.25">
      <c r="D1072" s="34"/>
      <c r="E1072" s="34"/>
      <c r="F1072" s="62"/>
      <c r="G1072" s="37"/>
      <c r="H1072" s="64"/>
      <c r="I1072" s="40"/>
      <c r="J1072" s="40"/>
      <c r="K1072" s="33"/>
      <c r="L1072" s="33"/>
      <c r="M1072" s="38"/>
    </row>
    <row r="1073" spans="4:13" x14ac:dyDescent="0.25">
      <c r="D1073" s="34"/>
      <c r="E1073" s="34"/>
      <c r="F1073" s="62"/>
      <c r="G1073" s="37"/>
      <c r="H1073" s="64"/>
      <c r="I1073" s="40"/>
      <c r="J1073" s="40"/>
      <c r="K1073" s="33"/>
      <c r="L1073" s="33"/>
      <c r="M1073" s="38"/>
    </row>
    <row r="1074" spans="4:13" x14ac:dyDescent="0.25">
      <c r="D1074" s="34"/>
      <c r="E1074" s="34"/>
      <c r="F1074" s="62"/>
      <c r="G1074" s="37"/>
      <c r="H1074" s="64"/>
      <c r="I1074" s="40"/>
      <c r="J1074" s="40"/>
      <c r="K1074" s="33"/>
      <c r="L1074" s="33"/>
      <c r="M1074" s="38"/>
    </row>
    <row r="1075" spans="4:13" x14ac:dyDescent="0.25">
      <c r="D1075" s="34"/>
      <c r="E1075" s="34"/>
      <c r="F1075" s="62"/>
      <c r="G1075" s="37"/>
      <c r="H1075" s="64"/>
      <c r="I1075" s="40"/>
      <c r="J1075" s="40"/>
      <c r="K1075" s="33"/>
      <c r="L1075" s="33"/>
      <c r="M1075" s="38"/>
    </row>
    <row r="1076" spans="4:13" x14ac:dyDescent="0.25">
      <c r="D1076" s="34"/>
      <c r="E1076" s="34"/>
      <c r="F1076" s="62"/>
      <c r="G1076" s="37"/>
      <c r="H1076" s="64"/>
      <c r="I1076" s="40"/>
      <c r="J1076" s="40"/>
      <c r="K1076" s="33"/>
      <c r="L1076" s="33"/>
      <c r="M1076" s="38"/>
    </row>
    <row r="1077" spans="4:13" x14ac:dyDescent="0.25">
      <c r="D1077" s="34"/>
      <c r="E1077" s="34"/>
      <c r="F1077" s="62"/>
      <c r="G1077" s="37"/>
      <c r="H1077" s="64"/>
      <c r="I1077" s="40"/>
      <c r="J1077" s="40"/>
      <c r="K1077" s="33"/>
      <c r="L1077" s="33"/>
      <c r="M1077" s="38"/>
    </row>
    <row r="1078" spans="4:13" x14ac:dyDescent="0.25">
      <c r="D1078" s="34"/>
      <c r="E1078" s="34"/>
      <c r="F1078" s="62"/>
      <c r="G1078" s="37"/>
      <c r="H1078" s="64"/>
      <c r="I1078" s="40"/>
      <c r="J1078" s="40"/>
      <c r="K1078" s="33"/>
      <c r="L1078" s="33"/>
      <c r="M1078" s="38"/>
    </row>
    <row r="1079" spans="4:13" x14ac:dyDescent="0.25">
      <c r="D1079" s="34"/>
      <c r="E1079" s="34"/>
      <c r="F1079" s="62"/>
      <c r="G1079" s="37"/>
      <c r="H1079" s="64"/>
      <c r="I1079" s="40"/>
      <c r="J1079" s="40"/>
      <c r="K1079" s="33"/>
      <c r="L1079" s="33"/>
      <c r="M1079" s="38"/>
    </row>
    <row r="1080" spans="4:13" x14ac:dyDescent="0.25">
      <c r="D1080" s="34"/>
      <c r="E1080" s="34"/>
      <c r="F1080" s="62"/>
      <c r="G1080" s="37"/>
      <c r="H1080" s="64"/>
      <c r="I1080" s="40"/>
      <c r="J1080" s="40"/>
      <c r="K1080" s="33"/>
      <c r="L1080" s="33"/>
      <c r="M1080" s="38"/>
    </row>
    <row r="1081" spans="4:13" x14ac:dyDescent="0.25">
      <c r="D1081" s="34"/>
      <c r="E1081" s="34"/>
      <c r="F1081" s="62"/>
      <c r="G1081" s="37"/>
      <c r="H1081" s="64"/>
      <c r="I1081" s="40"/>
      <c r="J1081" s="40"/>
      <c r="K1081" s="33"/>
      <c r="L1081" s="33"/>
      <c r="M1081" s="38"/>
    </row>
    <row r="1082" spans="4:13" x14ac:dyDescent="0.25">
      <c r="D1082" s="34"/>
      <c r="E1082" s="34"/>
      <c r="F1082" s="62"/>
      <c r="G1082" s="37"/>
      <c r="H1082" s="64"/>
      <c r="I1082" s="40"/>
      <c r="J1082" s="40"/>
      <c r="K1082" s="33"/>
      <c r="L1082" s="33"/>
      <c r="M1082" s="38"/>
    </row>
    <row r="1083" spans="4:13" x14ac:dyDescent="0.25">
      <c r="D1083" s="34"/>
      <c r="E1083" s="34"/>
      <c r="F1083" s="62"/>
      <c r="G1083" s="37"/>
      <c r="H1083" s="64"/>
      <c r="I1083" s="40"/>
      <c r="J1083" s="40"/>
      <c r="K1083" s="33"/>
      <c r="L1083" s="33"/>
      <c r="M1083" s="38"/>
    </row>
    <row r="1084" spans="4:13" x14ac:dyDescent="0.25">
      <c r="D1084" s="34"/>
      <c r="E1084" s="34"/>
      <c r="F1084" s="62"/>
      <c r="G1084" s="37"/>
      <c r="H1084" s="64"/>
      <c r="I1084" s="40"/>
      <c r="J1084" s="40"/>
      <c r="K1084" s="33"/>
      <c r="L1084" s="33"/>
      <c r="M1084" s="38"/>
    </row>
    <row r="1085" spans="4:13" x14ac:dyDescent="0.25">
      <c r="D1085" s="34"/>
      <c r="E1085" s="34"/>
      <c r="F1085" s="62"/>
      <c r="G1085" s="37"/>
      <c r="H1085" s="64"/>
      <c r="I1085" s="40"/>
      <c r="J1085" s="40"/>
      <c r="K1085" s="33"/>
      <c r="L1085" s="33"/>
      <c r="M1085" s="38"/>
    </row>
    <row r="1086" spans="4:13" x14ac:dyDescent="0.25">
      <c r="D1086" s="34"/>
      <c r="E1086" s="34"/>
      <c r="F1086" s="62"/>
      <c r="G1086" s="37"/>
      <c r="H1086" s="64"/>
      <c r="I1086" s="40"/>
      <c r="J1086" s="40"/>
      <c r="K1086" s="33"/>
      <c r="L1086" s="33"/>
      <c r="M1086" s="38"/>
    </row>
    <row r="1087" spans="4:13" x14ac:dyDescent="0.25">
      <c r="D1087" s="34"/>
      <c r="E1087" s="34"/>
      <c r="F1087" s="62"/>
      <c r="G1087" s="37"/>
      <c r="H1087" s="64"/>
      <c r="I1087" s="40"/>
      <c r="J1087" s="40"/>
      <c r="K1087" s="33"/>
      <c r="L1087" s="33"/>
      <c r="M1087" s="38"/>
    </row>
    <row r="1088" spans="4:13" x14ac:dyDescent="0.25">
      <c r="D1088" s="34"/>
      <c r="E1088" s="34"/>
      <c r="F1088" s="62"/>
      <c r="G1088" s="37"/>
      <c r="H1088" s="64"/>
      <c r="I1088" s="40"/>
      <c r="J1088" s="40"/>
      <c r="K1088" s="33"/>
      <c r="L1088" s="33"/>
      <c r="M1088" s="38"/>
    </row>
    <row r="1089" spans="4:13" x14ac:dyDescent="0.25">
      <c r="D1089" s="34"/>
      <c r="E1089" s="34"/>
      <c r="F1089" s="62"/>
      <c r="G1089" s="37"/>
      <c r="H1089" s="64"/>
      <c r="I1089" s="40"/>
      <c r="J1089" s="40"/>
      <c r="K1089" s="33"/>
      <c r="L1089" s="33"/>
      <c r="M1089" s="38"/>
    </row>
    <row r="1090" spans="4:13" x14ac:dyDescent="0.25">
      <c r="D1090" s="34"/>
      <c r="E1090" s="34"/>
      <c r="F1090" s="62"/>
      <c r="G1090" s="37"/>
      <c r="H1090" s="64"/>
      <c r="I1090" s="40"/>
      <c r="J1090" s="40"/>
      <c r="K1090" s="33"/>
      <c r="L1090" s="33"/>
      <c r="M1090" s="38"/>
    </row>
    <row r="1091" spans="4:13" x14ac:dyDescent="0.25">
      <c r="D1091" s="34"/>
      <c r="E1091" s="34"/>
      <c r="F1091" s="62"/>
      <c r="G1091" s="37"/>
      <c r="H1091" s="64"/>
      <c r="I1091" s="40"/>
      <c r="J1091" s="40"/>
      <c r="K1091" s="33"/>
      <c r="L1091" s="33"/>
      <c r="M1091" s="38"/>
    </row>
    <row r="1092" spans="4:13" x14ac:dyDescent="0.25">
      <c r="D1092" s="34"/>
      <c r="E1092" s="34"/>
      <c r="F1092" s="62"/>
      <c r="G1092" s="37"/>
      <c r="H1092" s="64"/>
      <c r="I1092" s="40"/>
      <c r="J1092" s="40"/>
      <c r="K1092" s="33"/>
      <c r="L1092" s="33"/>
      <c r="M1092" s="38"/>
    </row>
    <row r="1093" spans="4:13" x14ac:dyDescent="0.25">
      <c r="D1093" s="34"/>
      <c r="E1093" s="34"/>
      <c r="F1093" s="62"/>
      <c r="G1093" s="37"/>
      <c r="H1093" s="64"/>
      <c r="I1093" s="40"/>
      <c r="J1093" s="40"/>
      <c r="K1093" s="33"/>
      <c r="L1093" s="33"/>
      <c r="M1093" s="38"/>
    </row>
    <row r="1094" spans="4:13" x14ac:dyDescent="0.25">
      <c r="D1094" s="34"/>
      <c r="E1094" s="34"/>
      <c r="F1094" s="62"/>
      <c r="G1094" s="37"/>
      <c r="H1094" s="64"/>
      <c r="I1094" s="40"/>
      <c r="J1094" s="40"/>
      <c r="K1094" s="33"/>
      <c r="L1094" s="33"/>
      <c r="M1094" s="38"/>
    </row>
    <row r="1095" spans="4:13" x14ac:dyDescent="0.25">
      <c r="D1095" s="34"/>
      <c r="E1095" s="34"/>
      <c r="F1095" s="62"/>
      <c r="G1095" s="37"/>
      <c r="H1095" s="64"/>
      <c r="I1095" s="40"/>
      <c r="J1095" s="40"/>
      <c r="K1095" s="33"/>
      <c r="L1095" s="33"/>
      <c r="M1095" s="38"/>
    </row>
    <row r="1096" spans="4:13" x14ac:dyDescent="0.25">
      <c r="D1096" s="34"/>
      <c r="E1096" s="34"/>
      <c r="F1096" s="62"/>
      <c r="G1096" s="37"/>
      <c r="H1096" s="64"/>
      <c r="I1096" s="40"/>
      <c r="J1096" s="40"/>
      <c r="K1096" s="33"/>
      <c r="L1096" s="33"/>
      <c r="M1096" s="38"/>
    </row>
    <row r="1097" spans="4:13" x14ac:dyDescent="0.25">
      <c r="D1097" s="34"/>
      <c r="E1097" s="34"/>
      <c r="F1097" s="62"/>
      <c r="G1097" s="37"/>
      <c r="H1097" s="64"/>
      <c r="I1097" s="40"/>
      <c r="J1097" s="40"/>
      <c r="K1097" s="33"/>
      <c r="L1097" s="33"/>
      <c r="M1097" s="38"/>
    </row>
    <row r="1098" spans="4:13" x14ac:dyDescent="0.25">
      <c r="D1098" s="34"/>
      <c r="E1098" s="34"/>
      <c r="F1098" s="62"/>
      <c r="G1098" s="37"/>
      <c r="H1098" s="64"/>
      <c r="I1098" s="40"/>
      <c r="J1098" s="40"/>
      <c r="K1098" s="33"/>
      <c r="L1098" s="33"/>
      <c r="M1098" s="38"/>
    </row>
    <row r="1099" spans="4:13" x14ac:dyDescent="0.25">
      <c r="D1099" s="34"/>
      <c r="E1099" s="34"/>
      <c r="F1099" s="62"/>
      <c r="G1099" s="37"/>
      <c r="H1099" s="64"/>
      <c r="I1099" s="40"/>
      <c r="J1099" s="40"/>
      <c r="K1099" s="33"/>
      <c r="L1099" s="33"/>
      <c r="M1099" s="38"/>
    </row>
    <row r="1100" spans="4:13" x14ac:dyDescent="0.25">
      <c r="D1100" s="34"/>
      <c r="E1100" s="34"/>
      <c r="F1100" s="62"/>
      <c r="G1100" s="37"/>
      <c r="H1100" s="64"/>
      <c r="I1100" s="40"/>
      <c r="J1100" s="40"/>
      <c r="K1100" s="33"/>
      <c r="L1100" s="33"/>
      <c r="M1100" s="38"/>
    </row>
    <row r="1101" spans="4:13" x14ac:dyDescent="0.25">
      <c r="D1101" s="34"/>
      <c r="E1101" s="34"/>
      <c r="F1101" s="62"/>
      <c r="G1101" s="37"/>
      <c r="H1101" s="64"/>
      <c r="I1101" s="40"/>
      <c r="J1101" s="40"/>
      <c r="K1101" s="33"/>
      <c r="L1101" s="33"/>
      <c r="M1101" s="38"/>
    </row>
    <row r="1102" spans="4:13" x14ac:dyDescent="0.25">
      <c r="D1102" s="34"/>
      <c r="E1102" s="34"/>
      <c r="F1102" s="62"/>
      <c r="G1102" s="37"/>
      <c r="H1102" s="64"/>
      <c r="I1102" s="40"/>
      <c r="J1102" s="40"/>
      <c r="K1102" s="33"/>
      <c r="L1102" s="33"/>
      <c r="M1102" s="38"/>
    </row>
    <row r="1103" spans="4:13" x14ac:dyDescent="0.25">
      <c r="D1103" s="34"/>
      <c r="E1103" s="34"/>
      <c r="F1103" s="62"/>
      <c r="G1103" s="37"/>
      <c r="H1103" s="64"/>
      <c r="I1103" s="40"/>
      <c r="J1103" s="40"/>
      <c r="K1103" s="33"/>
      <c r="L1103" s="33"/>
      <c r="M1103" s="38"/>
    </row>
    <row r="1104" spans="4:13" x14ac:dyDescent="0.25">
      <c r="D1104" s="34"/>
      <c r="E1104" s="34"/>
      <c r="F1104" s="62"/>
      <c r="G1104" s="37"/>
      <c r="H1104" s="64"/>
      <c r="I1104" s="40"/>
      <c r="J1104" s="40"/>
      <c r="K1104" s="33"/>
      <c r="L1104" s="33"/>
      <c r="M1104" s="38"/>
    </row>
    <row r="1105" spans="4:13" x14ac:dyDescent="0.25">
      <c r="D1105" s="34"/>
      <c r="E1105" s="34"/>
      <c r="F1105" s="62"/>
      <c r="G1105" s="37"/>
      <c r="H1105" s="64"/>
      <c r="I1105" s="40"/>
      <c r="J1105" s="40"/>
      <c r="K1105" s="33"/>
      <c r="L1105" s="33"/>
      <c r="M1105" s="38"/>
    </row>
    <row r="1106" spans="4:13" x14ac:dyDescent="0.25">
      <c r="D1106" s="34"/>
      <c r="E1106" s="34"/>
      <c r="F1106" s="62"/>
      <c r="G1106" s="37"/>
      <c r="H1106" s="64"/>
      <c r="I1106" s="40"/>
      <c r="J1106" s="40"/>
      <c r="K1106" s="33"/>
      <c r="L1106" s="33"/>
      <c r="M1106" s="38"/>
    </row>
    <row r="1107" spans="4:13" x14ac:dyDescent="0.25">
      <c r="D1107" s="34"/>
      <c r="E1107" s="34"/>
      <c r="F1107" s="62"/>
      <c r="G1107" s="37"/>
      <c r="H1107" s="64"/>
      <c r="I1107" s="40"/>
      <c r="J1107" s="40"/>
      <c r="K1107" s="33"/>
      <c r="L1107" s="33"/>
      <c r="M1107" s="38"/>
    </row>
    <row r="1108" spans="4:13" x14ac:dyDescent="0.25">
      <c r="D1108" s="34"/>
      <c r="E1108" s="34"/>
      <c r="F1108" s="62"/>
      <c r="G1108" s="37"/>
      <c r="H1108" s="64"/>
      <c r="I1108" s="40"/>
      <c r="J1108" s="40"/>
      <c r="K1108" s="33"/>
      <c r="L1108" s="33"/>
      <c r="M1108" s="38"/>
    </row>
    <row r="1109" spans="4:13" x14ac:dyDescent="0.25">
      <c r="D1109" s="34"/>
      <c r="E1109" s="34"/>
      <c r="F1109" s="62"/>
      <c r="G1109" s="37"/>
      <c r="H1109" s="64"/>
      <c r="I1109" s="40"/>
      <c r="J1109" s="40"/>
      <c r="K1109" s="33"/>
      <c r="L1109" s="33"/>
      <c r="M1109" s="38"/>
    </row>
    <row r="1110" spans="4:13" x14ac:dyDescent="0.25">
      <c r="D1110" s="34"/>
      <c r="E1110" s="34"/>
      <c r="F1110" s="62"/>
      <c r="G1110" s="37"/>
      <c r="H1110" s="64"/>
      <c r="I1110" s="40"/>
      <c r="J1110" s="40"/>
      <c r="K1110" s="33"/>
      <c r="L1110" s="33"/>
      <c r="M1110" s="38"/>
    </row>
    <row r="1111" spans="4:13" x14ac:dyDescent="0.25">
      <c r="D1111" s="34"/>
      <c r="E1111" s="34"/>
      <c r="F1111" s="62"/>
      <c r="G1111" s="37"/>
      <c r="H1111" s="64"/>
      <c r="I1111" s="40"/>
      <c r="J1111" s="40"/>
      <c r="K1111" s="33"/>
      <c r="L1111" s="33"/>
      <c r="M1111" s="38"/>
    </row>
    <row r="1112" spans="4:13" x14ac:dyDescent="0.25">
      <c r="D1112" s="34"/>
      <c r="E1112" s="34"/>
      <c r="F1112" s="62"/>
      <c r="G1112" s="37"/>
      <c r="H1112" s="64"/>
      <c r="I1112" s="40"/>
      <c r="J1112" s="40"/>
      <c r="K1112" s="33"/>
      <c r="L1112" s="33"/>
      <c r="M1112" s="38"/>
    </row>
    <row r="1113" spans="4:13" x14ac:dyDescent="0.25">
      <c r="D1113" s="34"/>
      <c r="E1113" s="34"/>
      <c r="F1113" s="62"/>
      <c r="G1113" s="37"/>
      <c r="H1113" s="64"/>
      <c r="I1113" s="40"/>
      <c r="J1113" s="40"/>
      <c r="K1113" s="33"/>
      <c r="L1113" s="33"/>
      <c r="M1113" s="38"/>
    </row>
    <row r="1114" spans="4:13" x14ac:dyDescent="0.25">
      <c r="D1114" s="34"/>
      <c r="E1114" s="34"/>
      <c r="F1114" s="62"/>
      <c r="G1114" s="37"/>
      <c r="H1114" s="64"/>
      <c r="I1114" s="40"/>
      <c r="J1114" s="40"/>
      <c r="K1114" s="33"/>
      <c r="L1114" s="33"/>
      <c r="M1114" s="38"/>
    </row>
    <row r="1115" spans="4:13" x14ac:dyDescent="0.25">
      <c r="D1115" s="34"/>
      <c r="E1115" s="34"/>
      <c r="F1115" s="62"/>
      <c r="G1115" s="37"/>
      <c r="H1115" s="64"/>
      <c r="I1115" s="40"/>
      <c r="J1115" s="40"/>
      <c r="K1115" s="33"/>
      <c r="L1115" s="33"/>
      <c r="M1115" s="38"/>
    </row>
    <row r="1116" spans="4:13" x14ac:dyDescent="0.25">
      <c r="D1116" s="34"/>
      <c r="E1116" s="34"/>
      <c r="F1116" s="62"/>
      <c r="G1116" s="37"/>
      <c r="H1116" s="64"/>
      <c r="I1116" s="40"/>
      <c r="J1116" s="40"/>
      <c r="K1116" s="33"/>
      <c r="L1116" s="33"/>
      <c r="M1116" s="38"/>
    </row>
    <row r="1117" spans="4:13" x14ac:dyDescent="0.25">
      <c r="D1117" s="34"/>
      <c r="E1117" s="34"/>
      <c r="F1117" s="62"/>
      <c r="G1117" s="37"/>
      <c r="H1117" s="64"/>
      <c r="I1117" s="40"/>
      <c r="J1117" s="40"/>
      <c r="K1117" s="33"/>
      <c r="L1117" s="33"/>
      <c r="M1117" s="38"/>
    </row>
    <row r="1118" spans="4:13" x14ac:dyDescent="0.25">
      <c r="D1118" s="34"/>
      <c r="E1118" s="34"/>
      <c r="F1118" s="62"/>
      <c r="G1118" s="37"/>
      <c r="H1118" s="64"/>
      <c r="I1118" s="40"/>
      <c r="J1118" s="40"/>
      <c r="K1118" s="33"/>
      <c r="L1118" s="33"/>
      <c r="M1118" s="38"/>
    </row>
    <row r="1119" spans="4:13" x14ac:dyDescent="0.25">
      <c r="D1119" s="34"/>
      <c r="E1119" s="34"/>
      <c r="F1119" s="62"/>
      <c r="G1119" s="37"/>
      <c r="H1119" s="64"/>
      <c r="I1119" s="40"/>
      <c r="J1119" s="40"/>
      <c r="K1119" s="33"/>
      <c r="L1119" s="33"/>
      <c r="M1119" s="38"/>
    </row>
    <row r="1120" spans="4:13" x14ac:dyDescent="0.25">
      <c r="D1120" s="34"/>
      <c r="E1120" s="34"/>
      <c r="F1120" s="62"/>
      <c r="G1120" s="37"/>
      <c r="H1120" s="64"/>
      <c r="I1120" s="40"/>
      <c r="J1120" s="40"/>
      <c r="K1120" s="33"/>
      <c r="L1120" s="33"/>
      <c r="M1120" s="38"/>
    </row>
    <row r="1121" spans="4:13" x14ac:dyDescent="0.25">
      <c r="D1121" s="34"/>
      <c r="E1121" s="34"/>
      <c r="F1121" s="62"/>
      <c r="G1121" s="37"/>
      <c r="H1121" s="64"/>
      <c r="I1121" s="40"/>
      <c r="J1121" s="40"/>
      <c r="K1121" s="33"/>
      <c r="L1121" s="33"/>
      <c r="M1121" s="38"/>
    </row>
    <row r="1122" spans="4:13" x14ac:dyDescent="0.25">
      <c r="D1122" s="34"/>
      <c r="E1122" s="34"/>
      <c r="F1122" s="62"/>
      <c r="G1122" s="37"/>
      <c r="H1122" s="64"/>
      <c r="I1122" s="40"/>
      <c r="J1122" s="40"/>
      <c r="K1122" s="33"/>
      <c r="L1122" s="33"/>
      <c r="M1122" s="38"/>
    </row>
    <row r="1123" spans="4:13" x14ac:dyDescent="0.25">
      <c r="D1123" s="34"/>
      <c r="E1123" s="34"/>
      <c r="F1123" s="62"/>
      <c r="G1123" s="37"/>
      <c r="H1123" s="64"/>
      <c r="I1123" s="40"/>
      <c r="J1123" s="40"/>
      <c r="K1123" s="33"/>
      <c r="L1123" s="33"/>
      <c r="M1123" s="38"/>
    </row>
    <row r="1124" spans="4:13" x14ac:dyDescent="0.25">
      <c r="D1124" s="34"/>
      <c r="E1124" s="34"/>
      <c r="F1124" s="62"/>
      <c r="G1124" s="37"/>
      <c r="H1124" s="64"/>
      <c r="I1124" s="40"/>
      <c r="J1124" s="40"/>
      <c r="K1124" s="33"/>
      <c r="L1124" s="33"/>
      <c r="M1124" s="38"/>
    </row>
    <row r="1125" spans="4:13" x14ac:dyDescent="0.25">
      <c r="D1125" s="34"/>
      <c r="E1125" s="34"/>
      <c r="F1125" s="62"/>
      <c r="G1125" s="37"/>
      <c r="H1125" s="64"/>
      <c r="I1125" s="40"/>
      <c r="J1125" s="40"/>
      <c r="K1125" s="33"/>
      <c r="L1125" s="33"/>
      <c r="M1125" s="38"/>
    </row>
    <row r="1126" spans="4:13" x14ac:dyDescent="0.25">
      <c r="D1126" s="34"/>
      <c r="E1126" s="34"/>
      <c r="F1126" s="62"/>
      <c r="G1126" s="37"/>
      <c r="H1126" s="64"/>
      <c r="I1126" s="40"/>
      <c r="J1126" s="40"/>
      <c r="K1126" s="33"/>
      <c r="L1126" s="33"/>
      <c r="M1126" s="38"/>
    </row>
    <row r="1127" spans="4:13" x14ac:dyDescent="0.25">
      <c r="D1127" s="34"/>
      <c r="E1127" s="34"/>
      <c r="F1127" s="62"/>
      <c r="G1127" s="37"/>
      <c r="H1127" s="64"/>
      <c r="I1127" s="40"/>
      <c r="J1127" s="40"/>
      <c r="K1127" s="33"/>
      <c r="L1127" s="33"/>
      <c r="M1127" s="38"/>
    </row>
    <row r="1128" spans="4:13" x14ac:dyDescent="0.25">
      <c r="D1128" s="34"/>
      <c r="E1128" s="34"/>
      <c r="F1128" s="62"/>
      <c r="G1128" s="37"/>
      <c r="H1128" s="64"/>
      <c r="I1128" s="40"/>
      <c r="J1128" s="40"/>
      <c r="K1128" s="33"/>
      <c r="L1128" s="33"/>
      <c r="M1128" s="38"/>
    </row>
    <row r="1129" spans="4:13" x14ac:dyDescent="0.25">
      <c r="D1129" s="34"/>
      <c r="E1129" s="34"/>
      <c r="F1129" s="62"/>
      <c r="G1129" s="37"/>
      <c r="H1129" s="64"/>
      <c r="I1129" s="40"/>
      <c r="J1129" s="40"/>
      <c r="K1129" s="33"/>
      <c r="L1129" s="33"/>
      <c r="M1129" s="38"/>
    </row>
    <row r="1130" spans="4:13" x14ac:dyDescent="0.25">
      <c r="D1130" s="34"/>
      <c r="E1130" s="34"/>
      <c r="F1130" s="62"/>
      <c r="G1130" s="37"/>
      <c r="H1130" s="64"/>
      <c r="I1130" s="40"/>
      <c r="J1130" s="40"/>
      <c r="K1130" s="33"/>
      <c r="L1130" s="33"/>
      <c r="M1130" s="38"/>
    </row>
    <row r="1131" spans="4:13" x14ac:dyDescent="0.25">
      <c r="D1131" s="34"/>
      <c r="E1131" s="34"/>
      <c r="F1131" s="62"/>
      <c r="G1131" s="37"/>
      <c r="H1131" s="64"/>
      <c r="I1131" s="40"/>
      <c r="J1131" s="40"/>
      <c r="K1131" s="33"/>
      <c r="L1131" s="33"/>
      <c r="M1131" s="38"/>
    </row>
    <row r="1132" spans="4:13" x14ac:dyDescent="0.25">
      <c r="D1132" s="34"/>
      <c r="E1132" s="34"/>
      <c r="F1132" s="62"/>
      <c r="G1132" s="37"/>
      <c r="H1132" s="64"/>
      <c r="I1132" s="40"/>
      <c r="J1132" s="40"/>
      <c r="K1132" s="33"/>
      <c r="L1132" s="33"/>
      <c r="M1132" s="38"/>
    </row>
    <row r="1133" spans="4:13" x14ac:dyDescent="0.25">
      <c r="D1133" s="34"/>
      <c r="E1133" s="34"/>
      <c r="F1133" s="62"/>
      <c r="G1133" s="37"/>
      <c r="H1133" s="64"/>
      <c r="I1133" s="40"/>
      <c r="J1133" s="40"/>
      <c r="K1133" s="33"/>
      <c r="L1133" s="33"/>
      <c r="M1133" s="38"/>
    </row>
    <row r="1134" spans="4:13" x14ac:dyDescent="0.25">
      <c r="D1134" s="34"/>
      <c r="E1134" s="34"/>
      <c r="F1134" s="62"/>
      <c r="G1134" s="37"/>
      <c r="H1134" s="64"/>
      <c r="I1134" s="40"/>
      <c r="J1134" s="40"/>
      <c r="K1134" s="33"/>
      <c r="L1134" s="33"/>
      <c r="M1134" s="38"/>
    </row>
    <row r="1135" spans="4:13" x14ac:dyDescent="0.25">
      <c r="D1135" s="34"/>
      <c r="E1135" s="34"/>
      <c r="F1135" s="62"/>
      <c r="G1135" s="37"/>
      <c r="H1135" s="64"/>
      <c r="I1135" s="40"/>
      <c r="J1135" s="40"/>
      <c r="K1135" s="33"/>
      <c r="L1135" s="33"/>
      <c r="M1135" s="38"/>
    </row>
    <row r="1136" spans="4:13" x14ac:dyDescent="0.25">
      <c r="D1136" s="34"/>
      <c r="E1136" s="34"/>
      <c r="F1136" s="62"/>
      <c r="G1136" s="37"/>
      <c r="H1136" s="64"/>
      <c r="I1136" s="40"/>
      <c r="J1136" s="40"/>
      <c r="K1136" s="33"/>
      <c r="L1136" s="33"/>
      <c r="M1136" s="38"/>
    </row>
    <row r="1137" spans="4:13" x14ac:dyDescent="0.25">
      <c r="D1137" s="34"/>
      <c r="E1137" s="34"/>
      <c r="F1137" s="62"/>
      <c r="G1137" s="37"/>
      <c r="H1137" s="64"/>
      <c r="I1137" s="40"/>
      <c r="J1137" s="40"/>
      <c r="K1137" s="33"/>
      <c r="L1137" s="33"/>
      <c r="M1137" s="38"/>
    </row>
    <row r="1138" spans="4:13" x14ac:dyDescent="0.25">
      <c r="D1138" s="34"/>
      <c r="E1138" s="34"/>
      <c r="F1138" s="62"/>
      <c r="G1138" s="37"/>
      <c r="H1138" s="64"/>
      <c r="I1138" s="40"/>
      <c r="J1138" s="40"/>
      <c r="K1138" s="33"/>
      <c r="L1138" s="33"/>
      <c r="M1138" s="38"/>
    </row>
    <row r="1139" spans="4:13" x14ac:dyDescent="0.25">
      <c r="D1139" s="34"/>
      <c r="E1139" s="34"/>
      <c r="F1139" s="62"/>
      <c r="G1139" s="37"/>
      <c r="H1139" s="64"/>
      <c r="I1139" s="40"/>
      <c r="J1139" s="40"/>
      <c r="K1139" s="33"/>
      <c r="L1139" s="33"/>
      <c r="M1139" s="38"/>
    </row>
    <row r="1140" spans="4:13" x14ac:dyDescent="0.25">
      <c r="D1140" s="34"/>
      <c r="E1140" s="34"/>
      <c r="F1140" s="62"/>
      <c r="G1140" s="37"/>
      <c r="H1140" s="64"/>
      <c r="I1140" s="40"/>
      <c r="J1140" s="40"/>
      <c r="K1140" s="33"/>
      <c r="L1140" s="33"/>
      <c r="M1140" s="38"/>
    </row>
    <row r="1141" spans="4:13" x14ac:dyDescent="0.25">
      <c r="D1141" s="34"/>
      <c r="E1141" s="34"/>
      <c r="F1141" s="62"/>
      <c r="G1141" s="37"/>
      <c r="H1141" s="64"/>
      <c r="I1141" s="40"/>
      <c r="J1141" s="40"/>
      <c r="K1141" s="33"/>
      <c r="L1141" s="33"/>
      <c r="M1141" s="38"/>
    </row>
    <row r="1142" spans="4:13" x14ac:dyDescent="0.25">
      <c r="D1142" s="34"/>
      <c r="E1142" s="34"/>
      <c r="F1142" s="62"/>
      <c r="G1142" s="37"/>
      <c r="H1142" s="64"/>
      <c r="I1142" s="40"/>
      <c r="J1142" s="40"/>
      <c r="K1142" s="33"/>
      <c r="L1142" s="33"/>
      <c r="M1142" s="38"/>
    </row>
    <row r="1143" spans="4:13" x14ac:dyDescent="0.25">
      <c r="D1143" s="34"/>
      <c r="E1143" s="34"/>
      <c r="F1143" s="62"/>
      <c r="G1143" s="37"/>
      <c r="H1143" s="64"/>
      <c r="I1143" s="40"/>
      <c r="J1143" s="40"/>
      <c r="K1143" s="33"/>
      <c r="L1143" s="33"/>
      <c r="M1143" s="38"/>
    </row>
    <row r="1144" spans="4:13" x14ac:dyDescent="0.25">
      <c r="D1144" s="34"/>
      <c r="E1144" s="34"/>
      <c r="F1144" s="62"/>
      <c r="G1144" s="37"/>
      <c r="H1144" s="64"/>
      <c r="I1144" s="40"/>
      <c r="J1144" s="40"/>
      <c r="K1144" s="33"/>
      <c r="L1144" s="33"/>
      <c r="M1144" s="38"/>
    </row>
    <row r="1145" spans="4:13" x14ac:dyDescent="0.25">
      <c r="D1145" s="34"/>
      <c r="E1145" s="34"/>
      <c r="F1145" s="62"/>
      <c r="G1145" s="37"/>
      <c r="H1145" s="64"/>
      <c r="I1145" s="40"/>
      <c r="J1145" s="40"/>
      <c r="K1145" s="33"/>
      <c r="L1145" s="33"/>
      <c r="M1145" s="38"/>
    </row>
    <row r="1146" spans="4:13" x14ac:dyDescent="0.25">
      <c r="D1146" s="34"/>
      <c r="E1146" s="34"/>
      <c r="F1146" s="62"/>
      <c r="G1146" s="37"/>
      <c r="H1146" s="64"/>
      <c r="I1146" s="40"/>
      <c r="J1146" s="40"/>
      <c r="K1146" s="33"/>
      <c r="L1146" s="33"/>
      <c r="M1146" s="38"/>
    </row>
    <row r="1147" spans="4:13" x14ac:dyDescent="0.25">
      <c r="D1147" s="34"/>
      <c r="E1147" s="34"/>
      <c r="F1147" s="62"/>
      <c r="G1147" s="37"/>
      <c r="H1147" s="64"/>
      <c r="I1147" s="40"/>
      <c r="J1147" s="40"/>
      <c r="K1147" s="33"/>
      <c r="L1147" s="33"/>
      <c r="M1147" s="38"/>
    </row>
    <row r="1148" spans="4:13" x14ac:dyDescent="0.25">
      <c r="D1148" s="34"/>
      <c r="E1148" s="34"/>
      <c r="F1148" s="62"/>
      <c r="G1148" s="37"/>
      <c r="H1148" s="64"/>
      <c r="I1148" s="40"/>
      <c r="J1148" s="40"/>
      <c r="K1148" s="33"/>
      <c r="L1148" s="33"/>
      <c r="M1148" s="38"/>
    </row>
    <row r="1149" spans="4:13" x14ac:dyDescent="0.25">
      <c r="D1149" s="34"/>
      <c r="E1149" s="34"/>
      <c r="F1149" s="62"/>
      <c r="G1149" s="37"/>
      <c r="H1149" s="64"/>
      <c r="I1149" s="40"/>
      <c r="J1149" s="40"/>
      <c r="K1149" s="33"/>
      <c r="L1149" s="33"/>
      <c r="M1149" s="38"/>
    </row>
    <row r="1150" spans="4:13" x14ac:dyDescent="0.25">
      <c r="D1150" s="34"/>
      <c r="E1150" s="34"/>
      <c r="F1150" s="62"/>
      <c r="G1150" s="37"/>
      <c r="H1150" s="64"/>
      <c r="I1150" s="40"/>
      <c r="J1150" s="40"/>
      <c r="K1150" s="33"/>
      <c r="L1150" s="33"/>
      <c r="M1150" s="38"/>
    </row>
    <row r="1151" spans="4:13" x14ac:dyDescent="0.25">
      <c r="D1151" s="34"/>
      <c r="E1151" s="34"/>
      <c r="F1151" s="62"/>
      <c r="G1151" s="37"/>
      <c r="H1151" s="64"/>
      <c r="I1151" s="40"/>
      <c r="J1151" s="40"/>
      <c r="K1151" s="33"/>
      <c r="L1151" s="33"/>
      <c r="M1151" s="38"/>
    </row>
    <row r="1152" spans="4:13" x14ac:dyDescent="0.25">
      <c r="D1152" s="34"/>
      <c r="E1152" s="34"/>
      <c r="F1152" s="62"/>
      <c r="G1152" s="37"/>
      <c r="H1152" s="64"/>
      <c r="I1152" s="40"/>
      <c r="J1152" s="40"/>
      <c r="K1152" s="33"/>
      <c r="L1152" s="33"/>
      <c r="M1152" s="38"/>
    </row>
    <row r="1153" spans="4:13" x14ac:dyDescent="0.25">
      <c r="D1153" s="34"/>
      <c r="E1153" s="34"/>
      <c r="F1153" s="62"/>
      <c r="G1153" s="37"/>
      <c r="H1153" s="64"/>
      <c r="I1153" s="40"/>
      <c r="J1153" s="40"/>
      <c r="K1153" s="33"/>
      <c r="L1153" s="33"/>
      <c r="M1153" s="38"/>
    </row>
    <row r="1154" spans="4:13" x14ac:dyDescent="0.25">
      <c r="D1154" s="34"/>
      <c r="E1154" s="34"/>
      <c r="F1154" s="62"/>
      <c r="G1154" s="37"/>
      <c r="H1154" s="64"/>
      <c r="I1154" s="40"/>
      <c r="J1154" s="40"/>
      <c r="K1154" s="33"/>
      <c r="L1154" s="33"/>
      <c r="M1154" s="38"/>
    </row>
    <row r="1155" spans="4:13" x14ac:dyDescent="0.25">
      <c r="D1155" s="34"/>
      <c r="E1155" s="34"/>
      <c r="F1155" s="62"/>
      <c r="G1155" s="37"/>
      <c r="H1155" s="64"/>
      <c r="I1155" s="40"/>
      <c r="J1155" s="40"/>
      <c r="K1155" s="33"/>
      <c r="L1155" s="33"/>
      <c r="M1155" s="38"/>
    </row>
    <row r="1156" spans="4:13" x14ac:dyDescent="0.25">
      <c r="D1156" s="34"/>
      <c r="E1156" s="34"/>
      <c r="F1156" s="62"/>
      <c r="G1156" s="37"/>
      <c r="H1156" s="64"/>
      <c r="I1156" s="40"/>
      <c r="J1156" s="40"/>
      <c r="K1156" s="33"/>
      <c r="L1156" s="33"/>
      <c r="M1156" s="38"/>
    </row>
    <row r="1157" spans="4:13" x14ac:dyDescent="0.25">
      <c r="D1157" s="34"/>
      <c r="E1157" s="34"/>
      <c r="F1157" s="62"/>
      <c r="G1157" s="37"/>
      <c r="H1157" s="64"/>
      <c r="I1157" s="40"/>
      <c r="J1157" s="40"/>
      <c r="K1157" s="33"/>
      <c r="L1157" s="33"/>
      <c r="M1157" s="38"/>
    </row>
    <row r="1158" spans="4:13" x14ac:dyDescent="0.25">
      <c r="D1158" s="34"/>
      <c r="E1158" s="34"/>
      <c r="F1158" s="62"/>
      <c r="G1158" s="37"/>
      <c r="H1158" s="64"/>
      <c r="I1158" s="40"/>
      <c r="J1158" s="40"/>
      <c r="K1158" s="33"/>
      <c r="L1158" s="33"/>
      <c r="M1158" s="38"/>
    </row>
    <row r="1159" spans="4:13" x14ac:dyDescent="0.25">
      <c r="D1159" s="34"/>
      <c r="E1159" s="34"/>
      <c r="F1159" s="62"/>
      <c r="G1159" s="37"/>
      <c r="H1159" s="64"/>
      <c r="I1159" s="40"/>
      <c r="J1159" s="40"/>
      <c r="K1159" s="33"/>
      <c r="L1159" s="33"/>
      <c r="M1159" s="38"/>
    </row>
    <row r="1160" spans="4:13" x14ac:dyDescent="0.25">
      <c r="D1160" s="34"/>
      <c r="E1160" s="34"/>
      <c r="F1160" s="62"/>
      <c r="G1160" s="37"/>
      <c r="H1160" s="64"/>
      <c r="I1160" s="40"/>
      <c r="J1160" s="40"/>
      <c r="K1160" s="33"/>
      <c r="L1160" s="33"/>
      <c r="M1160" s="38"/>
    </row>
    <row r="1161" spans="4:13" x14ac:dyDescent="0.25">
      <c r="D1161" s="34"/>
      <c r="E1161" s="34"/>
      <c r="F1161" s="62"/>
      <c r="G1161" s="37"/>
      <c r="H1161" s="64"/>
      <c r="I1161" s="40"/>
      <c r="J1161" s="40"/>
      <c r="K1161" s="33"/>
      <c r="L1161" s="33"/>
      <c r="M1161" s="38"/>
    </row>
    <row r="1162" spans="4:13" x14ac:dyDescent="0.25">
      <c r="D1162" s="34"/>
      <c r="E1162" s="34"/>
      <c r="F1162" s="62"/>
      <c r="G1162" s="37"/>
      <c r="H1162" s="64"/>
      <c r="I1162" s="40"/>
      <c r="J1162" s="40"/>
      <c r="K1162" s="33"/>
      <c r="L1162" s="33"/>
      <c r="M1162" s="38"/>
    </row>
    <row r="1163" spans="4:13" x14ac:dyDescent="0.25">
      <c r="D1163" s="34"/>
      <c r="E1163" s="34"/>
      <c r="F1163" s="62"/>
      <c r="G1163" s="37"/>
      <c r="H1163" s="64"/>
      <c r="I1163" s="40"/>
      <c r="J1163" s="40"/>
      <c r="K1163" s="33"/>
      <c r="L1163" s="33"/>
      <c r="M1163" s="38"/>
    </row>
    <row r="1164" spans="4:13" x14ac:dyDescent="0.25">
      <c r="D1164" s="34"/>
      <c r="E1164" s="34"/>
      <c r="F1164" s="62"/>
      <c r="G1164" s="37"/>
      <c r="H1164" s="64"/>
      <c r="I1164" s="40"/>
      <c r="J1164" s="40"/>
      <c r="K1164" s="33"/>
      <c r="L1164" s="33"/>
      <c r="M1164" s="38"/>
    </row>
    <row r="1165" spans="4:13" x14ac:dyDescent="0.25">
      <c r="D1165" s="34"/>
      <c r="E1165" s="34"/>
      <c r="F1165" s="62"/>
      <c r="G1165" s="37"/>
      <c r="H1165" s="64"/>
      <c r="I1165" s="40"/>
      <c r="J1165" s="40"/>
      <c r="K1165" s="33"/>
      <c r="L1165" s="33"/>
      <c r="M1165" s="38"/>
    </row>
    <row r="1166" spans="4:13" x14ac:dyDescent="0.25">
      <c r="D1166" s="34"/>
      <c r="E1166" s="34"/>
      <c r="F1166" s="62"/>
      <c r="G1166" s="37"/>
      <c r="H1166" s="64"/>
      <c r="I1166" s="40"/>
      <c r="J1166" s="40"/>
      <c r="K1166" s="33"/>
      <c r="L1166" s="33"/>
      <c r="M1166" s="38"/>
    </row>
    <row r="1167" spans="4:13" x14ac:dyDescent="0.25">
      <c r="D1167" s="34"/>
      <c r="E1167" s="34"/>
      <c r="F1167" s="62"/>
      <c r="G1167" s="37"/>
      <c r="H1167" s="64"/>
      <c r="I1167" s="40"/>
      <c r="J1167" s="40"/>
      <c r="K1167" s="33"/>
      <c r="L1167" s="33"/>
      <c r="M1167" s="38"/>
    </row>
    <row r="1168" spans="4:13" x14ac:dyDescent="0.25">
      <c r="D1168" s="34"/>
      <c r="E1168" s="34"/>
      <c r="F1168" s="62"/>
      <c r="G1168" s="37"/>
      <c r="H1168" s="64"/>
      <c r="I1168" s="40"/>
      <c r="J1168" s="40"/>
      <c r="K1168" s="33"/>
      <c r="L1168" s="33"/>
      <c r="M1168" s="38"/>
    </row>
    <row r="1169" spans="4:13" x14ac:dyDescent="0.25">
      <c r="D1169" s="34"/>
      <c r="E1169" s="34"/>
      <c r="F1169" s="62"/>
      <c r="G1169" s="37"/>
      <c r="H1169" s="64"/>
      <c r="I1169" s="40"/>
      <c r="J1169" s="40"/>
      <c r="K1169" s="33"/>
      <c r="L1169" s="33"/>
      <c r="M1169" s="38"/>
    </row>
    <row r="1170" spans="4:13" x14ac:dyDescent="0.25">
      <c r="D1170" s="34"/>
      <c r="E1170" s="34"/>
      <c r="F1170" s="62"/>
      <c r="G1170" s="37"/>
      <c r="H1170" s="64"/>
      <c r="I1170" s="40"/>
      <c r="J1170" s="40"/>
      <c r="K1170" s="33"/>
      <c r="L1170" s="33"/>
      <c r="M1170" s="38"/>
    </row>
    <row r="1171" spans="4:13" x14ac:dyDescent="0.25">
      <c r="D1171" s="34"/>
      <c r="E1171" s="34"/>
      <c r="F1171" s="62"/>
      <c r="G1171" s="37"/>
      <c r="H1171" s="64"/>
      <c r="I1171" s="40"/>
      <c r="J1171" s="40"/>
      <c r="K1171" s="33"/>
      <c r="L1171" s="33"/>
      <c r="M1171" s="38"/>
    </row>
    <row r="1172" spans="4:13" x14ac:dyDescent="0.25">
      <c r="D1172" s="34"/>
      <c r="E1172" s="34"/>
      <c r="F1172" s="62"/>
      <c r="G1172" s="37"/>
      <c r="H1172" s="64"/>
      <c r="I1172" s="40"/>
      <c r="J1172" s="40"/>
      <c r="K1172" s="33"/>
      <c r="L1172" s="33"/>
      <c r="M1172" s="38"/>
    </row>
    <row r="1173" spans="4:13" x14ac:dyDescent="0.25">
      <c r="D1173" s="34"/>
      <c r="E1173" s="34"/>
      <c r="F1173" s="62"/>
      <c r="G1173" s="37"/>
      <c r="H1173" s="64"/>
      <c r="I1173" s="40"/>
      <c r="J1173" s="40"/>
      <c r="K1173" s="33"/>
      <c r="L1173" s="33"/>
      <c r="M1173" s="38"/>
    </row>
    <row r="1174" spans="4:13" x14ac:dyDescent="0.25">
      <c r="D1174" s="34"/>
      <c r="E1174" s="34"/>
      <c r="F1174" s="62"/>
      <c r="G1174" s="37"/>
      <c r="H1174" s="64"/>
      <c r="I1174" s="40"/>
      <c r="J1174" s="40"/>
      <c r="K1174" s="33"/>
      <c r="L1174" s="33"/>
      <c r="M1174" s="38"/>
    </row>
    <row r="1175" spans="4:13" x14ac:dyDescent="0.25">
      <c r="D1175" s="34"/>
      <c r="E1175" s="34"/>
      <c r="F1175" s="62"/>
      <c r="G1175" s="37"/>
      <c r="H1175" s="64"/>
      <c r="I1175" s="40"/>
      <c r="J1175" s="40"/>
      <c r="K1175" s="33"/>
      <c r="L1175" s="33"/>
      <c r="M1175" s="38"/>
    </row>
    <row r="1176" spans="4:13" x14ac:dyDescent="0.25">
      <c r="D1176" s="34"/>
      <c r="E1176" s="34"/>
      <c r="F1176" s="62"/>
      <c r="G1176" s="37"/>
      <c r="H1176" s="64"/>
      <c r="I1176" s="40"/>
      <c r="J1176" s="40"/>
      <c r="K1176" s="33"/>
      <c r="L1176" s="33"/>
      <c r="M1176" s="38"/>
    </row>
    <row r="1177" spans="4:13" x14ac:dyDescent="0.25">
      <c r="D1177" s="34"/>
      <c r="E1177" s="34"/>
      <c r="F1177" s="62"/>
      <c r="G1177" s="37"/>
      <c r="H1177" s="64"/>
      <c r="I1177" s="40"/>
      <c r="J1177" s="40"/>
      <c r="K1177" s="33"/>
      <c r="L1177" s="33"/>
      <c r="M1177" s="38"/>
    </row>
    <row r="1178" spans="4:13" x14ac:dyDescent="0.25">
      <c r="D1178" s="34"/>
      <c r="E1178" s="34"/>
      <c r="F1178" s="62"/>
      <c r="G1178" s="37"/>
      <c r="H1178" s="64"/>
      <c r="I1178" s="40"/>
      <c r="J1178" s="40"/>
      <c r="K1178" s="33"/>
      <c r="L1178" s="33"/>
      <c r="M1178" s="38"/>
    </row>
    <row r="1179" spans="4:13" x14ac:dyDescent="0.25">
      <c r="D1179" s="34"/>
      <c r="E1179" s="34"/>
      <c r="F1179" s="62"/>
      <c r="G1179" s="37"/>
      <c r="H1179" s="64"/>
      <c r="I1179" s="40"/>
      <c r="J1179" s="40"/>
      <c r="K1179" s="33"/>
      <c r="L1179" s="33"/>
      <c r="M1179" s="38"/>
    </row>
    <row r="1180" spans="4:13" x14ac:dyDescent="0.25">
      <c r="D1180" s="34"/>
      <c r="E1180" s="34"/>
      <c r="F1180" s="62"/>
      <c r="G1180" s="37"/>
      <c r="H1180" s="64"/>
      <c r="I1180" s="40"/>
      <c r="J1180" s="40"/>
      <c r="K1180" s="33"/>
      <c r="L1180" s="33"/>
      <c r="M1180" s="38"/>
    </row>
    <row r="1181" spans="4:13" x14ac:dyDescent="0.25">
      <c r="D1181" s="34"/>
      <c r="E1181" s="34"/>
      <c r="F1181" s="62"/>
      <c r="G1181" s="37"/>
      <c r="H1181" s="64"/>
      <c r="I1181" s="40"/>
      <c r="J1181" s="40"/>
      <c r="K1181" s="33"/>
      <c r="L1181" s="33"/>
      <c r="M1181" s="38"/>
    </row>
    <row r="1182" spans="4:13" x14ac:dyDescent="0.25">
      <c r="D1182" s="34"/>
      <c r="E1182" s="34"/>
      <c r="F1182" s="62"/>
      <c r="G1182" s="37"/>
      <c r="H1182" s="64"/>
      <c r="I1182" s="40"/>
      <c r="J1182" s="40"/>
      <c r="K1182" s="33"/>
      <c r="L1182" s="33"/>
      <c r="M1182" s="38"/>
    </row>
    <row r="1183" spans="4:13" x14ac:dyDescent="0.25">
      <c r="D1183" s="34"/>
      <c r="E1183" s="34"/>
      <c r="F1183" s="62"/>
      <c r="G1183" s="37"/>
      <c r="H1183" s="64"/>
      <c r="I1183" s="40"/>
      <c r="J1183" s="40"/>
      <c r="K1183" s="33"/>
      <c r="L1183" s="33"/>
      <c r="M1183" s="38"/>
    </row>
    <row r="1184" spans="4:13" x14ac:dyDescent="0.25">
      <c r="D1184" s="34"/>
      <c r="E1184" s="34"/>
      <c r="F1184" s="62"/>
      <c r="G1184" s="37"/>
      <c r="H1184" s="64"/>
      <c r="I1184" s="40"/>
      <c r="J1184" s="40"/>
      <c r="K1184" s="33"/>
      <c r="L1184" s="33"/>
      <c r="M1184" s="38"/>
    </row>
    <row r="1185" spans="4:13" x14ac:dyDescent="0.25">
      <c r="D1185" s="34"/>
      <c r="E1185" s="34"/>
      <c r="F1185" s="62"/>
      <c r="G1185" s="37"/>
      <c r="H1185" s="64"/>
      <c r="I1185" s="40"/>
      <c r="J1185" s="40"/>
      <c r="K1185" s="33"/>
      <c r="L1185" s="33"/>
      <c r="M1185" s="38"/>
    </row>
    <row r="1186" spans="4:13" x14ac:dyDescent="0.25">
      <c r="D1186" s="34"/>
      <c r="E1186" s="34"/>
      <c r="F1186" s="62"/>
      <c r="G1186" s="37"/>
      <c r="H1186" s="64"/>
      <c r="I1186" s="40"/>
      <c r="J1186" s="40"/>
      <c r="K1186" s="33"/>
      <c r="L1186" s="33"/>
      <c r="M1186" s="38"/>
    </row>
    <row r="1187" spans="4:13" x14ac:dyDescent="0.25">
      <c r="D1187" s="34"/>
      <c r="E1187" s="34"/>
      <c r="F1187" s="62"/>
      <c r="G1187" s="37"/>
      <c r="H1187" s="64"/>
      <c r="I1187" s="40"/>
      <c r="J1187" s="40"/>
      <c r="K1187" s="33"/>
      <c r="L1187" s="33"/>
      <c r="M1187" s="38"/>
    </row>
    <row r="1188" spans="4:13" x14ac:dyDescent="0.25">
      <c r="D1188" s="34"/>
      <c r="E1188" s="34"/>
      <c r="F1188" s="62"/>
      <c r="G1188" s="37"/>
      <c r="H1188" s="64"/>
      <c r="I1188" s="40"/>
      <c r="J1188" s="40"/>
      <c r="K1188" s="33"/>
      <c r="L1188" s="33"/>
      <c r="M1188" s="38"/>
    </row>
    <row r="1189" spans="4:13" x14ac:dyDescent="0.25">
      <c r="D1189" s="34"/>
      <c r="E1189" s="34"/>
      <c r="F1189" s="62"/>
      <c r="G1189" s="37"/>
      <c r="H1189" s="64"/>
      <c r="I1189" s="40"/>
      <c r="J1189" s="40"/>
      <c r="K1189" s="33"/>
      <c r="L1189" s="33"/>
      <c r="M1189" s="38"/>
    </row>
    <row r="1190" spans="4:13" x14ac:dyDescent="0.25">
      <c r="D1190" s="34"/>
      <c r="E1190" s="34"/>
      <c r="F1190" s="62"/>
      <c r="G1190" s="37"/>
      <c r="H1190" s="64"/>
      <c r="I1190" s="40"/>
      <c r="J1190" s="40"/>
      <c r="K1190" s="33"/>
      <c r="L1190" s="33"/>
      <c r="M1190" s="38"/>
    </row>
    <row r="1191" spans="4:13" x14ac:dyDescent="0.25">
      <c r="D1191" s="34"/>
      <c r="E1191" s="34"/>
      <c r="F1191" s="62"/>
      <c r="G1191" s="37"/>
      <c r="H1191" s="64"/>
      <c r="I1191" s="40"/>
      <c r="J1191" s="40"/>
      <c r="K1191" s="33"/>
      <c r="L1191" s="33"/>
      <c r="M1191" s="38"/>
    </row>
    <row r="1192" spans="4:13" x14ac:dyDescent="0.25">
      <c r="D1192" s="34"/>
      <c r="E1192" s="34"/>
      <c r="F1192" s="62"/>
      <c r="G1192" s="37"/>
      <c r="H1192" s="64"/>
      <c r="I1192" s="40"/>
      <c r="J1192" s="40"/>
      <c r="K1192" s="33"/>
      <c r="L1192" s="33"/>
      <c r="M1192" s="38"/>
    </row>
    <row r="1193" spans="4:13" x14ac:dyDescent="0.25">
      <c r="D1193" s="34"/>
      <c r="E1193" s="34"/>
      <c r="F1193" s="62"/>
      <c r="G1193" s="37"/>
      <c r="H1193" s="64"/>
      <c r="I1193" s="40"/>
      <c r="J1193" s="40"/>
      <c r="K1193" s="33"/>
      <c r="L1193" s="33"/>
      <c r="M1193" s="38"/>
    </row>
    <row r="1194" spans="4:13" x14ac:dyDescent="0.25">
      <c r="D1194" s="34"/>
      <c r="E1194" s="34"/>
      <c r="F1194" s="62"/>
      <c r="G1194" s="37"/>
      <c r="H1194" s="64"/>
      <c r="I1194" s="40"/>
      <c r="J1194" s="40"/>
      <c r="K1194" s="33"/>
      <c r="L1194" s="33"/>
      <c r="M1194" s="38"/>
    </row>
    <row r="1195" spans="4:13" x14ac:dyDescent="0.25">
      <c r="D1195" s="34"/>
      <c r="E1195" s="34"/>
      <c r="F1195" s="62"/>
      <c r="G1195" s="37"/>
      <c r="H1195" s="64"/>
      <c r="I1195" s="40"/>
      <c r="J1195" s="40"/>
      <c r="K1195" s="33"/>
      <c r="L1195" s="33"/>
      <c r="M1195" s="38"/>
    </row>
    <row r="1196" spans="4:13" x14ac:dyDescent="0.25">
      <c r="D1196" s="34"/>
      <c r="E1196" s="34"/>
      <c r="F1196" s="62"/>
      <c r="G1196" s="37"/>
      <c r="H1196" s="64"/>
      <c r="I1196" s="40"/>
      <c r="J1196" s="40"/>
      <c r="K1196" s="33"/>
      <c r="L1196" s="33"/>
      <c r="M1196" s="38"/>
    </row>
    <row r="1197" spans="4:13" x14ac:dyDescent="0.25">
      <c r="D1197" s="34"/>
      <c r="E1197" s="34"/>
      <c r="F1197" s="62"/>
      <c r="G1197" s="37"/>
      <c r="H1197" s="64"/>
      <c r="I1197" s="40"/>
      <c r="J1197" s="40"/>
      <c r="K1197" s="33"/>
      <c r="L1197" s="33"/>
      <c r="M1197" s="38"/>
    </row>
  </sheetData>
  <mergeCells count="10">
    <mergeCell ref="B3:C3"/>
    <mergeCell ref="B4:C4"/>
    <mergeCell ref="A6:C7"/>
    <mergeCell ref="A8:C9"/>
    <mergeCell ref="A10:C11"/>
    <mergeCell ref="A12:C13"/>
    <mergeCell ref="A14:C15"/>
    <mergeCell ref="A16:C17"/>
    <mergeCell ref="A18:C19"/>
    <mergeCell ref="A20:C21"/>
  </mergeCells>
  <conditionalFormatting sqref="N2:N433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37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104775</xdr:rowOff>
              </from>
              <to>
                <xdr:col>2</xdr:col>
                <xdr:colOff>485775</xdr:colOff>
                <xdr:row>0</xdr:row>
                <xdr:rowOff>485775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rgb="FFFFFF00"/>
  </sheetPr>
  <dimension ref="A1:AF707"/>
  <sheetViews>
    <sheetView zoomScaleNormal="100" zoomScalePageLayoutView="115" workbookViewId="0">
      <selection activeCell="U15" sqref="U15"/>
    </sheetView>
  </sheetViews>
  <sheetFormatPr defaultRowHeight="15" x14ac:dyDescent="0.25"/>
  <cols>
    <col min="1" max="9" width="5.42578125" customWidth="1"/>
    <col min="10" max="10" width="10" customWidth="1"/>
    <col min="11" max="16" width="5.42578125" customWidth="1"/>
    <col min="17" max="17" width="4.85546875" customWidth="1"/>
    <col min="21" max="21" width="16.7109375" customWidth="1"/>
    <col min="22" max="22" width="6.7109375" style="19" customWidth="1"/>
    <col min="23" max="23" width="29.28515625" style="19" customWidth="1"/>
    <col min="24" max="24" width="16.5703125" style="19" customWidth="1"/>
    <col min="25" max="25" width="10" style="19" customWidth="1"/>
    <col min="26" max="26" width="7.5703125" style="19" customWidth="1"/>
    <col min="27" max="27" width="8.85546875" style="19" customWidth="1"/>
    <col min="28" max="28" width="12" style="19" customWidth="1"/>
    <col min="29" max="29" width="9.5703125" style="19" customWidth="1"/>
    <col min="30" max="30" width="10.5703125" style="19" customWidth="1"/>
    <col min="31" max="32" width="12" style="19" customWidth="1"/>
    <col min="33" max="33" width="8.5703125" customWidth="1"/>
    <col min="34" max="34" width="14.7109375" customWidth="1"/>
    <col min="35" max="35" width="21" customWidth="1"/>
    <col min="36" max="36" width="8.7109375" customWidth="1"/>
    <col min="37" max="37" width="23.42578125" customWidth="1"/>
    <col min="38" max="38" width="9.28515625" customWidth="1"/>
    <col min="39" max="39" width="10.28515625" customWidth="1"/>
    <col min="40" max="40" width="9.85546875" customWidth="1"/>
    <col min="41" max="41" width="9.7109375" customWidth="1"/>
    <col min="42" max="42" width="9.28515625" customWidth="1"/>
    <col min="43" max="43" width="10.7109375" customWidth="1"/>
    <col min="45" max="45" width="26.85546875" customWidth="1"/>
    <col min="46" max="46" width="12.5703125" customWidth="1"/>
    <col min="47" max="47" width="35" customWidth="1"/>
    <col min="48" max="48" width="15.5703125" customWidth="1"/>
    <col min="49" max="49" width="16.28515625" customWidth="1"/>
    <col min="50" max="50" width="15.28515625" customWidth="1"/>
  </cols>
  <sheetData>
    <row r="1" spans="1:32" ht="15" customHeight="1" x14ac:dyDescent="0.25">
      <c r="A1" s="115" t="str">
        <f>"RELATÓRIO REFERENTE AO MÊS DE "&amp;ENTRADAS!$A$4</f>
        <v>RELATÓRIO REFERENTE AO MÊS DE OUTUBRO / 2017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56"/>
      <c r="S1" s="56"/>
      <c r="T1" s="56"/>
      <c r="U1" s="56"/>
    </row>
    <row r="2" spans="1:32" ht="15" customHeight="1" x14ac:dyDescent="0.25">
      <c r="A2" s="115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56"/>
      <c r="S2" s="56"/>
      <c r="T2" s="56"/>
      <c r="U2" s="56"/>
    </row>
    <row r="3" spans="1:32" ht="28.5" customHeight="1" x14ac:dyDescent="0.25">
      <c r="A3" s="116" t="s">
        <v>75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56"/>
      <c r="S3" s="56"/>
      <c r="T3" s="56"/>
      <c r="U3" s="56"/>
    </row>
    <row r="4" spans="1:32" ht="28.5" customHeight="1" x14ac:dyDescent="0.25">
      <c r="A4" s="117" t="s">
        <v>33</v>
      </c>
      <c r="B4" s="117"/>
      <c r="C4" s="117"/>
      <c r="D4" s="117"/>
      <c r="E4" s="117"/>
      <c r="F4" s="117" t="s">
        <v>410</v>
      </c>
      <c r="G4" s="117"/>
      <c r="H4" s="117"/>
      <c r="I4" s="117" t="s">
        <v>411</v>
      </c>
      <c r="J4" s="117"/>
      <c r="K4" s="32"/>
      <c r="L4" s="32"/>
      <c r="M4" s="32"/>
      <c r="N4" s="32"/>
      <c r="O4" s="32"/>
      <c r="P4" s="32"/>
      <c r="Q4" s="32"/>
      <c r="R4" s="56"/>
      <c r="S4" s="56"/>
      <c r="T4" s="56"/>
      <c r="U4" s="56"/>
    </row>
    <row r="5" spans="1:32" s="56" customFormat="1" ht="11.25" customHeight="1" x14ac:dyDescent="0.2">
      <c r="A5" s="118" t="s">
        <v>67</v>
      </c>
      <c r="B5" s="118"/>
      <c r="C5" s="118"/>
      <c r="D5" s="118"/>
      <c r="E5" s="118"/>
      <c r="F5" s="113">
        <f>SUMIF(SAÍDAS!$F:$F,CONFIGS!$A$17,SAÍDAS!$L:$L)</f>
        <v>3480</v>
      </c>
      <c r="G5" s="113"/>
      <c r="H5" s="113"/>
      <c r="I5" s="114">
        <f>F5/SUM($F$5:$H$44)</f>
        <v>0.22074929160410514</v>
      </c>
      <c r="J5" s="114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</row>
    <row r="6" spans="1:32" s="56" customFormat="1" ht="11.25" customHeight="1" x14ac:dyDescent="0.2">
      <c r="A6" s="118"/>
      <c r="B6" s="118"/>
      <c r="C6" s="118"/>
      <c r="D6" s="118"/>
      <c r="E6" s="118"/>
      <c r="F6" s="113"/>
      <c r="G6" s="113"/>
      <c r="H6" s="113"/>
      <c r="I6" s="114"/>
      <c r="J6" s="114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</row>
    <row r="7" spans="1:32" s="56" customFormat="1" ht="11.25" customHeight="1" x14ac:dyDescent="0.2">
      <c r="A7" s="118" t="s">
        <v>68</v>
      </c>
      <c r="B7" s="118"/>
      <c r="C7" s="118"/>
      <c r="D7" s="118"/>
      <c r="E7" s="118"/>
      <c r="F7" s="113">
        <f>SUMIF(SAÍDAS!$F:$F,CONFIGS!$A$3,SAÍDAS!$L:$L)</f>
        <v>400</v>
      </c>
      <c r="G7" s="113"/>
      <c r="H7" s="113"/>
      <c r="I7" s="114">
        <f>F7/SUM($F$5:$H$44)</f>
        <v>2.5373481793575306E-2</v>
      </c>
      <c r="J7" s="114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</row>
    <row r="8" spans="1:32" s="56" customFormat="1" ht="11.25" customHeight="1" x14ac:dyDescent="0.2">
      <c r="A8" s="118"/>
      <c r="B8" s="118"/>
      <c r="C8" s="118"/>
      <c r="D8" s="118"/>
      <c r="E8" s="118"/>
      <c r="F8" s="113"/>
      <c r="G8" s="113"/>
      <c r="H8" s="113"/>
      <c r="I8" s="114"/>
      <c r="J8" s="114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</row>
    <row r="9" spans="1:32" s="56" customFormat="1" ht="11.25" customHeight="1" x14ac:dyDescent="0.2">
      <c r="A9" s="118" t="s">
        <v>23</v>
      </c>
      <c r="B9" s="118"/>
      <c r="C9" s="118"/>
      <c r="D9" s="118"/>
      <c r="E9" s="118"/>
      <c r="F9" s="113">
        <f>SUMIF(SAÍDAS!$F:$F,CONFIGS!$A$4,SAÍDAS!$L:$L)</f>
        <v>407.52</v>
      </c>
      <c r="G9" s="113"/>
      <c r="H9" s="113"/>
      <c r="I9" s="114">
        <f>F9/SUM($F$5:$H$44)</f>
        <v>2.585050325129452E-2</v>
      </c>
      <c r="J9" s="114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</row>
    <row r="10" spans="1:32" s="56" customFormat="1" ht="11.25" customHeight="1" x14ac:dyDescent="0.2">
      <c r="A10" s="118"/>
      <c r="B10" s="118"/>
      <c r="C10" s="118"/>
      <c r="D10" s="118"/>
      <c r="E10" s="118"/>
      <c r="F10" s="113"/>
      <c r="G10" s="113"/>
      <c r="H10" s="113"/>
      <c r="I10" s="114"/>
      <c r="J10" s="114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</row>
    <row r="11" spans="1:32" s="56" customFormat="1" ht="11.25" customHeight="1" x14ac:dyDescent="0.2">
      <c r="A11" s="118" t="s">
        <v>22</v>
      </c>
      <c r="B11" s="118"/>
      <c r="C11" s="118"/>
      <c r="D11" s="118"/>
      <c r="E11" s="118"/>
      <c r="F11" s="113">
        <f>SUMIF(SAÍDAS!$F:$F,CONFIGS!$A$5,SAÍDAS!$L:$L)</f>
        <v>65.650000000000006</v>
      </c>
      <c r="G11" s="113"/>
      <c r="H11" s="113"/>
      <c r="I11" s="114">
        <f>F11/SUM($F$5:$H$44)</f>
        <v>4.1644226993705477E-3</v>
      </c>
      <c r="J11" s="114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</row>
    <row r="12" spans="1:32" s="56" customFormat="1" ht="11.25" customHeight="1" x14ac:dyDescent="0.2">
      <c r="A12" s="118"/>
      <c r="B12" s="118"/>
      <c r="C12" s="118"/>
      <c r="D12" s="118"/>
      <c r="E12" s="118"/>
      <c r="F12" s="113"/>
      <c r="G12" s="113"/>
      <c r="H12" s="113"/>
      <c r="I12" s="114"/>
      <c r="J12" s="114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</row>
    <row r="13" spans="1:32" s="56" customFormat="1" ht="11.25" customHeight="1" x14ac:dyDescent="0.2">
      <c r="A13" s="118" t="s">
        <v>69</v>
      </c>
      <c r="B13" s="118"/>
      <c r="C13" s="118"/>
      <c r="D13" s="118"/>
      <c r="E13" s="118"/>
      <c r="F13" s="113">
        <f>SUMIF(SAÍDAS!$F:$F,CONFIGS!$A$6,SAÍDAS!$L:$L)</f>
        <v>520</v>
      </c>
      <c r="G13" s="113"/>
      <c r="H13" s="113"/>
      <c r="I13" s="114">
        <f>F13/SUM($F$5:$H$44)</f>
        <v>3.2985526331647898E-2</v>
      </c>
      <c r="J13" s="114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</row>
    <row r="14" spans="1:32" s="56" customFormat="1" ht="11.25" customHeight="1" x14ac:dyDescent="0.2">
      <c r="A14" s="118"/>
      <c r="B14" s="118"/>
      <c r="C14" s="118"/>
      <c r="D14" s="118"/>
      <c r="E14" s="118"/>
      <c r="F14" s="113"/>
      <c r="G14" s="113"/>
      <c r="H14" s="113"/>
      <c r="I14" s="114"/>
      <c r="J14" s="114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</row>
    <row r="15" spans="1:32" s="56" customFormat="1" ht="11.25" customHeight="1" x14ac:dyDescent="0.2">
      <c r="A15" s="118" t="s">
        <v>24</v>
      </c>
      <c r="B15" s="118"/>
      <c r="C15" s="118"/>
      <c r="D15" s="118"/>
      <c r="E15" s="118"/>
      <c r="F15" s="113">
        <f>SUMIF(SAÍDAS!$F:$F,CONFIGS!$A$7,SAÍDAS!$L:$L)</f>
        <v>380</v>
      </c>
      <c r="G15" s="113"/>
      <c r="H15" s="113"/>
      <c r="I15" s="114">
        <f>F15/SUM($F$5:$H$44)</f>
        <v>2.4104807703896541E-2</v>
      </c>
      <c r="J15" s="114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</row>
    <row r="16" spans="1:32" s="56" customFormat="1" ht="11.25" customHeight="1" x14ac:dyDescent="0.2">
      <c r="A16" s="118"/>
      <c r="B16" s="118"/>
      <c r="C16" s="118"/>
      <c r="D16" s="118"/>
      <c r="E16" s="118"/>
      <c r="F16" s="113"/>
      <c r="G16" s="113"/>
      <c r="H16" s="113"/>
      <c r="I16" s="114"/>
      <c r="J16" s="114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</row>
    <row r="17" spans="1:32" s="56" customFormat="1" ht="11.25" customHeight="1" x14ac:dyDescent="0.2">
      <c r="A17" s="118" t="s">
        <v>70</v>
      </c>
      <c r="B17" s="118"/>
      <c r="C17" s="118"/>
      <c r="D17" s="118"/>
      <c r="E17" s="118"/>
      <c r="F17" s="113">
        <f>SUMIF(SAÍDAS!$F:$F,CONFIGS!$A$8,SAÍDAS!$L:$L)</f>
        <v>919</v>
      </c>
      <c r="G17" s="113"/>
      <c r="H17" s="113"/>
      <c r="I17" s="114">
        <f>F17/SUM($F$5:$H$44)</f>
        <v>5.8295574420739266E-2</v>
      </c>
      <c r="J17" s="114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</row>
    <row r="18" spans="1:32" s="56" customFormat="1" ht="11.25" customHeight="1" x14ac:dyDescent="0.2">
      <c r="A18" s="118"/>
      <c r="B18" s="118"/>
      <c r="C18" s="118"/>
      <c r="D18" s="118"/>
      <c r="E18" s="118"/>
      <c r="F18" s="113"/>
      <c r="G18" s="113"/>
      <c r="H18" s="113"/>
      <c r="I18" s="114"/>
      <c r="J18" s="114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</row>
    <row r="19" spans="1:32" s="56" customFormat="1" ht="11.25" customHeight="1" x14ac:dyDescent="0.2">
      <c r="A19" s="118" t="s">
        <v>30</v>
      </c>
      <c r="B19" s="118"/>
      <c r="C19" s="118"/>
      <c r="D19" s="118"/>
      <c r="E19" s="118"/>
      <c r="F19" s="113">
        <f>SUMIF(SAÍDAS!$F:$F,CONFIGS!$A$9,SAÍDAS!L:L)</f>
        <v>645.45000000000005</v>
      </c>
      <c r="G19" s="113"/>
      <c r="H19" s="113"/>
      <c r="I19" s="114">
        <f>F19/SUM($F$5:$H$44)</f>
        <v>4.0943284559157953E-2</v>
      </c>
      <c r="J19" s="114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</row>
    <row r="20" spans="1:32" s="56" customFormat="1" ht="11.25" customHeight="1" x14ac:dyDescent="0.2">
      <c r="A20" s="118"/>
      <c r="B20" s="118"/>
      <c r="C20" s="118"/>
      <c r="D20" s="118"/>
      <c r="E20" s="118"/>
      <c r="F20" s="113"/>
      <c r="G20" s="113"/>
      <c r="H20" s="113"/>
      <c r="I20" s="114"/>
      <c r="J20" s="114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</row>
    <row r="21" spans="1:32" s="56" customFormat="1" ht="11.25" customHeight="1" x14ac:dyDescent="0.2">
      <c r="A21" s="118" t="s">
        <v>409</v>
      </c>
      <c r="B21" s="118"/>
      <c r="C21" s="118"/>
      <c r="D21" s="118"/>
      <c r="E21" s="118"/>
      <c r="F21" s="113">
        <f>SUMIF(SAÍDAS!$F:$F,CONFIGS!$A$10,SAÍDAS!L:L)</f>
        <v>0</v>
      </c>
      <c r="G21" s="113"/>
      <c r="H21" s="113"/>
      <c r="I21" s="114">
        <f>F21/SUM($F$5:$H$44)</f>
        <v>0</v>
      </c>
      <c r="J21" s="114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</row>
    <row r="22" spans="1:32" s="56" customFormat="1" ht="11.25" customHeight="1" x14ac:dyDescent="0.2">
      <c r="A22" s="118"/>
      <c r="B22" s="118"/>
      <c r="C22" s="118"/>
      <c r="D22" s="118"/>
      <c r="E22" s="118"/>
      <c r="F22" s="113"/>
      <c r="G22" s="113"/>
      <c r="H22" s="113"/>
      <c r="I22" s="114"/>
      <c r="J22" s="114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</row>
    <row r="23" spans="1:32" s="56" customFormat="1" ht="11.25" customHeight="1" x14ac:dyDescent="0.2">
      <c r="A23" s="118" t="s">
        <v>31</v>
      </c>
      <c r="B23" s="118"/>
      <c r="C23" s="118"/>
      <c r="D23" s="118"/>
      <c r="E23" s="118"/>
      <c r="F23" s="113">
        <f>SUMIF(SAÍDAS!F:F,CONFIGS!A11,SAÍDAS!L:L)</f>
        <v>48</v>
      </c>
      <c r="G23" s="113"/>
      <c r="H23" s="113"/>
      <c r="I23" s="114">
        <f>F23/SUM($F$5:$H$44)</f>
        <v>3.0448178152290366E-3</v>
      </c>
      <c r="J23" s="114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</row>
    <row r="24" spans="1:32" s="56" customFormat="1" ht="11.25" customHeight="1" x14ac:dyDescent="0.2">
      <c r="A24" s="118"/>
      <c r="B24" s="118"/>
      <c r="C24" s="118"/>
      <c r="D24" s="118"/>
      <c r="E24" s="118"/>
      <c r="F24" s="113"/>
      <c r="G24" s="113"/>
      <c r="H24" s="113"/>
      <c r="I24" s="114"/>
      <c r="J24" s="114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</row>
    <row r="25" spans="1:32" s="56" customFormat="1" ht="11.25" customHeight="1" x14ac:dyDescent="0.2">
      <c r="A25" s="118" t="s">
        <v>25</v>
      </c>
      <c r="B25" s="118"/>
      <c r="C25" s="118"/>
      <c r="D25" s="118"/>
      <c r="E25" s="118"/>
      <c r="F25" s="113">
        <f>SUMIF(SAÍDAS!F:F,CONFIGS!A12,SAÍDAS!L:L)</f>
        <v>158.68</v>
      </c>
      <c r="G25" s="113"/>
      <c r="H25" s="113"/>
      <c r="I25" s="114">
        <f>F25/SUM($F$5:$H$44)</f>
        <v>1.0065660227511325E-2</v>
      </c>
      <c r="J25" s="114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</row>
    <row r="26" spans="1:32" s="56" customFormat="1" ht="11.25" customHeight="1" x14ac:dyDescent="0.2">
      <c r="A26" s="118"/>
      <c r="B26" s="118"/>
      <c r="C26" s="118"/>
      <c r="D26" s="118"/>
      <c r="E26" s="118"/>
      <c r="F26" s="113"/>
      <c r="G26" s="113"/>
      <c r="H26" s="113"/>
      <c r="I26" s="114"/>
      <c r="J26" s="114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</row>
    <row r="27" spans="1:32" s="56" customFormat="1" ht="11.25" customHeight="1" x14ac:dyDescent="0.2">
      <c r="A27" s="118" t="s">
        <v>71</v>
      </c>
      <c r="B27" s="118"/>
      <c r="C27" s="118"/>
      <c r="D27" s="118"/>
      <c r="E27" s="118"/>
      <c r="F27" s="113">
        <f>SUMIF(SAÍDAS!F:F,CONFIGS!A13,SAÍDAS!L:L)</f>
        <v>1077.75</v>
      </c>
      <c r="G27" s="113"/>
      <c r="H27" s="113"/>
      <c r="I27" s="114">
        <f>F27/SUM($F$5:$H$44)</f>
        <v>6.8365675007564464E-2</v>
      </c>
      <c r="J27" s="114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</row>
    <row r="28" spans="1:32" s="56" customFormat="1" ht="11.25" customHeight="1" x14ac:dyDescent="0.2">
      <c r="A28" s="118"/>
      <c r="B28" s="118"/>
      <c r="C28" s="118"/>
      <c r="D28" s="118"/>
      <c r="E28" s="118"/>
      <c r="F28" s="113"/>
      <c r="G28" s="113"/>
      <c r="H28" s="113"/>
      <c r="I28" s="114"/>
      <c r="J28" s="114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</row>
    <row r="29" spans="1:32" s="56" customFormat="1" ht="11.25" customHeight="1" x14ac:dyDescent="0.2">
      <c r="A29" s="118" t="s">
        <v>15</v>
      </c>
      <c r="B29" s="118"/>
      <c r="C29" s="118"/>
      <c r="D29" s="118"/>
      <c r="E29" s="118"/>
      <c r="F29" s="113">
        <f>SUMIF(SAÍDAS!F:F,CONFIGS!A2,SAÍDAS!L:L)</f>
        <v>45.8</v>
      </c>
      <c r="G29" s="113"/>
      <c r="H29" s="113"/>
      <c r="I29" s="114">
        <f>F29/SUM($F$5:$H$44)</f>
        <v>2.905263665364372E-3</v>
      </c>
      <c r="J29" s="114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</row>
    <row r="30" spans="1:32" s="56" customFormat="1" ht="11.25" customHeight="1" x14ac:dyDescent="0.2">
      <c r="A30" s="118"/>
      <c r="B30" s="118"/>
      <c r="C30" s="118"/>
      <c r="D30" s="118"/>
      <c r="E30" s="118"/>
      <c r="F30" s="113"/>
      <c r="G30" s="113"/>
      <c r="H30" s="113"/>
      <c r="I30" s="114"/>
      <c r="J30" s="114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</row>
    <row r="31" spans="1:32" s="56" customFormat="1" ht="11.25" customHeight="1" x14ac:dyDescent="0.2">
      <c r="A31" s="118" t="s">
        <v>26</v>
      </c>
      <c r="B31" s="118"/>
      <c r="C31" s="118"/>
      <c r="D31" s="118"/>
      <c r="E31" s="118"/>
      <c r="F31" s="113">
        <f>SUMIF(SAÍDAS!F:F,CONFIGS!A14,SAÍDAS!L:L)</f>
        <v>800</v>
      </c>
      <c r="G31" s="113"/>
      <c r="H31" s="113"/>
      <c r="I31" s="114">
        <f>F31/SUM($F$5:$H$44)</f>
        <v>5.0746963587150612E-2</v>
      </c>
      <c r="J31" s="114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</row>
    <row r="32" spans="1:32" s="56" customFormat="1" ht="11.25" customHeight="1" x14ac:dyDescent="0.2">
      <c r="A32" s="118"/>
      <c r="B32" s="118"/>
      <c r="C32" s="118"/>
      <c r="D32" s="118"/>
      <c r="E32" s="118"/>
      <c r="F32" s="113"/>
      <c r="G32" s="113"/>
      <c r="H32" s="113"/>
      <c r="I32" s="114"/>
      <c r="J32" s="114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</row>
    <row r="33" spans="1:32" s="56" customFormat="1" ht="11.25" customHeight="1" x14ac:dyDescent="0.2">
      <c r="A33" s="119" t="s">
        <v>20</v>
      </c>
      <c r="B33" s="119"/>
      <c r="C33" s="119"/>
      <c r="D33" s="119"/>
      <c r="E33" s="119"/>
      <c r="F33" s="113">
        <f>SUMIF(SAÍDAS!F:F,CONFIGS!A16,SAÍDAS!L:L)</f>
        <v>1400</v>
      </c>
      <c r="G33" s="113"/>
      <c r="H33" s="113"/>
      <c r="I33" s="114">
        <f>F33/SUM($F$5:$H$44)</f>
        <v>8.8807186277513564E-2</v>
      </c>
      <c r="J33" s="114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</row>
    <row r="34" spans="1:32" s="56" customFormat="1" ht="11.25" customHeight="1" x14ac:dyDescent="0.2">
      <c r="A34" s="119"/>
      <c r="B34" s="119"/>
      <c r="C34" s="119"/>
      <c r="D34" s="119"/>
      <c r="E34" s="119"/>
      <c r="F34" s="113"/>
      <c r="G34" s="113"/>
      <c r="H34" s="113"/>
      <c r="I34" s="114"/>
      <c r="J34" s="114"/>
      <c r="V34" s="57"/>
      <c r="Y34" s="58"/>
      <c r="Z34" s="58"/>
      <c r="AA34" s="58"/>
      <c r="AB34" s="57"/>
      <c r="AC34" s="57"/>
      <c r="AD34" s="59"/>
      <c r="AE34" s="59"/>
      <c r="AF34" s="58"/>
    </row>
    <row r="35" spans="1:32" s="56" customFormat="1" ht="11.25" customHeight="1" x14ac:dyDescent="0.2">
      <c r="A35" s="118" t="s">
        <v>54</v>
      </c>
      <c r="B35" s="118"/>
      <c r="C35" s="118"/>
      <c r="D35" s="118"/>
      <c r="E35" s="118"/>
      <c r="F35" s="113">
        <f>SUMIF(SAÍDAS!F:F,CONFIGS!A18,SAÍDAS!L:L)</f>
        <v>320</v>
      </c>
      <c r="G35" s="113"/>
      <c r="H35" s="113"/>
      <c r="I35" s="114">
        <f>F35/SUM($F$5:$H$44)</f>
        <v>2.0298785434860245E-2</v>
      </c>
      <c r="J35" s="114"/>
      <c r="V35" s="57"/>
      <c r="Y35" s="58"/>
      <c r="Z35" s="58"/>
      <c r="AA35" s="58"/>
      <c r="AB35" s="57"/>
      <c r="AC35" s="57"/>
      <c r="AD35" s="59"/>
      <c r="AE35" s="59"/>
      <c r="AF35" s="58"/>
    </row>
    <row r="36" spans="1:32" s="56" customFormat="1" ht="11.25" customHeight="1" x14ac:dyDescent="0.2">
      <c r="A36" s="118"/>
      <c r="B36" s="118"/>
      <c r="C36" s="118"/>
      <c r="D36" s="118"/>
      <c r="E36" s="118"/>
      <c r="F36" s="113"/>
      <c r="G36" s="113"/>
      <c r="H36" s="113"/>
      <c r="I36" s="114"/>
      <c r="J36" s="114"/>
      <c r="V36" s="57"/>
      <c r="Y36" s="58"/>
      <c r="Z36" s="58"/>
      <c r="AA36" s="58"/>
      <c r="AB36" s="57"/>
      <c r="AC36" s="57"/>
      <c r="AD36" s="59"/>
      <c r="AE36" s="59"/>
      <c r="AF36" s="58"/>
    </row>
    <row r="37" spans="1:32" s="56" customFormat="1" ht="11.25" customHeight="1" x14ac:dyDescent="0.2">
      <c r="A37" s="118" t="s">
        <v>72</v>
      </c>
      <c r="B37" s="118"/>
      <c r="C37" s="118"/>
      <c r="D37" s="118"/>
      <c r="E37" s="118"/>
      <c r="F37" s="113">
        <f>SUMIF(SAÍDAS!F:F,CONFIGS!A19,SAÍDAS!L:L)</f>
        <v>280</v>
      </c>
      <c r="G37" s="113"/>
      <c r="H37" s="113"/>
      <c r="I37" s="114">
        <f>F37/SUM($F$5:$H$44)</f>
        <v>1.7761437255502714E-2</v>
      </c>
      <c r="J37" s="114"/>
      <c r="V37" s="57"/>
      <c r="Y37" s="58"/>
      <c r="Z37" s="58"/>
      <c r="AA37" s="58"/>
      <c r="AB37" s="57"/>
      <c r="AC37" s="57"/>
      <c r="AD37" s="59"/>
      <c r="AE37" s="59"/>
      <c r="AF37" s="58"/>
    </row>
    <row r="38" spans="1:32" s="56" customFormat="1" ht="11.25" customHeight="1" x14ac:dyDescent="0.2">
      <c r="A38" s="118"/>
      <c r="B38" s="118"/>
      <c r="C38" s="118"/>
      <c r="D38" s="118"/>
      <c r="E38" s="118"/>
      <c r="F38" s="113"/>
      <c r="G38" s="113"/>
      <c r="H38" s="113"/>
      <c r="I38" s="114"/>
      <c r="J38" s="114"/>
      <c r="V38" s="57"/>
      <c r="Y38" s="58"/>
      <c r="Z38" s="58"/>
      <c r="AA38" s="58"/>
      <c r="AB38" s="57"/>
      <c r="AC38" s="57"/>
      <c r="AD38" s="59"/>
      <c r="AE38" s="59"/>
      <c r="AF38" s="58"/>
    </row>
    <row r="39" spans="1:32" s="56" customFormat="1" ht="11.25" customHeight="1" x14ac:dyDescent="0.2">
      <c r="A39" s="118" t="s">
        <v>73</v>
      </c>
      <c r="B39" s="118"/>
      <c r="C39" s="118"/>
      <c r="D39" s="118"/>
      <c r="E39" s="118"/>
      <c r="F39" s="113">
        <f>SUMIF(SAÍDAS!F:F,CONFIGS!A20,SAÍDAS!L:L)</f>
        <v>4565.6400000000003</v>
      </c>
      <c r="G39" s="113"/>
      <c r="H39" s="113"/>
      <c r="I39" s="114">
        <f>F39/SUM($F$5:$H$44)</f>
        <v>0.28961545854004789</v>
      </c>
      <c r="J39" s="114"/>
      <c r="V39" s="57"/>
      <c r="Y39" s="58"/>
      <c r="Z39" s="58"/>
      <c r="AA39" s="58"/>
      <c r="AB39" s="57"/>
      <c r="AC39" s="57"/>
      <c r="AD39" s="59"/>
      <c r="AE39" s="59"/>
      <c r="AF39" s="58"/>
    </row>
    <row r="40" spans="1:32" s="56" customFormat="1" ht="11.25" customHeight="1" x14ac:dyDescent="0.2">
      <c r="A40" s="118"/>
      <c r="B40" s="118"/>
      <c r="C40" s="118"/>
      <c r="D40" s="118"/>
      <c r="E40" s="118"/>
      <c r="F40" s="113"/>
      <c r="G40" s="113"/>
      <c r="H40" s="113"/>
      <c r="I40" s="114"/>
      <c r="J40" s="114"/>
      <c r="V40" s="57"/>
      <c r="Y40" s="58"/>
      <c r="Z40" s="58"/>
      <c r="AA40" s="58"/>
      <c r="AB40" s="57"/>
      <c r="AC40" s="57"/>
      <c r="AD40" s="59"/>
      <c r="AE40" s="59"/>
      <c r="AF40" s="58"/>
    </row>
    <row r="41" spans="1:32" s="56" customFormat="1" ht="11.25" customHeight="1" x14ac:dyDescent="0.2">
      <c r="A41" s="118" t="s">
        <v>74</v>
      </c>
      <c r="B41" s="118"/>
      <c r="C41" s="118"/>
      <c r="D41" s="118"/>
      <c r="E41" s="118"/>
      <c r="F41" s="113">
        <f>SUMIF(SAÍDAS!F:F,CONFIGS!A21,SAÍDAS!L:L)</f>
        <v>236</v>
      </c>
      <c r="G41" s="113"/>
      <c r="H41" s="113"/>
      <c r="I41" s="114">
        <f>F41/SUM($F$5:$H$44)</f>
        <v>1.4970354258209429E-2</v>
      </c>
      <c r="J41" s="114"/>
      <c r="V41" s="57"/>
      <c r="Y41" s="58"/>
      <c r="Z41" s="58"/>
      <c r="AA41" s="58"/>
      <c r="AB41" s="57"/>
      <c r="AC41" s="57"/>
      <c r="AD41" s="59"/>
      <c r="AE41" s="59"/>
      <c r="AF41" s="58"/>
    </row>
    <row r="42" spans="1:32" s="56" customFormat="1" ht="11.25" customHeight="1" x14ac:dyDescent="0.25">
      <c r="A42" s="118"/>
      <c r="B42" s="118"/>
      <c r="C42" s="118"/>
      <c r="D42" s="118"/>
      <c r="E42" s="118"/>
      <c r="F42" s="113"/>
      <c r="G42" s="113"/>
      <c r="H42" s="113"/>
      <c r="I42" s="114"/>
      <c r="J42" s="114"/>
      <c r="R42"/>
      <c r="S42"/>
      <c r="T42"/>
      <c r="U42"/>
      <c r="V42" s="57"/>
      <c r="Y42" s="58"/>
      <c r="Z42" s="58"/>
      <c r="AA42" s="58"/>
      <c r="AB42" s="57"/>
      <c r="AC42" s="57"/>
      <c r="AD42" s="59"/>
      <c r="AE42" s="59"/>
      <c r="AF42" s="58"/>
    </row>
    <row r="43" spans="1:32" s="56" customFormat="1" ht="11.25" customHeight="1" x14ac:dyDescent="0.25">
      <c r="A43" s="118" t="s">
        <v>32</v>
      </c>
      <c r="B43" s="118"/>
      <c r="C43" s="118"/>
      <c r="D43" s="118"/>
      <c r="E43" s="118"/>
      <c r="F43" s="113">
        <f>SUMIF(SAÍDAS!F:F,CONFIGS!A15,SAÍDAS!L:L)</f>
        <v>15</v>
      </c>
      <c r="G43" s="113"/>
      <c r="H43" s="113"/>
      <c r="I43" s="114">
        <f>F43/SUM($F$5:$H$44)</f>
        <v>9.5150556725907397E-4</v>
      </c>
      <c r="J43" s="114"/>
      <c r="R43"/>
      <c r="S43"/>
      <c r="T43"/>
      <c r="U43"/>
      <c r="V43" s="57"/>
      <c r="Y43" s="58"/>
      <c r="Z43" s="58"/>
      <c r="AA43" s="58"/>
      <c r="AB43" s="57"/>
      <c r="AC43" s="57"/>
      <c r="AD43" s="59"/>
      <c r="AE43" s="59"/>
      <c r="AF43" s="58"/>
    </row>
    <row r="44" spans="1:32" s="56" customFormat="1" ht="11.25" customHeight="1" x14ac:dyDescent="0.25">
      <c r="A44" s="118"/>
      <c r="B44" s="118"/>
      <c r="C44" s="118"/>
      <c r="D44" s="118"/>
      <c r="E44" s="118"/>
      <c r="F44" s="113"/>
      <c r="G44" s="113"/>
      <c r="H44" s="113"/>
      <c r="I44" s="114"/>
      <c r="J44" s="114"/>
      <c r="R44"/>
      <c r="S44"/>
      <c r="T44"/>
      <c r="U44"/>
      <c r="V44" s="57"/>
      <c r="Y44" s="58"/>
      <c r="Z44" s="58"/>
      <c r="AA44" s="58"/>
      <c r="AB44" s="57"/>
      <c r="AC44" s="57"/>
      <c r="AD44" s="59"/>
      <c r="AE44" s="59"/>
      <c r="AF44" s="58"/>
    </row>
    <row r="45" spans="1:32" x14ac:dyDescent="0.25">
      <c r="W45" s="21"/>
      <c r="X45" s="21"/>
      <c r="Y45" s="24"/>
      <c r="Z45" s="24"/>
      <c r="AA45" s="24"/>
      <c r="AD45" s="22"/>
      <c r="AE45" s="22"/>
      <c r="AF45" s="24"/>
    </row>
    <row r="46" spans="1:32" x14ac:dyDescent="0.25">
      <c r="W46" s="21"/>
      <c r="X46" s="21"/>
      <c r="Y46" s="24"/>
      <c r="Z46" s="24"/>
      <c r="AA46" s="24"/>
      <c r="AD46" s="22"/>
      <c r="AE46" s="22"/>
      <c r="AF46" s="24"/>
    </row>
    <row r="47" spans="1:32" x14ac:dyDescent="0.25">
      <c r="W47" s="21"/>
      <c r="X47" s="21"/>
      <c r="Y47" s="24"/>
      <c r="Z47" s="24"/>
      <c r="AA47" s="24"/>
      <c r="AD47" s="22"/>
      <c r="AE47" s="22"/>
      <c r="AF47" s="24"/>
    </row>
    <row r="48" spans="1:32" x14ac:dyDescent="0.25">
      <c r="W48" s="21"/>
      <c r="X48" s="21"/>
      <c r="Y48" s="24"/>
      <c r="Z48" s="24"/>
      <c r="AA48" s="24"/>
      <c r="AD48" s="22"/>
      <c r="AE48" s="22"/>
      <c r="AF48" s="24"/>
    </row>
    <row r="49" spans="1:32" x14ac:dyDescent="0.25">
      <c r="W49" s="21"/>
      <c r="X49" s="21"/>
      <c r="Y49" s="24"/>
      <c r="Z49" s="24"/>
      <c r="AA49" s="24"/>
      <c r="AD49" s="22"/>
      <c r="AE49" s="22"/>
      <c r="AF49" s="24"/>
    </row>
    <row r="50" spans="1:32" x14ac:dyDescent="0.25">
      <c r="W50" s="21"/>
      <c r="X50" s="21"/>
      <c r="Y50" s="24"/>
      <c r="Z50" s="24"/>
      <c r="AA50" s="24"/>
      <c r="AD50" s="22"/>
      <c r="AE50" s="22"/>
      <c r="AF50" s="24"/>
    </row>
    <row r="51" spans="1:32" x14ac:dyDescent="0.25">
      <c r="W51" s="21"/>
      <c r="X51" s="21"/>
      <c r="Y51" s="24"/>
      <c r="Z51" s="24"/>
      <c r="AA51" s="24"/>
      <c r="AD51" s="22"/>
      <c r="AE51" s="22"/>
      <c r="AF51" s="24"/>
    </row>
    <row r="52" spans="1:32" x14ac:dyDescent="0.25">
      <c r="W52" s="21"/>
      <c r="X52" s="21"/>
      <c r="Y52" s="24"/>
      <c r="Z52" s="24"/>
      <c r="AA52" s="24"/>
      <c r="AD52" s="22"/>
      <c r="AE52" s="22"/>
      <c r="AF52" s="24"/>
    </row>
    <row r="53" spans="1:32" x14ac:dyDescent="0.25">
      <c r="W53" s="21"/>
      <c r="X53" s="21"/>
      <c r="Y53" s="24"/>
      <c r="Z53" s="24"/>
      <c r="AA53" s="24"/>
      <c r="AD53" s="22"/>
      <c r="AE53" s="22"/>
      <c r="AF53" s="24"/>
    </row>
    <row r="54" spans="1:32" x14ac:dyDescent="0.25">
      <c r="W54" s="21"/>
      <c r="X54" s="21"/>
      <c r="Y54" s="24"/>
      <c r="Z54" s="24"/>
      <c r="AA54" s="24"/>
      <c r="AD54" s="22"/>
      <c r="AE54" s="22"/>
      <c r="AF54" s="24"/>
    </row>
    <row r="55" spans="1:32" x14ac:dyDescent="0.25">
      <c r="W55" s="21"/>
      <c r="X55" s="21"/>
      <c r="Y55" s="24"/>
      <c r="Z55" s="24"/>
      <c r="AA55" s="24"/>
      <c r="AD55" s="22"/>
      <c r="AE55" s="22"/>
      <c r="AF55" s="24"/>
    </row>
    <row r="56" spans="1:32" x14ac:dyDescent="0.25">
      <c r="W56" s="21"/>
      <c r="X56" s="21"/>
      <c r="Y56" s="24"/>
      <c r="Z56" s="24"/>
      <c r="AA56" s="24"/>
      <c r="AD56" s="22"/>
      <c r="AE56" s="22"/>
      <c r="AF56" s="24"/>
    </row>
    <row r="57" spans="1:32" x14ac:dyDescent="0.25">
      <c r="W57" s="21"/>
      <c r="X57" s="21"/>
      <c r="Y57" s="24"/>
      <c r="Z57" s="24"/>
      <c r="AA57" s="24"/>
      <c r="AD57" s="22"/>
      <c r="AE57" s="22"/>
      <c r="AF57" s="24"/>
    </row>
    <row r="58" spans="1:32" x14ac:dyDescent="0.25">
      <c r="W58" s="21"/>
      <c r="X58" s="21"/>
      <c r="Y58" s="24"/>
      <c r="Z58" s="24"/>
      <c r="AA58" s="24"/>
      <c r="AD58" s="22"/>
      <c r="AE58" s="22"/>
      <c r="AF58" s="24"/>
    </row>
    <row r="59" spans="1:32" x14ac:dyDescent="0.25">
      <c r="W59" s="21"/>
      <c r="X59" s="21"/>
      <c r="Y59" s="24"/>
      <c r="Z59" s="24"/>
      <c r="AA59" s="24"/>
      <c r="AD59" s="22"/>
      <c r="AE59" s="22"/>
      <c r="AF59" s="24"/>
    </row>
    <row r="60" spans="1:32" x14ac:dyDescent="0.25">
      <c r="W60" s="21"/>
      <c r="X60" s="21"/>
      <c r="Y60" s="24"/>
      <c r="Z60" s="24"/>
      <c r="AA60" s="24"/>
      <c r="AD60" s="22"/>
      <c r="AE60" s="22"/>
      <c r="AF60" s="24"/>
    </row>
    <row r="61" spans="1:32" x14ac:dyDescent="0.25">
      <c r="W61" s="21"/>
      <c r="X61" s="21"/>
      <c r="Y61" s="24"/>
      <c r="Z61" s="24"/>
      <c r="AA61" s="24"/>
      <c r="AD61" s="22"/>
      <c r="AE61" s="22"/>
      <c r="AF61" s="24"/>
    </row>
    <row r="62" spans="1:32" x14ac:dyDescent="0.25">
      <c r="W62" s="21"/>
      <c r="X62" s="21"/>
      <c r="Y62" s="24"/>
      <c r="Z62" s="24"/>
      <c r="AA62" s="24"/>
      <c r="AD62" s="22"/>
      <c r="AE62" s="22"/>
      <c r="AF62" s="24"/>
    </row>
    <row r="63" spans="1:32" x14ac:dyDescent="0.25">
      <c r="A63" s="1"/>
      <c r="D63" s="4"/>
      <c r="E63" s="4"/>
      <c r="F63" s="4"/>
      <c r="G63" s="1"/>
      <c r="H63" s="1"/>
      <c r="I63" s="3"/>
      <c r="J63" s="3"/>
      <c r="K63" s="4"/>
      <c r="W63" s="21"/>
      <c r="X63" s="21"/>
      <c r="Y63" s="24"/>
      <c r="Z63" s="24"/>
      <c r="AA63" s="24"/>
      <c r="AD63" s="22"/>
      <c r="AE63" s="22"/>
      <c r="AF63" s="24"/>
    </row>
    <row r="64" spans="1:32" x14ac:dyDescent="0.25">
      <c r="A64" s="1"/>
      <c r="D64" s="4"/>
      <c r="E64" s="4"/>
      <c r="F64" s="4"/>
      <c r="G64" s="1"/>
      <c r="H64" s="1"/>
      <c r="I64" s="3"/>
      <c r="J64" s="3"/>
      <c r="K64" s="4"/>
      <c r="W64" s="21"/>
      <c r="X64" s="21"/>
      <c r="Y64" s="24"/>
      <c r="Z64" s="24"/>
      <c r="AA64" s="24"/>
      <c r="AD64" s="22"/>
      <c r="AE64" s="22"/>
      <c r="AF64" s="24"/>
    </row>
    <row r="65" spans="1:32" x14ac:dyDescent="0.25">
      <c r="A65" s="1"/>
      <c r="D65" s="4"/>
      <c r="E65" s="4"/>
      <c r="F65" s="4"/>
      <c r="G65" s="1"/>
      <c r="H65" s="1"/>
      <c r="I65" s="3"/>
      <c r="J65" s="3"/>
      <c r="K65" s="4"/>
      <c r="W65" s="21"/>
      <c r="X65" s="21"/>
      <c r="Y65" s="24"/>
      <c r="Z65" s="24"/>
      <c r="AA65" s="24"/>
      <c r="AD65" s="22"/>
      <c r="AE65" s="22"/>
      <c r="AF65" s="24"/>
    </row>
    <row r="66" spans="1:32" x14ac:dyDescent="0.25">
      <c r="A66" s="1"/>
      <c r="D66" s="4"/>
      <c r="E66" s="4"/>
      <c r="F66" s="4"/>
      <c r="G66" s="1"/>
      <c r="H66" s="1"/>
      <c r="I66" s="3"/>
      <c r="J66" s="3"/>
      <c r="K66" s="4"/>
      <c r="W66" s="21"/>
      <c r="X66" s="21"/>
      <c r="Y66" s="24"/>
      <c r="Z66" s="24"/>
      <c r="AA66" s="24"/>
      <c r="AD66" s="22"/>
      <c r="AE66" s="22"/>
      <c r="AF66" s="24"/>
    </row>
    <row r="67" spans="1:32" x14ac:dyDescent="0.25">
      <c r="A67" s="1"/>
      <c r="D67" s="4"/>
      <c r="E67" s="4"/>
      <c r="F67" s="4"/>
      <c r="G67" s="1"/>
      <c r="H67" s="1"/>
      <c r="I67" s="3"/>
      <c r="J67" s="3"/>
      <c r="K67" s="4"/>
      <c r="W67" s="21"/>
      <c r="X67" s="21"/>
      <c r="Y67" s="24"/>
      <c r="Z67" s="24"/>
      <c r="AA67" s="24"/>
      <c r="AD67" s="22"/>
      <c r="AE67" s="22"/>
      <c r="AF67" s="24"/>
    </row>
    <row r="68" spans="1:32" x14ac:dyDescent="0.25">
      <c r="A68" s="1"/>
      <c r="D68" s="4"/>
      <c r="E68" s="4"/>
      <c r="F68" s="4"/>
      <c r="G68" s="1"/>
      <c r="H68" s="1"/>
      <c r="I68" s="3"/>
      <c r="J68" s="3"/>
      <c r="K68" s="4"/>
      <c r="W68" s="21"/>
      <c r="X68" s="21"/>
      <c r="Y68" s="24"/>
      <c r="Z68" s="24"/>
      <c r="AA68" s="24"/>
      <c r="AD68" s="22"/>
      <c r="AE68" s="22"/>
      <c r="AF68" s="24"/>
    </row>
    <row r="69" spans="1:32" x14ac:dyDescent="0.25">
      <c r="A69" s="1"/>
      <c r="D69" s="4"/>
      <c r="E69" s="4"/>
      <c r="F69" s="4"/>
      <c r="G69" s="1"/>
      <c r="H69" s="1"/>
      <c r="I69" s="3"/>
      <c r="J69" s="3"/>
      <c r="K69" s="4"/>
      <c r="W69" s="21"/>
      <c r="X69" s="21"/>
      <c r="Y69" s="24"/>
      <c r="Z69" s="24"/>
      <c r="AA69" s="24"/>
      <c r="AD69" s="22"/>
      <c r="AE69" s="22"/>
      <c r="AF69" s="24"/>
    </row>
    <row r="70" spans="1:32" x14ac:dyDescent="0.25">
      <c r="A70" s="1"/>
      <c r="D70" s="4"/>
      <c r="E70" s="4"/>
      <c r="F70" s="4"/>
      <c r="G70" s="1"/>
      <c r="H70" s="1"/>
      <c r="I70" s="3"/>
      <c r="J70" s="3"/>
      <c r="K70" s="4"/>
      <c r="W70" s="21"/>
      <c r="X70" s="21"/>
      <c r="Y70" s="24"/>
      <c r="Z70" s="24"/>
      <c r="AA70" s="24"/>
      <c r="AD70" s="22"/>
      <c r="AE70" s="22"/>
      <c r="AF70" s="24"/>
    </row>
    <row r="71" spans="1:32" x14ac:dyDescent="0.25">
      <c r="A71" s="1"/>
      <c r="D71" s="4"/>
      <c r="E71" s="4"/>
      <c r="F71" s="4"/>
      <c r="G71" s="1"/>
      <c r="H71" s="1"/>
      <c r="I71" s="3"/>
      <c r="J71" s="3"/>
      <c r="K71" s="4"/>
      <c r="W71" s="21"/>
      <c r="X71" s="21"/>
      <c r="Y71" s="24"/>
      <c r="Z71" s="24"/>
      <c r="AA71" s="24"/>
      <c r="AD71" s="22"/>
      <c r="AE71" s="22"/>
      <c r="AF71" s="24"/>
    </row>
    <row r="72" spans="1:32" x14ac:dyDescent="0.25">
      <c r="A72" s="1"/>
      <c r="D72" s="4"/>
      <c r="E72" s="4"/>
      <c r="F72" s="4"/>
      <c r="G72" s="1"/>
      <c r="H72" s="1"/>
      <c r="I72" s="3"/>
      <c r="J72" s="3"/>
      <c r="K72" s="4"/>
      <c r="W72" s="21"/>
      <c r="X72" s="21"/>
      <c r="Y72" s="24"/>
      <c r="Z72" s="24"/>
      <c r="AA72" s="24"/>
      <c r="AD72" s="22"/>
      <c r="AE72" s="22"/>
      <c r="AF72" s="24"/>
    </row>
    <row r="73" spans="1:32" x14ac:dyDescent="0.25">
      <c r="A73" s="1"/>
      <c r="D73" s="4"/>
      <c r="E73" s="4"/>
      <c r="F73" s="4"/>
      <c r="G73" s="1"/>
      <c r="H73" s="1"/>
      <c r="I73" s="3"/>
      <c r="J73" s="3"/>
      <c r="K73" s="4"/>
      <c r="W73" s="21"/>
      <c r="X73" s="21"/>
      <c r="Y73" s="24"/>
      <c r="Z73" s="24"/>
      <c r="AA73" s="24"/>
      <c r="AD73" s="22"/>
      <c r="AE73" s="22"/>
      <c r="AF73" s="24"/>
    </row>
    <row r="74" spans="1:32" x14ac:dyDescent="0.25">
      <c r="A74" s="1"/>
      <c r="D74" s="4"/>
      <c r="E74" s="4"/>
      <c r="F74" s="4"/>
      <c r="G74" s="1"/>
      <c r="H74" s="1"/>
      <c r="I74" s="3"/>
      <c r="J74" s="3"/>
      <c r="K74" s="4"/>
      <c r="W74" s="21"/>
      <c r="X74" s="21"/>
      <c r="Y74" s="24"/>
      <c r="Z74" s="24"/>
      <c r="AA74" s="24"/>
      <c r="AD74" s="22"/>
      <c r="AE74" s="22"/>
      <c r="AF74" s="24"/>
    </row>
    <row r="75" spans="1:32" x14ac:dyDescent="0.25">
      <c r="A75" s="1"/>
      <c r="D75" s="4"/>
      <c r="E75" s="4"/>
      <c r="F75" s="4"/>
      <c r="G75" s="1"/>
      <c r="H75" s="1"/>
      <c r="I75" s="3"/>
      <c r="J75" s="3"/>
      <c r="K75" s="4"/>
      <c r="W75" s="21"/>
      <c r="X75" s="21"/>
      <c r="Y75" s="24"/>
      <c r="Z75" s="24"/>
      <c r="AA75" s="24"/>
      <c r="AD75" s="22"/>
      <c r="AE75" s="22"/>
      <c r="AF75" s="24"/>
    </row>
    <row r="76" spans="1:32" x14ac:dyDescent="0.25">
      <c r="A76" s="1"/>
      <c r="D76" s="4"/>
      <c r="E76" s="4"/>
      <c r="F76" s="4"/>
      <c r="G76" s="1"/>
      <c r="H76" s="1"/>
      <c r="I76" s="3"/>
      <c r="J76" s="3"/>
      <c r="K76" s="4"/>
      <c r="W76" s="21"/>
      <c r="X76" s="21"/>
      <c r="Y76" s="24"/>
      <c r="Z76" s="24"/>
      <c r="AA76" s="24"/>
      <c r="AD76" s="22"/>
      <c r="AE76" s="22"/>
      <c r="AF76" s="24"/>
    </row>
    <row r="77" spans="1:32" x14ac:dyDescent="0.25">
      <c r="A77" s="1"/>
      <c r="D77" s="4"/>
      <c r="E77" s="4"/>
      <c r="F77" s="4"/>
      <c r="G77" s="1"/>
      <c r="H77" s="1"/>
      <c r="I77" s="3"/>
      <c r="J77" s="3"/>
      <c r="K77" s="4"/>
      <c r="W77" s="21"/>
      <c r="X77" s="21"/>
      <c r="Y77" s="24"/>
      <c r="Z77" s="24"/>
      <c r="AA77" s="24"/>
      <c r="AD77" s="22"/>
      <c r="AE77" s="22"/>
      <c r="AF77" s="24"/>
    </row>
    <row r="78" spans="1:32" x14ac:dyDescent="0.25">
      <c r="A78" s="1"/>
      <c r="D78" s="4"/>
      <c r="E78" s="4"/>
      <c r="F78" s="4"/>
      <c r="G78" s="1"/>
      <c r="H78" s="1"/>
      <c r="I78" s="3"/>
      <c r="J78" s="3"/>
      <c r="K78" s="4"/>
      <c r="W78" s="21"/>
      <c r="X78" s="21"/>
      <c r="Y78" s="24"/>
      <c r="Z78" s="24"/>
      <c r="AA78" s="24"/>
      <c r="AD78" s="22"/>
      <c r="AE78" s="22"/>
      <c r="AF78" s="24"/>
    </row>
    <row r="79" spans="1:32" x14ac:dyDescent="0.25">
      <c r="A79" s="1"/>
      <c r="D79" s="4"/>
      <c r="E79" s="4"/>
      <c r="F79" s="4"/>
      <c r="G79" s="1"/>
      <c r="H79" s="1"/>
      <c r="I79" s="3"/>
      <c r="J79" s="3"/>
      <c r="K79" s="4"/>
      <c r="W79" s="21"/>
      <c r="X79" s="21"/>
      <c r="Y79" s="24"/>
      <c r="Z79" s="24"/>
      <c r="AA79" s="24"/>
      <c r="AD79" s="22"/>
      <c r="AE79" s="22"/>
      <c r="AF79" s="24"/>
    </row>
    <row r="80" spans="1:32" x14ac:dyDescent="0.25">
      <c r="A80" s="1"/>
      <c r="D80" s="4"/>
      <c r="E80" s="4"/>
      <c r="F80" s="4"/>
      <c r="G80" s="1"/>
      <c r="H80" s="1"/>
      <c r="I80" s="3"/>
      <c r="J80" s="3"/>
      <c r="K80" s="4"/>
      <c r="W80" s="21"/>
      <c r="X80" s="21"/>
      <c r="Y80" s="24"/>
      <c r="Z80" s="24"/>
      <c r="AA80" s="24"/>
      <c r="AD80" s="22"/>
      <c r="AE80" s="22"/>
      <c r="AF80" s="24"/>
    </row>
    <row r="81" spans="1:32" x14ac:dyDescent="0.25">
      <c r="A81" s="1"/>
      <c r="D81" s="4"/>
      <c r="E81" s="4"/>
      <c r="F81" s="4"/>
      <c r="G81" s="1"/>
      <c r="H81" s="1"/>
      <c r="I81" s="3"/>
      <c r="J81" s="3"/>
      <c r="K81" s="4"/>
      <c r="W81" s="21"/>
      <c r="X81" s="21"/>
      <c r="Y81" s="24"/>
      <c r="Z81" s="24"/>
      <c r="AA81" s="24"/>
      <c r="AD81" s="22"/>
      <c r="AE81" s="22"/>
      <c r="AF81" s="24"/>
    </row>
    <row r="82" spans="1:32" x14ac:dyDescent="0.25">
      <c r="A82" s="1"/>
      <c r="D82" s="4"/>
      <c r="E82" s="4"/>
      <c r="F82" s="4"/>
      <c r="G82" s="1"/>
      <c r="H82" s="1"/>
      <c r="I82" s="3"/>
      <c r="J82" s="3"/>
      <c r="K82" s="4"/>
      <c r="W82" s="21"/>
      <c r="X82" s="21"/>
      <c r="Y82" s="24"/>
      <c r="Z82" s="24"/>
      <c r="AA82" s="24"/>
      <c r="AD82" s="22"/>
      <c r="AE82" s="22"/>
      <c r="AF82" s="24"/>
    </row>
    <row r="83" spans="1:32" x14ac:dyDescent="0.25">
      <c r="A83" s="1"/>
      <c r="D83" s="4"/>
      <c r="E83" s="4"/>
      <c r="F83" s="4"/>
      <c r="G83" s="1"/>
      <c r="H83" s="1"/>
      <c r="I83" s="3"/>
      <c r="J83" s="3"/>
      <c r="K83" s="4"/>
      <c r="W83" s="21"/>
      <c r="X83" s="21"/>
      <c r="Y83" s="24"/>
      <c r="Z83" s="24"/>
      <c r="AA83" s="24"/>
      <c r="AD83" s="22"/>
      <c r="AE83" s="22"/>
      <c r="AF83" s="24"/>
    </row>
    <row r="84" spans="1:32" x14ac:dyDescent="0.25">
      <c r="A84" s="1"/>
      <c r="D84" s="4"/>
      <c r="E84" s="4"/>
      <c r="F84" s="4"/>
      <c r="G84" s="1"/>
      <c r="H84" s="1"/>
      <c r="I84" s="3"/>
      <c r="J84" s="3"/>
      <c r="K84" s="4"/>
      <c r="W84" s="21"/>
      <c r="X84" s="21"/>
      <c r="Y84" s="24"/>
      <c r="Z84" s="24"/>
      <c r="AA84" s="24"/>
      <c r="AD84" s="22"/>
      <c r="AE84" s="22"/>
      <c r="AF84" s="24"/>
    </row>
    <row r="85" spans="1:32" x14ac:dyDescent="0.25">
      <c r="A85" s="1"/>
      <c r="D85" s="4"/>
      <c r="E85" s="4"/>
      <c r="F85" s="4"/>
      <c r="G85" s="1"/>
      <c r="H85" s="1"/>
      <c r="I85" s="3"/>
      <c r="J85" s="3"/>
      <c r="K85" s="4"/>
      <c r="W85" s="21"/>
      <c r="X85" s="21"/>
      <c r="Y85" s="24"/>
      <c r="Z85" s="24"/>
      <c r="AA85" s="24"/>
      <c r="AD85" s="22"/>
      <c r="AE85" s="22"/>
      <c r="AF85" s="24"/>
    </row>
    <row r="86" spans="1:32" x14ac:dyDescent="0.25">
      <c r="A86" s="1"/>
      <c r="D86" s="4"/>
      <c r="E86" s="4"/>
      <c r="F86" s="4"/>
      <c r="G86" s="1"/>
      <c r="H86" s="1"/>
      <c r="I86" s="3"/>
      <c r="J86" s="3"/>
      <c r="K86" s="4"/>
      <c r="W86" s="21"/>
      <c r="X86" s="21"/>
      <c r="Y86" s="24"/>
      <c r="Z86" s="24"/>
      <c r="AA86" s="24"/>
      <c r="AD86" s="22"/>
      <c r="AE86" s="22"/>
      <c r="AF86" s="24"/>
    </row>
    <row r="87" spans="1:32" x14ac:dyDescent="0.25">
      <c r="A87" s="1"/>
      <c r="D87" s="4"/>
      <c r="E87" s="4"/>
      <c r="F87" s="4"/>
      <c r="G87" s="1"/>
      <c r="H87" s="1"/>
      <c r="I87" s="3"/>
      <c r="J87" s="3"/>
      <c r="K87" s="4"/>
      <c r="W87" s="21"/>
      <c r="X87" s="21"/>
      <c r="Y87" s="24"/>
      <c r="Z87" s="24"/>
      <c r="AA87" s="24"/>
      <c r="AD87" s="22"/>
      <c r="AE87" s="22"/>
      <c r="AF87" s="24"/>
    </row>
    <row r="88" spans="1:32" x14ac:dyDescent="0.25">
      <c r="A88" s="1"/>
      <c r="D88" s="4"/>
      <c r="E88" s="4"/>
      <c r="F88" s="4"/>
      <c r="G88" s="1"/>
      <c r="H88" s="1"/>
      <c r="I88" s="3"/>
      <c r="J88" s="3"/>
      <c r="K88" s="4"/>
      <c r="W88" s="21"/>
      <c r="X88" s="21"/>
      <c r="Y88" s="24"/>
      <c r="Z88" s="24"/>
      <c r="AA88" s="24"/>
      <c r="AD88" s="22"/>
      <c r="AE88" s="22"/>
      <c r="AF88" s="24"/>
    </row>
    <row r="89" spans="1:32" x14ac:dyDescent="0.25">
      <c r="A89" s="1"/>
      <c r="D89" s="4"/>
      <c r="E89" s="4"/>
      <c r="F89" s="4"/>
      <c r="G89" s="1"/>
      <c r="H89" s="1"/>
      <c r="I89" s="3"/>
      <c r="J89" s="3"/>
      <c r="K89" s="4"/>
      <c r="W89" s="21"/>
      <c r="X89" s="21"/>
      <c r="Y89" s="24"/>
      <c r="Z89" s="24"/>
      <c r="AA89" s="24"/>
      <c r="AD89" s="22"/>
      <c r="AE89" s="22"/>
      <c r="AF89" s="24"/>
    </row>
    <row r="90" spans="1:32" x14ac:dyDescent="0.25">
      <c r="A90" s="1"/>
      <c r="D90" s="4"/>
      <c r="E90" s="4"/>
      <c r="F90" s="4"/>
      <c r="G90" s="1"/>
      <c r="H90" s="1"/>
      <c r="I90" s="3"/>
      <c r="J90" s="3"/>
      <c r="K90" s="4"/>
      <c r="W90" s="21"/>
      <c r="X90" s="21"/>
      <c r="Y90" s="24"/>
      <c r="Z90" s="24"/>
      <c r="AA90" s="24"/>
      <c r="AD90" s="22"/>
      <c r="AE90" s="22"/>
      <c r="AF90" s="24"/>
    </row>
    <row r="91" spans="1:32" x14ac:dyDescent="0.25">
      <c r="A91" s="1"/>
      <c r="D91" s="4"/>
      <c r="E91" s="4"/>
      <c r="F91" s="4"/>
      <c r="G91" s="1"/>
      <c r="H91" s="1"/>
      <c r="I91" s="3"/>
      <c r="J91" s="3"/>
      <c r="K91" s="4"/>
      <c r="W91" s="21"/>
      <c r="X91" s="21"/>
      <c r="Y91" s="24"/>
      <c r="Z91" s="24"/>
      <c r="AA91" s="24"/>
      <c r="AD91" s="22"/>
      <c r="AE91" s="22"/>
      <c r="AF91" s="24"/>
    </row>
    <row r="92" spans="1:32" x14ac:dyDescent="0.25">
      <c r="A92" s="1"/>
      <c r="D92" s="4"/>
      <c r="E92" s="4"/>
      <c r="F92" s="4"/>
      <c r="G92" s="1"/>
      <c r="H92" s="1"/>
      <c r="I92" s="3"/>
      <c r="J92" s="3"/>
      <c r="K92" s="4"/>
      <c r="W92" s="21"/>
      <c r="X92" s="21"/>
      <c r="Y92" s="24"/>
      <c r="Z92" s="24"/>
      <c r="AA92" s="24"/>
      <c r="AD92" s="22"/>
      <c r="AE92" s="22"/>
      <c r="AF92" s="24"/>
    </row>
    <row r="93" spans="1:32" x14ac:dyDescent="0.25">
      <c r="A93" s="1"/>
      <c r="D93" s="4"/>
      <c r="E93" s="4"/>
      <c r="F93" s="4"/>
      <c r="G93" s="1"/>
      <c r="H93" s="1"/>
      <c r="I93" s="3"/>
      <c r="J93" s="3"/>
      <c r="K93" s="4"/>
      <c r="W93" s="21"/>
      <c r="X93" s="21"/>
      <c r="Y93" s="24"/>
      <c r="Z93" s="24"/>
      <c r="AA93" s="24"/>
      <c r="AD93" s="22"/>
      <c r="AE93" s="22"/>
      <c r="AF93" s="24"/>
    </row>
    <row r="94" spans="1:32" x14ac:dyDescent="0.25">
      <c r="A94" s="1"/>
      <c r="D94" s="4"/>
      <c r="E94" s="4"/>
      <c r="F94" s="4"/>
      <c r="G94" s="1"/>
      <c r="H94" s="1"/>
      <c r="I94" s="3"/>
      <c r="J94" s="3"/>
      <c r="K94" s="4"/>
      <c r="W94" s="21"/>
      <c r="X94" s="21"/>
      <c r="Y94" s="24"/>
      <c r="Z94" s="24"/>
      <c r="AA94" s="24"/>
      <c r="AD94" s="22"/>
      <c r="AE94" s="22"/>
      <c r="AF94" s="24"/>
    </row>
    <row r="95" spans="1:32" x14ac:dyDescent="0.25">
      <c r="A95" s="1"/>
      <c r="D95" s="4"/>
      <c r="E95" s="4"/>
      <c r="F95" s="4"/>
      <c r="G95" s="1"/>
      <c r="H95" s="1"/>
      <c r="I95" s="3"/>
      <c r="J95" s="3"/>
      <c r="K95" s="4"/>
      <c r="W95" s="21"/>
      <c r="X95" s="21"/>
      <c r="Y95" s="24"/>
      <c r="Z95" s="24"/>
      <c r="AA95" s="24"/>
      <c r="AD95" s="22"/>
      <c r="AE95" s="22"/>
      <c r="AF95" s="24"/>
    </row>
    <row r="96" spans="1:32" x14ac:dyDescent="0.25">
      <c r="A96" s="1"/>
      <c r="D96" s="4"/>
      <c r="E96" s="4"/>
      <c r="F96" s="4"/>
      <c r="G96" s="1"/>
      <c r="H96" s="1"/>
      <c r="I96" s="3"/>
      <c r="J96" s="3"/>
      <c r="K96" s="4"/>
      <c r="W96" s="21"/>
      <c r="X96" s="21"/>
      <c r="Y96" s="24"/>
      <c r="Z96" s="24"/>
      <c r="AA96" s="24"/>
      <c r="AD96" s="22"/>
      <c r="AE96" s="22"/>
      <c r="AF96" s="24"/>
    </row>
    <row r="97" spans="1:32" x14ac:dyDescent="0.25">
      <c r="A97" s="1"/>
      <c r="D97" s="4"/>
      <c r="E97" s="4"/>
      <c r="F97" s="4"/>
      <c r="G97" s="1"/>
      <c r="H97" s="1"/>
      <c r="I97" s="3"/>
      <c r="J97" s="3"/>
      <c r="K97" s="4"/>
      <c r="W97" s="21"/>
      <c r="X97" s="21"/>
      <c r="Y97" s="24"/>
      <c r="Z97" s="24"/>
      <c r="AA97" s="24"/>
      <c r="AD97" s="22"/>
      <c r="AE97" s="22"/>
      <c r="AF97" s="24"/>
    </row>
    <row r="98" spans="1:32" x14ac:dyDescent="0.25">
      <c r="A98" s="1"/>
      <c r="D98" s="4"/>
      <c r="E98" s="4"/>
      <c r="F98" s="4"/>
      <c r="G98" s="1"/>
      <c r="H98" s="1"/>
      <c r="I98" s="3"/>
      <c r="J98" s="3"/>
      <c r="K98" s="4"/>
      <c r="W98" s="21"/>
      <c r="X98" s="21"/>
      <c r="Y98" s="24"/>
      <c r="Z98" s="24"/>
      <c r="AA98" s="24"/>
      <c r="AD98" s="22"/>
      <c r="AE98" s="22"/>
      <c r="AF98" s="24"/>
    </row>
    <row r="99" spans="1:32" x14ac:dyDescent="0.25">
      <c r="A99" s="1"/>
      <c r="D99" s="4"/>
      <c r="E99" s="4"/>
      <c r="F99" s="4"/>
      <c r="G99" s="1"/>
      <c r="H99" s="1"/>
      <c r="I99" s="3"/>
      <c r="J99" s="3"/>
      <c r="K99" s="4"/>
      <c r="W99" s="21"/>
      <c r="X99" s="21"/>
      <c r="Y99" s="24"/>
      <c r="Z99" s="24"/>
      <c r="AA99" s="24"/>
      <c r="AD99" s="22"/>
      <c r="AE99" s="22"/>
      <c r="AF99" s="24"/>
    </row>
    <row r="100" spans="1:32" x14ac:dyDescent="0.25">
      <c r="A100" s="1"/>
      <c r="D100" s="4"/>
      <c r="E100" s="4"/>
      <c r="F100" s="4"/>
      <c r="G100" s="1"/>
      <c r="H100" s="1"/>
      <c r="I100" s="3"/>
      <c r="J100" s="3"/>
      <c r="K100" s="4"/>
      <c r="W100" s="21"/>
      <c r="X100" s="21"/>
      <c r="Y100" s="24"/>
      <c r="Z100" s="24"/>
      <c r="AA100" s="24"/>
      <c r="AD100" s="22"/>
      <c r="AE100" s="22"/>
      <c r="AF100" s="24"/>
    </row>
    <row r="101" spans="1:32" x14ac:dyDescent="0.25">
      <c r="A101" s="1"/>
      <c r="D101" s="4"/>
      <c r="E101" s="4"/>
      <c r="F101" s="4"/>
      <c r="G101" s="1"/>
      <c r="H101" s="1"/>
      <c r="I101" s="3"/>
      <c r="J101" s="3"/>
      <c r="K101" s="4"/>
      <c r="W101" s="21"/>
      <c r="X101" s="21"/>
      <c r="Y101" s="24"/>
      <c r="Z101" s="24"/>
      <c r="AA101" s="24"/>
      <c r="AD101" s="22"/>
      <c r="AE101" s="22"/>
      <c r="AF101" s="24"/>
    </row>
    <row r="102" spans="1:32" x14ac:dyDescent="0.25">
      <c r="A102" s="1"/>
      <c r="D102" s="4"/>
      <c r="E102" s="4"/>
      <c r="F102" s="4"/>
      <c r="G102" s="1"/>
      <c r="H102" s="1"/>
      <c r="I102" s="3"/>
      <c r="J102" s="3"/>
      <c r="K102" s="4"/>
      <c r="W102" s="21"/>
      <c r="X102" s="21"/>
      <c r="Y102" s="24"/>
      <c r="Z102" s="24"/>
      <c r="AA102" s="24"/>
      <c r="AD102" s="22"/>
      <c r="AE102" s="22"/>
      <c r="AF102" s="24"/>
    </row>
    <row r="103" spans="1:32" x14ac:dyDescent="0.25">
      <c r="A103" s="1"/>
      <c r="D103" s="4"/>
      <c r="E103" s="4"/>
      <c r="F103" s="4"/>
      <c r="G103" s="1"/>
      <c r="H103" s="1"/>
      <c r="I103" s="3"/>
      <c r="J103" s="3"/>
      <c r="K103" s="4"/>
      <c r="W103" s="21"/>
      <c r="X103" s="21"/>
      <c r="Y103" s="24"/>
      <c r="Z103" s="24"/>
      <c r="AA103" s="24"/>
      <c r="AD103" s="22"/>
      <c r="AE103" s="22"/>
      <c r="AF103" s="24"/>
    </row>
    <row r="104" spans="1:32" x14ac:dyDescent="0.25">
      <c r="A104" s="1"/>
      <c r="D104" s="4"/>
      <c r="E104" s="4"/>
      <c r="F104" s="4"/>
      <c r="G104" s="1"/>
      <c r="H104" s="1"/>
      <c r="I104" s="3"/>
      <c r="J104" s="3"/>
      <c r="K104" s="4"/>
      <c r="W104" s="21"/>
      <c r="X104" s="21"/>
      <c r="Y104" s="24"/>
      <c r="Z104" s="24"/>
      <c r="AA104" s="24"/>
      <c r="AD104" s="22"/>
      <c r="AE104" s="22"/>
      <c r="AF104" s="24"/>
    </row>
    <row r="105" spans="1:32" x14ac:dyDescent="0.25">
      <c r="A105" s="1"/>
      <c r="D105" s="4"/>
      <c r="E105" s="4"/>
      <c r="F105" s="4"/>
      <c r="G105" s="1"/>
      <c r="H105" s="1"/>
      <c r="I105" s="3"/>
      <c r="J105" s="3"/>
      <c r="K105" s="4"/>
      <c r="W105" s="21"/>
      <c r="X105" s="21"/>
      <c r="Y105" s="24"/>
      <c r="Z105" s="24"/>
      <c r="AA105" s="24"/>
      <c r="AD105" s="22"/>
      <c r="AE105" s="22"/>
      <c r="AF105" s="24"/>
    </row>
    <row r="106" spans="1:32" x14ac:dyDescent="0.25">
      <c r="A106" s="1"/>
      <c r="D106" s="4"/>
      <c r="E106" s="4"/>
      <c r="F106" s="4"/>
      <c r="G106" s="1"/>
      <c r="H106" s="1"/>
      <c r="I106" s="3"/>
      <c r="J106" s="3"/>
      <c r="K106" s="4"/>
      <c r="W106" s="21"/>
      <c r="X106" s="21"/>
      <c r="Y106" s="24"/>
      <c r="Z106" s="24"/>
      <c r="AA106" s="24"/>
      <c r="AD106" s="22"/>
      <c r="AE106" s="22"/>
      <c r="AF106" s="24"/>
    </row>
    <row r="107" spans="1:32" x14ac:dyDescent="0.25">
      <c r="A107" s="1"/>
      <c r="D107" s="4"/>
      <c r="E107" s="4"/>
      <c r="F107" s="4"/>
      <c r="G107" s="1"/>
      <c r="H107" s="1"/>
      <c r="I107" s="3"/>
      <c r="J107" s="3"/>
      <c r="K107" s="4"/>
      <c r="W107" s="21"/>
      <c r="X107" s="21"/>
      <c r="Y107" s="24"/>
      <c r="Z107" s="24"/>
      <c r="AA107" s="24"/>
      <c r="AD107" s="22"/>
      <c r="AE107" s="22"/>
      <c r="AF107" s="24"/>
    </row>
    <row r="108" spans="1:32" x14ac:dyDescent="0.25">
      <c r="A108" s="1"/>
      <c r="D108" s="4"/>
      <c r="E108" s="4"/>
      <c r="F108" s="4"/>
      <c r="G108" s="1"/>
      <c r="H108" s="1"/>
      <c r="I108" s="3"/>
      <c r="J108" s="3"/>
      <c r="K108" s="4"/>
      <c r="W108" s="21"/>
      <c r="X108" s="21"/>
      <c r="Y108" s="24"/>
      <c r="Z108" s="24"/>
      <c r="AA108" s="24"/>
      <c r="AD108" s="22"/>
      <c r="AE108" s="22"/>
      <c r="AF108" s="24"/>
    </row>
    <row r="109" spans="1:32" x14ac:dyDescent="0.25">
      <c r="A109" s="1"/>
      <c r="D109" s="4"/>
      <c r="E109" s="4"/>
      <c r="F109" s="4"/>
      <c r="G109" s="1"/>
      <c r="H109" s="1"/>
      <c r="I109" s="3"/>
      <c r="J109" s="3"/>
      <c r="K109" s="4"/>
      <c r="W109" s="21"/>
      <c r="X109" s="21"/>
      <c r="Y109" s="24"/>
      <c r="Z109" s="24"/>
      <c r="AA109" s="24"/>
      <c r="AD109" s="22"/>
      <c r="AE109" s="22"/>
      <c r="AF109" s="24"/>
    </row>
    <row r="110" spans="1:32" x14ac:dyDescent="0.25">
      <c r="A110" s="1"/>
      <c r="D110" s="4"/>
      <c r="E110" s="4"/>
      <c r="F110" s="4"/>
      <c r="G110" s="1"/>
      <c r="H110" s="1"/>
      <c r="I110" s="3"/>
      <c r="J110" s="3"/>
      <c r="K110" s="4"/>
      <c r="W110" s="21"/>
      <c r="X110" s="21"/>
      <c r="Y110" s="24"/>
      <c r="Z110" s="24"/>
      <c r="AA110" s="24"/>
      <c r="AD110" s="22"/>
      <c r="AE110" s="22"/>
      <c r="AF110" s="24"/>
    </row>
    <row r="111" spans="1:32" x14ac:dyDescent="0.25">
      <c r="A111" s="1"/>
      <c r="D111" s="4"/>
      <c r="E111" s="4"/>
      <c r="F111" s="4"/>
      <c r="G111" s="1"/>
      <c r="H111" s="1"/>
      <c r="I111" s="3"/>
      <c r="J111" s="3"/>
      <c r="K111" s="4"/>
      <c r="W111" s="21"/>
      <c r="X111" s="21"/>
      <c r="Y111" s="24"/>
      <c r="Z111" s="24"/>
      <c r="AA111" s="24"/>
      <c r="AD111" s="22"/>
      <c r="AE111" s="22"/>
      <c r="AF111" s="24"/>
    </row>
    <row r="112" spans="1:32" x14ac:dyDescent="0.25">
      <c r="A112" s="1"/>
      <c r="D112" s="4"/>
      <c r="E112" s="4"/>
      <c r="F112" s="4"/>
      <c r="G112" s="1"/>
      <c r="H112" s="1"/>
      <c r="I112" s="3"/>
      <c r="J112" s="3"/>
      <c r="K112" s="4"/>
      <c r="W112" s="21"/>
      <c r="X112" s="21"/>
      <c r="Y112" s="24"/>
      <c r="Z112" s="24"/>
      <c r="AA112" s="24"/>
      <c r="AD112" s="22"/>
      <c r="AE112" s="22"/>
      <c r="AF112" s="24"/>
    </row>
    <row r="113" spans="1:32" x14ac:dyDescent="0.25">
      <c r="A113" s="1"/>
      <c r="D113" s="4"/>
      <c r="E113" s="4"/>
      <c r="F113" s="4"/>
      <c r="G113" s="1"/>
      <c r="H113" s="1"/>
      <c r="I113" s="3"/>
      <c r="J113" s="3"/>
      <c r="K113" s="4"/>
      <c r="W113" s="21"/>
      <c r="X113" s="21"/>
      <c r="Y113" s="24"/>
      <c r="Z113" s="24"/>
      <c r="AA113" s="24"/>
      <c r="AD113" s="22"/>
      <c r="AE113" s="22"/>
      <c r="AF113" s="24"/>
    </row>
    <row r="114" spans="1:32" x14ac:dyDescent="0.25">
      <c r="A114" s="1"/>
      <c r="D114" s="4"/>
      <c r="E114" s="4"/>
      <c r="F114" s="4"/>
      <c r="G114" s="1"/>
      <c r="H114" s="1"/>
      <c r="I114" s="3"/>
      <c r="J114" s="3"/>
      <c r="K114" s="4"/>
      <c r="W114" s="21"/>
      <c r="X114" s="21"/>
      <c r="Y114" s="24"/>
      <c r="Z114" s="24"/>
      <c r="AA114" s="24"/>
      <c r="AD114" s="22"/>
      <c r="AE114" s="22"/>
      <c r="AF114" s="24"/>
    </row>
    <row r="115" spans="1:32" x14ac:dyDescent="0.25">
      <c r="A115" s="1"/>
      <c r="D115" s="4"/>
      <c r="E115" s="4"/>
      <c r="F115" s="4"/>
      <c r="G115" s="1"/>
      <c r="H115" s="1"/>
      <c r="I115" s="3"/>
      <c r="J115" s="3"/>
      <c r="K115" s="4"/>
      <c r="W115" s="21"/>
      <c r="X115" s="21"/>
      <c r="Y115" s="24"/>
      <c r="Z115" s="24"/>
      <c r="AA115" s="24"/>
      <c r="AD115" s="22"/>
      <c r="AE115" s="22"/>
      <c r="AF115" s="24"/>
    </row>
    <row r="116" spans="1:32" x14ac:dyDescent="0.25">
      <c r="A116" s="1"/>
      <c r="D116" s="4"/>
      <c r="E116" s="4"/>
      <c r="F116" s="4"/>
      <c r="G116" s="1"/>
      <c r="H116" s="1"/>
      <c r="I116" s="3"/>
      <c r="J116" s="3"/>
      <c r="K116" s="4"/>
      <c r="W116" s="21"/>
      <c r="X116" s="21"/>
      <c r="Y116" s="24"/>
      <c r="Z116" s="24"/>
      <c r="AA116" s="24"/>
      <c r="AD116" s="22"/>
      <c r="AE116" s="22"/>
      <c r="AF116" s="24"/>
    </row>
    <row r="117" spans="1:32" x14ac:dyDescent="0.25">
      <c r="A117" s="1"/>
      <c r="D117" s="4"/>
      <c r="E117" s="4"/>
      <c r="F117" s="4"/>
      <c r="G117" s="1"/>
      <c r="H117" s="1"/>
      <c r="I117" s="3"/>
      <c r="J117" s="3"/>
      <c r="K117" s="4"/>
      <c r="W117" s="21"/>
      <c r="X117" s="21"/>
      <c r="Y117" s="24"/>
      <c r="Z117" s="24"/>
      <c r="AA117" s="24"/>
      <c r="AD117" s="22"/>
      <c r="AE117" s="22"/>
      <c r="AF117" s="24"/>
    </row>
    <row r="118" spans="1:32" x14ac:dyDescent="0.25">
      <c r="A118" s="1"/>
      <c r="D118" s="4"/>
      <c r="E118" s="4"/>
      <c r="F118" s="4"/>
      <c r="G118" s="1"/>
      <c r="H118" s="1"/>
      <c r="I118" s="3"/>
      <c r="J118" s="3"/>
      <c r="K118" s="4"/>
      <c r="W118" s="21"/>
      <c r="X118" s="21"/>
      <c r="Y118" s="24"/>
      <c r="Z118" s="24"/>
      <c r="AA118" s="24"/>
      <c r="AD118" s="22"/>
      <c r="AE118" s="22"/>
      <c r="AF118" s="24"/>
    </row>
    <row r="119" spans="1:32" x14ac:dyDescent="0.25">
      <c r="A119" s="1"/>
      <c r="D119" s="4"/>
      <c r="E119" s="4"/>
      <c r="F119" s="4"/>
      <c r="G119" s="1"/>
      <c r="H119" s="1"/>
      <c r="I119" s="3"/>
      <c r="J119" s="3"/>
      <c r="K119" s="4"/>
      <c r="W119" s="21"/>
      <c r="X119" s="21"/>
      <c r="Y119" s="24"/>
      <c r="Z119" s="24"/>
      <c r="AA119" s="24"/>
      <c r="AD119" s="22"/>
      <c r="AE119" s="22"/>
      <c r="AF119" s="24"/>
    </row>
    <row r="120" spans="1:32" x14ac:dyDescent="0.25">
      <c r="A120" s="1"/>
      <c r="D120" s="4"/>
      <c r="E120" s="4"/>
      <c r="F120" s="4"/>
      <c r="G120" s="1"/>
      <c r="H120" s="1"/>
      <c r="I120" s="3"/>
      <c r="J120" s="3"/>
      <c r="K120" s="4"/>
      <c r="W120" s="21"/>
      <c r="X120" s="21"/>
      <c r="Y120" s="24"/>
      <c r="Z120" s="24"/>
      <c r="AA120" s="24"/>
      <c r="AD120" s="22"/>
      <c r="AE120" s="22"/>
      <c r="AF120" s="24"/>
    </row>
    <row r="121" spans="1:32" x14ac:dyDescent="0.25">
      <c r="A121" s="1"/>
      <c r="D121" s="4"/>
      <c r="E121" s="4"/>
      <c r="F121" s="4"/>
      <c r="G121" s="1"/>
      <c r="H121" s="1"/>
      <c r="I121" s="3"/>
      <c r="J121" s="3"/>
      <c r="K121" s="4"/>
      <c r="W121" s="21"/>
      <c r="X121" s="21"/>
      <c r="Y121" s="24"/>
      <c r="Z121" s="24"/>
      <c r="AA121" s="24"/>
      <c r="AD121" s="22"/>
      <c r="AE121" s="22"/>
      <c r="AF121" s="24"/>
    </row>
    <row r="122" spans="1:32" x14ac:dyDescent="0.25">
      <c r="A122" s="1"/>
      <c r="D122" s="4"/>
      <c r="E122" s="4"/>
      <c r="F122" s="4"/>
      <c r="G122" s="1"/>
      <c r="H122" s="1"/>
      <c r="I122" s="3"/>
      <c r="J122" s="3"/>
      <c r="K122" s="4"/>
      <c r="W122" s="21"/>
      <c r="X122" s="21"/>
      <c r="Y122" s="24"/>
      <c r="Z122" s="24"/>
      <c r="AA122" s="24"/>
      <c r="AD122" s="22"/>
      <c r="AE122" s="22"/>
      <c r="AF122" s="24"/>
    </row>
    <row r="123" spans="1:32" x14ac:dyDescent="0.25">
      <c r="A123" s="1"/>
      <c r="D123" s="4"/>
      <c r="E123" s="4"/>
      <c r="F123" s="4"/>
      <c r="G123" s="1"/>
      <c r="H123" s="1"/>
      <c r="I123" s="3"/>
      <c r="J123" s="3"/>
      <c r="K123" s="4"/>
      <c r="W123" s="21"/>
      <c r="X123" s="21"/>
      <c r="Y123" s="24"/>
      <c r="Z123" s="24"/>
      <c r="AA123" s="24"/>
      <c r="AD123" s="22"/>
      <c r="AE123" s="22"/>
      <c r="AF123" s="24"/>
    </row>
    <row r="124" spans="1:32" x14ac:dyDescent="0.25">
      <c r="A124" s="1"/>
      <c r="D124" s="4"/>
      <c r="E124" s="4"/>
      <c r="F124" s="4"/>
      <c r="G124" s="1"/>
      <c r="H124" s="1"/>
      <c r="I124" s="3"/>
      <c r="J124" s="3"/>
      <c r="K124" s="4"/>
      <c r="W124" s="21"/>
      <c r="X124" s="21"/>
      <c r="Y124" s="24"/>
      <c r="Z124" s="24"/>
      <c r="AA124" s="24"/>
      <c r="AD124" s="22"/>
      <c r="AE124" s="22"/>
      <c r="AF124" s="24"/>
    </row>
    <row r="125" spans="1:32" x14ac:dyDescent="0.25">
      <c r="A125" s="1"/>
      <c r="D125" s="4"/>
      <c r="E125" s="4"/>
      <c r="F125" s="4"/>
      <c r="G125" s="1"/>
      <c r="H125" s="1"/>
      <c r="I125" s="3"/>
      <c r="J125" s="3"/>
      <c r="K125" s="4"/>
      <c r="W125" s="21"/>
      <c r="X125" s="21"/>
      <c r="Y125" s="24"/>
      <c r="Z125" s="24"/>
      <c r="AA125" s="24"/>
      <c r="AD125" s="22"/>
      <c r="AE125" s="22"/>
      <c r="AF125" s="24"/>
    </row>
    <row r="126" spans="1:32" x14ac:dyDescent="0.25">
      <c r="A126" s="1"/>
      <c r="D126" s="4"/>
      <c r="E126" s="4"/>
      <c r="F126" s="4"/>
      <c r="G126" s="1"/>
      <c r="H126" s="1"/>
      <c r="I126" s="3"/>
      <c r="J126" s="3"/>
      <c r="K126" s="4"/>
      <c r="W126" s="21"/>
      <c r="X126" s="21"/>
      <c r="Y126" s="24"/>
      <c r="Z126" s="24"/>
      <c r="AA126" s="24"/>
      <c r="AD126" s="22"/>
      <c r="AE126" s="22"/>
      <c r="AF126" s="24"/>
    </row>
    <row r="127" spans="1:32" x14ac:dyDescent="0.25">
      <c r="A127" s="1"/>
      <c r="D127" s="4"/>
      <c r="E127" s="4"/>
      <c r="F127" s="4"/>
      <c r="G127" s="1"/>
      <c r="H127" s="1"/>
      <c r="I127" s="3"/>
      <c r="J127" s="3"/>
      <c r="K127" s="4"/>
      <c r="W127" s="21"/>
      <c r="X127" s="21"/>
      <c r="Y127" s="24"/>
      <c r="Z127" s="24"/>
      <c r="AA127" s="24"/>
      <c r="AD127" s="22"/>
      <c r="AE127" s="22"/>
      <c r="AF127" s="24"/>
    </row>
    <row r="128" spans="1:32" x14ac:dyDescent="0.25">
      <c r="A128" s="1"/>
      <c r="D128" s="4"/>
      <c r="E128" s="4"/>
      <c r="F128" s="4"/>
      <c r="G128" s="1"/>
      <c r="H128" s="1"/>
      <c r="I128" s="3"/>
      <c r="J128" s="3"/>
      <c r="K128" s="4"/>
      <c r="W128" s="21"/>
      <c r="X128" s="21"/>
      <c r="Y128" s="24"/>
      <c r="Z128" s="24"/>
      <c r="AA128" s="24"/>
      <c r="AD128" s="22"/>
      <c r="AE128" s="22"/>
      <c r="AF128" s="24"/>
    </row>
    <row r="129" spans="1:32" x14ac:dyDescent="0.25">
      <c r="A129" s="1"/>
      <c r="D129" s="4"/>
      <c r="E129" s="4"/>
      <c r="F129" s="4"/>
      <c r="G129" s="1"/>
      <c r="H129" s="1"/>
      <c r="I129" s="3"/>
      <c r="J129" s="3"/>
      <c r="K129" s="4"/>
      <c r="W129" s="21"/>
      <c r="X129" s="21"/>
      <c r="Y129" s="24"/>
      <c r="Z129" s="24"/>
      <c r="AA129" s="24"/>
      <c r="AD129" s="22"/>
      <c r="AE129" s="22"/>
      <c r="AF129" s="24"/>
    </row>
    <row r="130" spans="1:32" x14ac:dyDescent="0.25">
      <c r="A130" s="1"/>
      <c r="D130" s="4"/>
      <c r="E130" s="4"/>
      <c r="F130" s="4"/>
      <c r="G130" s="1"/>
      <c r="H130" s="1"/>
      <c r="I130" s="3"/>
      <c r="J130" s="3"/>
      <c r="K130" s="4"/>
      <c r="W130" s="21"/>
      <c r="X130" s="21"/>
      <c r="Y130" s="24"/>
      <c r="Z130" s="24"/>
      <c r="AA130" s="24"/>
      <c r="AD130" s="22"/>
      <c r="AE130" s="22"/>
      <c r="AF130" s="24"/>
    </row>
    <row r="131" spans="1:32" x14ac:dyDescent="0.25">
      <c r="A131" s="1"/>
      <c r="D131" s="4"/>
      <c r="E131" s="4"/>
      <c r="F131" s="4"/>
      <c r="G131" s="1"/>
      <c r="H131" s="1"/>
      <c r="I131" s="3"/>
      <c r="J131" s="3"/>
      <c r="K131" s="4"/>
      <c r="W131" s="21"/>
      <c r="X131" s="21"/>
      <c r="Y131" s="24"/>
      <c r="Z131" s="24"/>
      <c r="AA131" s="24"/>
      <c r="AD131" s="22"/>
      <c r="AE131" s="22"/>
      <c r="AF131" s="24"/>
    </row>
    <row r="132" spans="1:32" x14ac:dyDescent="0.25">
      <c r="A132" s="1"/>
      <c r="D132" s="4"/>
      <c r="E132" s="4"/>
      <c r="F132" s="4"/>
      <c r="G132" s="1"/>
      <c r="H132" s="1"/>
      <c r="I132" s="3"/>
      <c r="J132" s="3"/>
      <c r="K132" s="4"/>
      <c r="W132" s="21"/>
      <c r="X132" s="21"/>
      <c r="Y132" s="24"/>
      <c r="Z132" s="24"/>
      <c r="AA132" s="24"/>
      <c r="AD132" s="22"/>
      <c r="AE132" s="22"/>
      <c r="AF132" s="24"/>
    </row>
    <row r="133" spans="1:32" x14ac:dyDescent="0.25">
      <c r="A133" s="1"/>
      <c r="D133" s="4"/>
      <c r="E133" s="4"/>
      <c r="F133" s="4"/>
      <c r="G133" s="1"/>
      <c r="H133" s="1"/>
      <c r="I133" s="3"/>
      <c r="J133" s="3"/>
      <c r="K133" s="4"/>
      <c r="W133" s="21"/>
      <c r="X133" s="21"/>
      <c r="Y133" s="24"/>
      <c r="Z133" s="24"/>
      <c r="AA133" s="24"/>
      <c r="AD133" s="22"/>
      <c r="AE133" s="22"/>
      <c r="AF133" s="24"/>
    </row>
    <row r="134" spans="1:32" x14ac:dyDescent="0.25">
      <c r="A134" s="1"/>
      <c r="D134" s="4"/>
      <c r="E134" s="4"/>
      <c r="F134" s="4"/>
      <c r="G134" s="1"/>
      <c r="H134" s="1"/>
      <c r="I134" s="3"/>
      <c r="J134" s="3"/>
      <c r="K134" s="4"/>
      <c r="W134" s="21"/>
      <c r="X134" s="21"/>
      <c r="Y134" s="24"/>
      <c r="Z134" s="24"/>
      <c r="AA134" s="24"/>
      <c r="AD134" s="22"/>
      <c r="AE134" s="22"/>
      <c r="AF134" s="24"/>
    </row>
    <row r="135" spans="1:32" x14ac:dyDescent="0.25">
      <c r="A135" s="1"/>
      <c r="D135" s="4"/>
      <c r="E135" s="4"/>
      <c r="F135" s="4"/>
      <c r="G135" s="1"/>
      <c r="H135" s="1"/>
      <c r="I135" s="3"/>
      <c r="J135" s="3"/>
      <c r="K135" s="4"/>
      <c r="W135" s="21"/>
      <c r="X135" s="21"/>
      <c r="Y135" s="24"/>
      <c r="Z135" s="24"/>
      <c r="AA135" s="24"/>
      <c r="AD135" s="22"/>
      <c r="AE135" s="22"/>
      <c r="AF135" s="24"/>
    </row>
    <row r="136" spans="1:32" x14ac:dyDescent="0.25">
      <c r="A136" s="1"/>
      <c r="D136" s="4"/>
      <c r="E136" s="4"/>
      <c r="F136" s="4"/>
      <c r="G136" s="1"/>
      <c r="H136" s="1"/>
      <c r="I136" s="3"/>
      <c r="J136" s="3"/>
      <c r="K136" s="4"/>
      <c r="W136" s="21"/>
      <c r="X136" s="21"/>
      <c r="Y136" s="24"/>
      <c r="Z136" s="24"/>
      <c r="AA136" s="24"/>
      <c r="AD136" s="22"/>
      <c r="AE136" s="22"/>
      <c r="AF136" s="24"/>
    </row>
    <row r="137" spans="1:32" x14ac:dyDescent="0.25">
      <c r="A137" s="1"/>
      <c r="D137" s="4"/>
      <c r="E137" s="4"/>
      <c r="F137" s="4"/>
      <c r="G137" s="1"/>
      <c r="H137" s="1"/>
      <c r="I137" s="3"/>
      <c r="J137" s="3"/>
      <c r="K137" s="4"/>
      <c r="W137" s="21"/>
      <c r="X137" s="21"/>
      <c r="Y137" s="24"/>
      <c r="Z137" s="24"/>
      <c r="AA137" s="24"/>
      <c r="AD137" s="22"/>
      <c r="AE137" s="22"/>
      <c r="AF137" s="24"/>
    </row>
    <row r="138" spans="1:32" x14ac:dyDescent="0.25">
      <c r="A138" s="1"/>
      <c r="D138" s="4"/>
      <c r="E138" s="4"/>
      <c r="F138" s="4"/>
      <c r="G138" s="1"/>
      <c r="H138" s="1"/>
      <c r="I138" s="3"/>
      <c r="J138" s="3"/>
      <c r="K138" s="4"/>
      <c r="W138" s="21"/>
      <c r="X138" s="21"/>
      <c r="Y138" s="24"/>
      <c r="Z138" s="24"/>
      <c r="AA138" s="24"/>
      <c r="AD138" s="22"/>
      <c r="AE138" s="22"/>
      <c r="AF138" s="24"/>
    </row>
    <row r="139" spans="1:32" x14ac:dyDescent="0.25">
      <c r="A139" s="1"/>
      <c r="D139" s="4"/>
      <c r="E139" s="4"/>
      <c r="F139" s="4"/>
      <c r="G139" s="1"/>
      <c r="H139" s="1"/>
      <c r="I139" s="3"/>
      <c r="J139" s="3"/>
      <c r="K139" s="4"/>
      <c r="W139" s="21"/>
      <c r="X139" s="21"/>
      <c r="Y139" s="24"/>
      <c r="Z139" s="24"/>
      <c r="AA139" s="24"/>
      <c r="AD139" s="22"/>
      <c r="AE139" s="22"/>
      <c r="AF139" s="24"/>
    </row>
    <row r="140" spans="1:32" x14ac:dyDescent="0.25">
      <c r="A140" s="1"/>
      <c r="D140" s="4"/>
      <c r="E140" s="4"/>
      <c r="F140" s="4"/>
      <c r="G140" s="1"/>
      <c r="H140" s="1"/>
      <c r="I140" s="3"/>
      <c r="J140" s="3"/>
      <c r="K140" s="4"/>
      <c r="W140" s="21"/>
      <c r="X140" s="21"/>
      <c r="Y140" s="24"/>
      <c r="Z140" s="24"/>
      <c r="AA140" s="24"/>
      <c r="AD140" s="22"/>
      <c r="AE140" s="22"/>
      <c r="AF140" s="24"/>
    </row>
    <row r="141" spans="1:32" x14ac:dyDescent="0.25">
      <c r="A141" s="1"/>
      <c r="D141" s="4"/>
      <c r="E141" s="4"/>
      <c r="F141" s="4"/>
      <c r="G141" s="1"/>
      <c r="H141" s="1"/>
      <c r="I141" s="3"/>
      <c r="J141" s="3"/>
      <c r="K141" s="4"/>
      <c r="W141" s="21"/>
      <c r="X141" s="21"/>
      <c r="Y141" s="24"/>
      <c r="Z141" s="24"/>
      <c r="AA141" s="24"/>
      <c r="AD141" s="22"/>
      <c r="AE141" s="22"/>
      <c r="AF141" s="24"/>
    </row>
    <row r="142" spans="1:32" x14ac:dyDescent="0.25">
      <c r="A142" s="1"/>
      <c r="D142" s="4"/>
      <c r="E142" s="4"/>
      <c r="F142" s="4"/>
      <c r="G142" s="1"/>
      <c r="H142" s="1"/>
      <c r="I142" s="3"/>
      <c r="J142" s="3"/>
      <c r="K142" s="4"/>
      <c r="W142" s="21"/>
      <c r="X142" s="21"/>
      <c r="Y142" s="24"/>
      <c r="Z142" s="24"/>
      <c r="AA142" s="24"/>
      <c r="AD142" s="22"/>
      <c r="AE142" s="22"/>
      <c r="AF142" s="24"/>
    </row>
    <row r="143" spans="1:32" x14ac:dyDescent="0.25">
      <c r="A143" s="1"/>
      <c r="D143" s="4"/>
      <c r="E143" s="4"/>
      <c r="F143" s="4"/>
      <c r="G143" s="1"/>
      <c r="H143" s="1"/>
      <c r="I143" s="3"/>
      <c r="J143" s="3"/>
      <c r="K143" s="4"/>
      <c r="W143" s="21"/>
      <c r="X143" s="21"/>
      <c r="Y143" s="24"/>
      <c r="Z143" s="24"/>
      <c r="AA143" s="24"/>
      <c r="AD143" s="22"/>
      <c r="AE143" s="22"/>
      <c r="AF143" s="24"/>
    </row>
    <row r="144" spans="1:32" x14ac:dyDescent="0.25">
      <c r="A144" s="1"/>
      <c r="D144" s="4"/>
      <c r="E144" s="4"/>
      <c r="F144" s="4"/>
      <c r="G144" s="1"/>
      <c r="H144" s="1"/>
      <c r="I144" s="3"/>
      <c r="J144" s="3"/>
      <c r="K144" s="4"/>
      <c r="W144" s="21"/>
      <c r="X144" s="21"/>
      <c r="Y144" s="24"/>
      <c r="Z144" s="24"/>
      <c r="AA144" s="24"/>
      <c r="AD144" s="22"/>
      <c r="AE144" s="22"/>
      <c r="AF144" s="24"/>
    </row>
    <row r="145" spans="1:32" x14ac:dyDescent="0.25">
      <c r="A145" s="1"/>
      <c r="D145" s="4"/>
      <c r="E145" s="4"/>
      <c r="F145" s="4"/>
      <c r="G145" s="1"/>
      <c r="H145" s="1"/>
      <c r="I145" s="3"/>
      <c r="J145" s="3"/>
      <c r="K145" s="4"/>
      <c r="W145" s="21"/>
      <c r="X145" s="21"/>
      <c r="Y145" s="24"/>
      <c r="Z145" s="24"/>
      <c r="AA145" s="24"/>
      <c r="AD145" s="22"/>
      <c r="AE145" s="22"/>
      <c r="AF145" s="24"/>
    </row>
    <row r="146" spans="1:32" x14ac:dyDescent="0.25">
      <c r="A146" s="1"/>
      <c r="D146" s="4"/>
      <c r="E146" s="4"/>
      <c r="F146" s="4"/>
      <c r="G146" s="1"/>
      <c r="H146" s="1"/>
      <c r="I146" s="3"/>
      <c r="J146" s="3"/>
      <c r="K146" s="4"/>
      <c r="W146" s="21"/>
      <c r="X146" s="21"/>
      <c r="Y146" s="24"/>
      <c r="Z146" s="24"/>
      <c r="AA146" s="24"/>
      <c r="AD146" s="22"/>
      <c r="AE146" s="22"/>
      <c r="AF146" s="24"/>
    </row>
    <row r="147" spans="1:32" x14ac:dyDescent="0.25">
      <c r="A147" s="1"/>
      <c r="D147" s="4"/>
      <c r="E147" s="4"/>
      <c r="F147" s="4"/>
      <c r="G147" s="1"/>
      <c r="H147" s="1"/>
      <c r="I147" s="3"/>
      <c r="J147" s="3"/>
      <c r="K147" s="4"/>
      <c r="W147" s="21"/>
      <c r="X147" s="21"/>
      <c r="Y147" s="24"/>
      <c r="Z147" s="24"/>
      <c r="AA147" s="24"/>
      <c r="AD147" s="22"/>
      <c r="AE147" s="22"/>
      <c r="AF147" s="24"/>
    </row>
    <row r="148" spans="1:32" x14ac:dyDescent="0.25">
      <c r="A148" s="1"/>
      <c r="D148" s="4"/>
      <c r="E148" s="4"/>
      <c r="F148" s="4"/>
      <c r="G148" s="1"/>
      <c r="H148" s="1"/>
      <c r="I148" s="3"/>
      <c r="J148" s="3"/>
      <c r="K148" s="4"/>
      <c r="W148" s="21"/>
      <c r="X148" s="21"/>
      <c r="Y148" s="24"/>
      <c r="Z148" s="24"/>
      <c r="AA148" s="24"/>
      <c r="AD148" s="22"/>
      <c r="AE148" s="22"/>
      <c r="AF148" s="24"/>
    </row>
    <row r="149" spans="1:32" x14ac:dyDescent="0.25">
      <c r="A149" s="1"/>
      <c r="D149" s="4"/>
      <c r="E149" s="4"/>
      <c r="F149" s="4"/>
      <c r="G149" s="1"/>
      <c r="H149" s="1"/>
      <c r="I149" s="3"/>
      <c r="J149" s="3"/>
      <c r="K149" s="4"/>
      <c r="W149" s="21"/>
      <c r="X149" s="21"/>
      <c r="Y149" s="24"/>
      <c r="Z149" s="24"/>
      <c r="AA149" s="24"/>
      <c r="AD149" s="22"/>
      <c r="AE149" s="22"/>
      <c r="AF149" s="24"/>
    </row>
    <row r="150" spans="1:32" x14ac:dyDescent="0.25">
      <c r="A150" s="1"/>
      <c r="D150" s="4"/>
      <c r="E150" s="4"/>
      <c r="F150" s="4"/>
      <c r="G150" s="1"/>
      <c r="H150" s="1"/>
      <c r="I150" s="3"/>
      <c r="J150" s="3"/>
      <c r="K150" s="4"/>
      <c r="W150" s="21"/>
      <c r="X150" s="21"/>
      <c r="Y150" s="24"/>
      <c r="Z150" s="24"/>
      <c r="AA150" s="24"/>
      <c r="AD150" s="22"/>
      <c r="AE150" s="22"/>
      <c r="AF150" s="24"/>
    </row>
    <row r="151" spans="1:32" x14ac:dyDescent="0.25">
      <c r="A151" s="1"/>
      <c r="D151" s="4"/>
      <c r="E151" s="4"/>
      <c r="F151" s="4"/>
      <c r="G151" s="1"/>
      <c r="H151" s="1"/>
      <c r="I151" s="3"/>
      <c r="J151" s="3"/>
      <c r="K151" s="4"/>
      <c r="W151" s="21"/>
      <c r="X151" s="21"/>
      <c r="Y151" s="24"/>
      <c r="Z151" s="24"/>
      <c r="AA151" s="24"/>
      <c r="AD151" s="22"/>
      <c r="AE151" s="22"/>
      <c r="AF151" s="24"/>
    </row>
    <row r="152" spans="1:32" x14ac:dyDescent="0.25">
      <c r="A152" s="1"/>
      <c r="D152" s="4"/>
      <c r="E152" s="4"/>
      <c r="F152" s="4"/>
      <c r="G152" s="1"/>
      <c r="H152" s="1"/>
      <c r="I152" s="3"/>
      <c r="J152" s="3"/>
      <c r="K152" s="4"/>
      <c r="W152" s="21"/>
      <c r="X152" s="21"/>
      <c r="Y152" s="24"/>
      <c r="Z152" s="24"/>
      <c r="AA152" s="24"/>
      <c r="AD152" s="22"/>
      <c r="AE152" s="22"/>
      <c r="AF152" s="24"/>
    </row>
    <row r="153" spans="1:32" x14ac:dyDescent="0.25">
      <c r="A153" s="1"/>
      <c r="D153" s="4"/>
      <c r="E153" s="4"/>
      <c r="F153" s="4"/>
      <c r="G153" s="1"/>
      <c r="H153" s="1"/>
      <c r="I153" s="3"/>
      <c r="J153" s="3"/>
      <c r="K153" s="4"/>
      <c r="W153" s="21"/>
      <c r="X153" s="21"/>
      <c r="Y153" s="24"/>
      <c r="Z153" s="24"/>
      <c r="AA153" s="24"/>
      <c r="AD153" s="22"/>
      <c r="AE153" s="22"/>
      <c r="AF153" s="24"/>
    </row>
    <row r="154" spans="1:32" x14ac:dyDescent="0.25">
      <c r="A154" s="1"/>
      <c r="D154" s="4"/>
      <c r="E154" s="4"/>
      <c r="F154" s="4"/>
      <c r="G154" s="1"/>
      <c r="H154" s="1"/>
      <c r="I154" s="3"/>
      <c r="J154" s="3"/>
      <c r="K154" s="4"/>
      <c r="W154" s="21"/>
      <c r="X154" s="21"/>
      <c r="Y154" s="24"/>
      <c r="Z154" s="24"/>
      <c r="AA154" s="24"/>
      <c r="AD154" s="22"/>
      <c r="AE154" s="22"/>
      <c r="AF154" s="24"/>
    </row>
    <row r="155" spans="1:32" x14ac:dyDescent="0.25">
      <c r="A155" s="1"/>
      <c r="D155" s="4"/>
      <c r="E155" s="4"/>
      <c r="F155" s="4"/>
      <c r="G155" s="1"/>
      <c r="H155" s="1"/>
      <c r="I155" s="3"/>
      <c r="J155" s="3"/>
      <c r="K155" s="4"/>
      <c r="W155" s="21"/>
      <c r="X155" s="21"/>
      <c r="Y155" s="24"/>
      <c r="Z155" s="24"/>
      <c r="AA155" s="24"/>
      <c r="AD155" s="22"/>
      <c r="AE155" s="22"/>
      <c r="AF155" s="24"/>
    </row>
    <row r="156" spans="1:32" x14ac:dyDescent="0.25">
      <c r="A156" s="1"/>
      <c r="D156" s="4"/>
      <c r="E156" s="4"/>
      <c r="F156" s="4"/>
      <c r="G156" s="1"/>
      <c r="H156" s="1"/>
      <c r="I156" s="3"/>
      <c r="J156" s="3"/>
      <c r="K156" s="4"/>
      <c r="W156" s="21"/>
      <c r="X156" s="21"/>
      <c r="Y156" s="24"/>
      <c r="Z156" s="24"/>
      <c r="AA156" s="24"/>
      <c r="AD156" s="22"/>
      <c r="AE156" s="22"/>
      <c r="AF156" s="24"/>
    </row>
    <row r="157" spans="1:32" x14ac:dyDescent="0.25">
      <c r="A157" s="1"/>
      <c r="D157" s="4"/>
      <c r="E157" s="4"/>
      <c r="F157" s="4"/>
      <c r="G157" s="1"/>
      <c r="H157" s="1"/>
      <c r="I157" s="3"/>
      <c r="J157" s="3"/>
      <c r="K157" s="4"/>
      <c r="W157" s="21"/>
      <c r="X157" s="21"/>
      <c r="Y157" s="24"/>
      <c r="Z157" s="24"/>
      <c r="AA157" s="24"/>
      <c r="AD157" s="22"/>
      <c r="AE157" s="22"/>
      <c r="AF157" s="24"/>
    </row>
    <row r="158" spans="1:32" x14ac:dyDescent="0.25">
      <c r="A158" s="1"/>
      <c r="D158" s="4"/>
      <c r="E158" s="4"/>
      <c r="F158" s="4"/>
      <c r="G158" s="1"/>
      <c r="H158" s="1"/>
      <c r="I158" s="3"/>
      <c r="J158" s="3"/>
      <c r="K158" s="4"/>
      <c r="W158" s="21"/>
      <c r="X158" s="21"/>
      <c r="Y158" s="24"/>
      <c r="Z158" s="24"/>
      <c r="AA158" s="24"/>
      <c r="AD158" s="22"/>
      <c r="AE158" s="22"/>
      <c r="AF158" s="24"/>
    </row>
    <row r="159" spans="1:32" x14ac:dyDescent="0.25">
      <c r="A159" s="1"/>
      <c r="D159" s="4"/>
      <c r="E159" s="4"/>
      <c r="F159" s="4"/>
      <c r="G159" s="1"/>
      <c r="H159" s="1"/>
      <c r="I159" s="3"/>
      <c r="J159" s="3"/>
      <c r="K159" s="4"/>
      <c r="W159" s="21"/>
      <c r="X159" s="21"/>
      <c r="Y159" s="24"/>
      <c r="Z159" s="24"/>
      <c r="AA159" s="24"/>
      <c r="AD159" s="22"/>
      <c r="AE159" s="22"/>
      <c r="AF159" s="24"/>
    </row>
    <row r="160" spans="1:32" x14ac:dyDescent="0.25">
      <c r="A160" s="1"/>
      <c r="D160" s="4"/>
      <c r="E160" s="4"/>
      <c r="F160" s="4"/>
      <c r="G160" s="1"/>
      <c r="H160" s="1"/>
      <c r="I160" s="3"/>
      <c r="J160" s="3"/>
      <c r="K160" s="4"/>
      <c r="W160" s="21"/>
      <c r="X160" s="21"/>
      <c r="Y160" s="24"/>
      <c r="Z160" s="24"/>
      <c r="AA160" s="24"/>
      <c r="AD160" s="22"/>
      <c r="AE160" s="22"/>
      <c r="AF160" s="24"/>
    </row>
    <row r="161" spans="1:32" x14ac:dyDescent="0.25">
      <c r="A161" s="1"/>
      <c r="D161" s="4"/>
      <c r="E161" s="4"/>
      <c r="F161" s="4"/>
      <c r="G161" s="1"/>
      <c r="H161" s="1"/>
      <c r="I161" s="3"/>
      <c r="J161" s="3"/>
      <c r="K161" s="4"/>
      <c r="W161" s="21"/>
      <c r="X161" s="21"/>
      <c r="Y161" s="24"/>
      <c r="Z161" s="24"/>
      <c r="AA161" s="24"/>
      <c r="AD161" s="22"/>
      <c r="AE161" s="22"/>
      <c r="AF161" s="24"/>
    </row>
    <row r="162" spans="1:32" x14ac:dyDescent="0.25">
      <c r="A162" s="1"/>
      <c r="D162" s="4"/>
      <c r="E162" s="4"/>
      <c r="F162" s="4"/>
      <c r="G162" s="1"/>
      <c r="H162" s="1"/>
      <c r="I162" s="3"/>
      <c r="J162" s="3"/>
      <c r="K162" s="4"/>
      <c r="W162" s="21"/>
      <c r="X162" s="21"/>
      <c r="Y162" s="24"/>
      <c r="Z162" s="24"/>
      <c r="AA162" s="24"/>
      <c r="AD162" s="22"/>
      <c r="AE162" s="22"/>
      <c r="AF162" s="24"/>
    </row>
    <row r="163" spans="1:32" x14ac:dyDescent="0.25">
      <c r="A163" s="1"/>
      <c r="D163" s="4"/>
      <c r="E163" s="4"/>
      <c r="F163" s="4"/>
      <c r="G163" s="1"/>
      <c r="H163" s="1"/>
      <c r="I163" s="3"/>
      <c r="J163" s="3"/>
      <c r="K163" s="4"/>
      <c r="W163" s="21"/>
      <c r="X163" s="21"/>
      <c r="Y163" s="24"/>
      <c r="Z163" s="24"/>
      <c r="AA163" s="24"/>
      <c r="AD163" s="22"/>
      <c r="AE163" s="22"/>
      <c r="AF163" s="24"/>
    </row>
    <row r="164" spans="1:32" x14ac:dyDescent="0.25">
      <c r="A164" s="1"/>
      <c r="D164" s="4"/>
      <c r="E164" s="4"/>
      <c r="F164" s="4"/>
      <c r="G164" s="1"/>
      <c r="H164" s="1"/>
      <c r="I164" s="3"/>
      <c r="J164" s="3"/>
      <c r="K164" s="4"/>
      <c r="W164" s="21"/>
      <c r="X164" s="21"/>
      <c r="Y164" s="24"/>
      <c r="Z164" s="24"/>
      <c r="AA164" s="24"/>
      <c r="AD164" s="22"/>
      <c r="AE164" s="22"/>
      <c r="AF164" s="24"/>
    </row>
    <row r="165" spans="1:32" x14ac:dyDescent="0.25">
      <c r="A165" s="1"/>
      <c r="D165" s="4"/>
      <c r="E165" s="4"/>
      <c r="F165" s="4"/>
      <c r="G165" s="1"/>
      <c r="H165" s="1"/>
      <c r="I165" s="3"/>
      <c r="J165" s="3"/>
      <c r="K165" s="4"/>
      <c r="W165" s="21"/>
      <c r="X165" s="21"/>
      <c r="Y165" s="24"/>
      <c r="Z165" s="24"/>
      <c r="AA165" s="24"/>
      <c r="AD165" s="22"/>
      <c r="AE165" s="22"/>
      <c r="AF165" s="24"/>
    </row>
    <row r="166" spans="1:32" x14ac:dyDescent="0.25">
      <c r="A166" s="1"/>
      <c r="D166" s="4"/>
      <c r="E166" s="4"/>
      <c r="F166" s="4"/>
      <c r="G166" s="1"/>
      <c r="H166" s="1"/>
      <c r="I166" s="3"/>
      <c r="J166" s="3"/>
      <c r="K166" s="4"/>
      <c r="W166" s="21"/>
      <c r="X166" s="21"/>
      <c r="Y166" s="24"/>
      <c r="Z166" s="24"/>
      <c r="AA166" s="24"/>
      <c r="AD166" s="22"/>
      <c r="AE166" s="22"/>
      <c r="AF166" s="24"/>
    </row>
    <row r="167" spans="1:32" x14ac:dyDescent="0.25">
      <c r="A167" s="1"/>
      <c r="D167" s="4"/>
      <c r="E167" s="4"/>
      <c r="F167" s="4"/>
      <c r="G167" s="1"/>
      <c r="H167" s="1"/>
      <c r="I167" s="3"/>
      <c r="J167" s="3"/>
      <c r="K167" s="4"/>
      <c r="W167" s="21"/>
      <c r="X167" s="21"/>
      <c r="Y167" s="24"/>
      <c r="Z167" s="24"/>
      <c r="AA167" s="24"/>
      <c r="AD167" s="22"/>
      <c r="AE167" s="22"/>
      <c r="AF167" s="24"/>
    </row>
    <row r="168" spans="1:32" x14ac:dyDescent="0.25">
      <c r="A168" s="1"/>
      <c r="D168" s="4"/>
      <c r="E168" s="4"/>
      <c r="F168" s="4"/>
      <c r="G168" s="1"/>
      <c r="H168" s="1"/>
      <c r="I168" s="3"/>
      <c r="J168" s="3"/>
      <c r="K168" s="4"/>
      <c r="W168" s="21"/>
      <c r="X168" s="21"/>
      <c r="Y168" s="24"/>
      <c r="Z168" s="24"/>
      <c r="AA168" s="24"/>
      <c r="AD168" s="22"/>
      <c r="AE168" s="22"/>
      <c r="AF168" s="24"/>
    </row>
    <row r="169" spans="1:32" x14ac:dyDescent="0.25">
      <c r="A169" s="1"/>
      <c r="D169" s="4"/>
      <c r="E169" s="4"/>
      <c r="F169" s="4"/>
      <c r="G169" s="1"/>
      <c r="H169" s="1"/>
      <c r="I169" s="3"/>
      <c r="J169" s="3"/>
      <c r="K169" s="4"/>
      <c r="W169" s="21"/>
      <c r="X169" s="21"/>
      <c r="Y169" s="24"/>
      <c r="Z169" s="24"/>
      <c r="AA169" s="24"/>
      <c r="AD169" s="22"/>
      <c r="AE169" s="22"/>
      <c r="AF169" s="24"/>
    </row>
    <row r="170" spans="1:32" x14ac:dyDescent="0.25">
      <c r="A170" s="1"/>
      <c r="D170" s="4"/>
      <c r="E170" s="4"/>
      <c r="F170" s="4"/>
      <c r="G170" s="1"/>
      <c r="H170" s="1"/>
      <c r="I170" s="3"/>
      <c r="J170" s="3"/>
      <c r="K170" s="4"/>
      <c r="W170" s="21"/>
      <c r="X170" s="21"/>
      <c r="Y170" s="24"/>
      <c r="Z170" s="24"/>
      <c r="AA170" s="24"/>
      <c r="AD170" s="22"/>
      <c r="AE170" s="22"/>
      <c r="AF170" s="24"/>
    </row>
    <row r="171" spans="1:32" x14ac:dyDescent="0.25">
      <c r="A171" s="1"/>
      <c r="D171" s="4"/>
      <c r="E171" s="4"/>
      <c r="F171" s="4"/>
      <c r="G171" s="1"/>
      <c r="H171" s="1"/>
      <c r="I171" s="3"/>
      <c r="J171" s="3"/>
      <c r="K171" s="4"/>
      <c r="W171" s="21"/>
      <c r="X171" s="21"/>
      <c r="Y171" s="24"/>
      <c r="Z171" s="24"/>
      <c r="AA171" s="24"/>
      <c r="AD171" s="22"/>
      <c r="AE171" s="22"/>
      <c r="AF171" s="24"/>
    </row>
    <row r="172" spans="1:32" x14ac:dyDescent="0.25">
      <c r="A172" s="1"/>
      <c r="D172" s="4"/>
      <c r="E172" s="4"/>
      <c r="F172" s="4"/>
      <c r="G172" s="1"/>
      <c r="H172" s="1"/>
      <c r="I172" s="3"/>
      <c r="J172" s="3"/>
      <c r="K172" s="4"/>
      <c r="W172" s="21"/>
      <c r="X172" s="21"/>
      <c r="Y172" s="24"/>
      <c r="Z172" s="24"/>
      <c r="AA172" s="24"/>
      <c r="AD172" s="22"/>
      <c r="AE172" s="22"/>
      <c r="AF172" s="24"/>
    </row>
    <row r="173" spans="1:32" x14ac:dyDescent="0.25">
      <c r="A173" s="1"/>
      <c r="D173" s="4"/>
      <c r="E173" s="4"/>
      <c r="F173" s="4"/>
      <c r="G173" s="1"/>
      <c r="H173" s="1"/>
      <c r="I173" s="3"/>
      <c r="J173" s="3"/>
      <c r="K173" s="4"/>
      <c r="W173" s="21"/>
      <c r="X173" s="21"/>
      <c r="Y173" s="24"/>
      <c r="Z173" s="24"/>
      <c r="AA173" s="24"/>
      <c r="AD173" s="22"/>
      <c r="AE173" s="22"/>
      <c r="AF173" s="24"/>
    </row>
    <row r="174" spans="1:32" x14ac:dyDescent="0.25">
      <c r="A174" s="1"/>
      <c r="D174" s="4"/>
      <c r="E174" s="4"/>
      <c r="F174" s="4"/>
      <c r="G174" s="1"/>
      <c r="H174" s="1"/>
      <c r="I174" s="3"/>
      <c r="J174" s="3"/>
      <c r="K174" s="4"/>
      <c r="W174" s="21"/>
      <c r="X174" s="21"/>
      <c r="Y174" s="24"/>
      <c r="Z174" s="24"/>
      <c r="AA174" s="24"/>
      <c r="AD174" s="22"/>
      <c r="AE174" s="22"/>
      <c r="AF174" s="24"/>
    </row>
    <row r="175" spans="1:32" x14ac:dyDescent="0.25">
      <c r="A175" s="1"/>
      <c r="D175" s="4"/>
      <c r="E175" s="4"/>
      <c r="F175" s="4"/>
      <c r="G175" s="1"/>
      <c r="H175" s="1"/>
      <c r="I175" s="3"/>
      <c r="J175" s="3"/>
      <c r="K175" s="4"/>
      <c r="W175" s="21"/>
      <c r="X175" s="21"/>
      <c r="Y175" s="24"/>
      <c r="Z175" s="24"/>
      <c r="AA175" s="24"/>
      <c r="AD175" s="22"/>
      <c r="AE175" s="22"/>
      <c r="AF175" s="24"/>
    </row>
    <row r="176" spans="1:32" x14ac:dyDescent="0.25">
      <c r="A176" s="1"/>
      <c r="D176" s="4"/>
      <c r="E176" s="4"/>
      <c r="F176" s="4"/>
      <c r="G176" s="1"/>
      <c r="H176" s="1"/>
      <c r="I176" s="3"/>
      <c r="J176" s="3"/>
      <c r="K176" s="4"/>
      <c r="W176" s="21"/>
      <c r="X176" s="21"/>
      <c r="Y176" s="24"/>
      <c r="Z176" s="24"/>
      <c r="AA176" s="24"/>
      <c r="AD176" s="22"/>
      <c r="AE176" s="22"/>
      <c r="AF176" s="24"/>
    </row>
    <row r="177" spans="1:32" x14ac:dyDescent="0.25">
      <c r="A177" s="1"/>
      <c r="D177" s="4"/>
      <c r="E177" s="4"/>
      <c r="F177" s="4"/>
      <c r="G177" s="1"/>
      <c r="H177" s="1"/>
      <c r="I177" s="3"/>
      <c r="J177" s="3"/>
      <c r="K177" s="4"/>
      <c r="W177" s="21"/>
      <c r="X177" s="21"/>
      <c r="Y177" s="24"/>
      <c r="Z177" s="24"/>
      <c r="AA177" s="24"/>
      <c r="AD177" s="22"/>
      <c r="AE177" s="22"/>
      <c r="AF177" s="24"/>
    </row>
    <row r="178" spans="1:32" x14ac:dyDescent="0.25">
      <c r="A178" s="1"/>
      <c r="D178" s="4"/>
      <c r="E178" s="4"/>
      <c r="F178" s="4"/>
      <c r="G178" s="1"/>
      <c r="H178" s="1"/>
      <c r="I178" s="3"/>
      <c r="J178" s="3"/>
      <c r="K178" s="4"/>
      <c r="W178" s="21"/>
      <c r="X178" s="21"/>
      <c r="Y178" s="24"/>
      <c r="Z178" s="24"/>
      <c r="AA178" s="24"/>
      <c r="AD178" s="22"/>
      <c r="AE178" s="22"/>
      <c r="AF178" s="24"/>
    </row>
    <row r="179" spans="1:32" x14ac:dyDescent="0.25">
      <c r="A179" s="1"/>
      <c r="D179" s="4"/>
      <c r="E179" s="4"/>
      <c r="F179" s="4"/>
      <c r="G179" s="1"/>
      <c r="H179" s="1"/>
      <c r="I179" s="3"/>
      <c r="J179" s="3"/>
      <c r="K179" s="4"/>
      <c r="W179" s="21"/>
      <c r="X179" s="21"/>
      <c r="Y179" s="24"/>
      <c r="Z179" s="24"/>
      <c r="AA179" s="24"/>
      <c r="AD179" s="22"/>
      <c r="AE179" s="22"/>
      <c r="AF179" s="24"/>
    </row>
    <row r="180" spans="1:32" x14ac:dyDescent="0.25">
      <c r="A180" s="1"/>
      <c r="D180" s="4"/>
      <c r="E180" s="4"/>
      <c r="F180" s="4"/>
      <c r="G180" s="1"/>
      <c r="H180" s="1"/>
      <c r="I180" s="3"/>
      <c r="J180" s="3"/>
      <c r="K180" s="4"/>
      <c r="W180" s="21"/>
      <c r="X180" s="21"/>
      <c r="Y180" s="24"/>
      <c r="Z180" s="24"/>
      <c r="AA180" s="24"/>
      <c r="AD180" s="22"/>
      <c r="AE180" s="22"/>
      <c r="AF180" s="24"/>
    </row>
    <row r="181" spans="1:32" x14ac:dyDescent="0.25">
      <c r="A181" s="1"/>
      <c r="D181" s="4"/>
      <c r="E181" s="4"/>
      <c r="F181" s="4"/>
      <c r="G181" s="1"/>
      <c r="H181" s="1"/>
      <c r="I181" s="3"/>
      <c r="J181" s="3"/>
      <c r="K181" s="4"/>
      <c r="W181" s="21"/>
      <c r="X181" s="21"/>
      <c r="Y181" s="24"/>
      <c r="Z181" s="24"/>
      <c r="AA181" s="24"/>
      <c r="AD181" s="22"/>
      <c r="AE181" s="22"/>
      <c r="AF181" s="24"/>
    </row>
    <row r="182" spans="1:32" x14ac:dyDescent="0.25">
      <c r="A182" s="1"/>
      <c r="D182" s="4"/>
      <c r="E182" s="4"/>
      <c r="F182" s="4"/>
      <c r="G182" s="1"/>
      <c r="H182" s="1"/>
      <c r="I182" s="3"/>
      <c r="J182" s="3"/>
      <c r="K182" s="4"/>
      <c r="W182" s="21"/>
      <c r="X182" s="21"/>
      <c r="Y182" s="24"/>
      <c r="Z182" s="24"/>
      <c r="AA182" s="24"/>
      <c r="AD182" s="22"/>
      <c r="AE182" s="22"/>
      <c r="AF182" s="24"/>
    </row>
    <row r="183" spans="1:32" x14ac:dyDescent="0.25">
      <c r="A183" s="1"/>
      <c r="D183" s="4"/>
      <c r="E183" s="4"/>
      <c r="F183" s="4"/>
      <c r="G183" s="1"/>
      <c r="H183" s="1"/>
      <c r="I183" s="3"/>
      <c r="J183" s="3"/>
      <c r="K183" s="4"/>
      <c r="W183" s="21"/>
      <c r="X183" s="21"/>
      <c r="Y183" s="24"/>
      <c r="Z183" s="24"/>
      <c r="AA183" s="24"/>
      <c r="AD183" s="22"/>
      <c r="AE183" s="22"/>
      <c r="AF183" s="24"/>
    </row>
    <row r="184" spans="1:32" x14ac:dyDescent="0.25">
      <c r="A184" s="1"/>
      <c r="D184" s="4"/>
      <c r="E184" s="4"/>
      <c r="F184" s="4"/>
      <c r="G184" s="1"/>
      <c r="H184" s="1"/>
      <c r="I184" s="3"/>
      <c r="J184" s="3"/>
      <c r="K184" s="4"/>
      <c r="W184" s="21"/>
      <c r="X184" s="21"/>
      <c r="Y184" s="24"/>
      <c r="Z184" s="24"/>
      <c r="AA184" s="24"/>
      <c r="AD184" s="22"/>
      <c r="AE184" s="22"/>
      <c r="AF184" s="24"/>
    </row>
    <row r="185" spans="1:32" x14ac:dyDescent="0.25">
      <c r="A185" s="1"/>
      <c r="D185" s="4"/>
      <c r="E185" s="4"/>
      <c r="F185" s="4"/>
      <c r="G185" s="1"/>
      <c r="H185" s="1"/>
      <c r="I185" s="3"/>
      <c r="J185" s="3"/>
      <c r="K185" s="4"/>
      <c r="W185" s="21"/>
      <c r="X185" s="21"/>
      <c r="Y185" s="24"/>
      <c r="Z185" s="24"/>
      <c r="AA185" s="24"/>
      <c r="AD185" s="22"/>
      <c r="AE185" s="22"/>
      <c r="AF185" s="24"/>
    </row>
    <row r="186" spans="1:32" x14ac:dyDescent="0.25">
      <c r="A186" s="1"/>
      <c r="D186" s="4"/>
      <c r="E186" s="4"/>
      <c r="F186" s="4"/>
      <c r="G186" s="1"/>
      <c r="H186" s="1"/>
      <c r="I186" s="3"/>
      <c r="J186" s="3"/>
      <c r="K186" s="4"/>
      <c r="W186" s="21"/>
      <c r="X186" s="21"/>
      <c r="Y186" s="24"/>
      <c r="Z186" s="24"/>
      <c r="AA186" s="24"/>
      <c r="AD186" s="22"/>
      <c r="AE186" s="22"/>
      <c r="AF186" s="24"/>
    </row>
    <row r="187" spans="1:32" x14ac:dyDescent="0.25">
      <c r="A187" s="1"/>
      <c r="D187" s="4"/>
      <c r="E187" s="4"/>
      <c r="F187" s="4"/>
      <c r="G187" s="1"/>
      <c r="H187" s="1"/>
      <c r="I187" s="3"/>
      <c r="J187" s="3"/>
      <c r="K187" s="4"/>
      <c r="W187" s="21"/>
      <c r="X187" s="21"/>
      <c r="Y187" s="24"/>
      <c r="Z187" s="24"/>
      <c r="AA187" s="24"/>
      <c r="AD187" s="22"/>
      <c r="AE187" s="22"/>
      <c r="AF187" s="24"/>
    </row>
    <row r="188" spans="1:32" x14ac:dyDescent="0.25">
      <c r="A188" s="1"/>
      <c r="D188" s="4"/>
      <c r="E188" s="4"/>
      <c r="F188" s="4"/>
      <c r="G188" s="1"/>
      <c r="H188" s="1"/>
      <c r="I188" s="3"/>
      <c r="J188" s="3"/>
      <c r="K188" s="4"/>
      <c r="W188" s="21"/>
      <c r="X188" s="21"/>
      <c r="Y188" s="24"/>
      <c r="Z188" s="24"/>
      <c r="AA188" s="24"/>
      <c r="AD188" s="22"/>
      <c r="AE188" s="22"/>
      <c r="AF188" s="24"/>
    </row>
    <row r="189" spans="1:32" x14ac:dyDescent="0.25">
      <c r="A189" s="1"/>
      <c r="D189" s="4"/>
      <c r="E189" s="4"/>
      <c r="F189" s="4"/>
      <c r="G189" s="1"/>
      <c r="H189" s="1"/>
      <c r="I189" s="3"/>
      <c r="J189" s="3"/>
      <c r="K189" s="4"/>
      <c r="W189" s="21"/>
      <c r="X189" s="21"/>
      <c r="Y189" s="24"/>
      <c r="Z189" s="24"/>
      <c r="AA189" s="24"/>
      <c r="AD189" s="22"/>
      <c r="AE189" s="22"/>
      <c r="AF189" s="24"/>
    </row>
    <row r="190" spans="1:32" x14ac:dyDescent="0.25">
      <c r="A190" s="1"/>
      <c r="D190" s="4"/>
      <c r="E190" s="4"/>
      <c r="F190" s="4"/>
      <c r="G190" s="1"/>
      <c r="H190" s="1"/>
      <c r="I190" s="3"/>
      <c r="J190" s="3"/>
      <c r="K190" s="4"/>
      <c r="W190" s="21"/>
      <c r="X190" s="21"/>
      <c r="Y190" s="24"/>
      <c r="Z190" s="24"/>
      <c r="AA190" s="24"/>
      <c r="AD190" s="22"/>
      <c r="AE190" s="22"/>
      <c r="AF190" s="24"/>
    </row>
    <row r="191" spans="1:32" x14ac:dyDescent="0.25">
      <c r="A191" s="1"/>
      <c r="D191" s="4"/>
      <c r="E191" s="4"/>
      <c r="F191" s="4"/>
      <c r="G191" s="1"/>
      <c r="H191" s="1"/>
      <c r="I191" s="3"/>
      <c r="J191" s="3"/>
      <c r="K191" s="4"/>
      <c r="W191" s="21"/>
      <c r="X191" s="21"/>
      <c r="Y191" s="24"/>
      <c r="Z191" s="24"/>
      <c r="AA191" s="24"/>
      <c r="AD191" s="22"/>
      <c r="AE191" s="22"/>
      <c r="AF191" s="24"/>
    </row>
    <row r="192" spans="1:32" x14ac:dyDescent="0.25">
      <c r="A192" s="1"/>
      <c r="D192" s="4"/>
      <c r="E192" s="4"/>
      <c r="F192" s="4"/>
      <c r="G192" s="1"/>
      <c r="H192" s="1"/>
      <c r="I192" s="3"/>
      <c r="J192" s="3"/>
      <c r="K192" s="4"/>
      <c r="W192" s="21"/>
      <c r="X192" s="21"/>
      <c r="Y192" s="24"/>
      <c r="Z192" s="24"/>
      <c r="AA192" s="24"/>
      <c r="AD192" s="22"/>
      <c r="AE192" s="22"/>
      <c r="AF192" s="24"/>
    </row>
    <row r="193" spans="1:32" x14ac:dyDescent="0.25">
      <c r="A193" s="1"/>
      <c r="D193" s="4"/>
      <c r="E193" s="4"/>
      <c r="F193" s="4"/>
      <c r="G193" s="1"/>
      <c r="H193" s="1"/>
      <c r="I193" s="3"/>
      <c r="J193" s="3"/>
      <c r="K193" s="4"/>
      <c r="W193" s="21"/>
      <c r="X193" s="21"/>
      <c r="Y193" s="24"/>
      <c r="Z193" s="24"/>
      <c r="AA193" s="24"/>
      <c r="AD193" s="22"/>
      <c r="AE193" s="22"/>
      <c r="AF193" s="24"/>
    </row>
    <row r="194" spans="1:32" x14ac:dyDescent="0.25">
      <c r="A194" s="1"/>
      <c r="D194" s="4"/>
      <c r="E194" s="4"/>
      <c r="F194" s="4"/>
      <c r="G194" s="1"/>
      <c r="H194" s="1"/>
      <c r="I194" s="3"/>
      <c r="J194" s="3"/>
      <c r="K194" s="4"/>
      <c r="W194" s="21"/>
      <c r="X194" s="21"/>
      <c r="Y194" s="24"/>
      <c r="Z194" s="24"/>
      <c r="AA194" s="24"/>
      <c r="AD194" s="22"/>
      <c r="AE194" s="22"/>
      <c r="AF194" s="24"/>
    </row>
    <row r="195" spans="1:32" x14ac:dyDescent="0.25">
      <c r="A195" s="1"/>
      <c r="D195" s="4"/>
      <c r="E195" s="4"/>
      <c r="F195" s="4"/>
      <c r="G195" s="1"/>
      <c r="H195" s="1"/>
      <c r="I195" s="3"/>
      <c r="J195" s="3"/>
      <c r="K195" s="4"/>
      <c r="W195" s="21"/>
      <c r="X195" s="21"/>
      <c r="Y195" s="24"/>
      <c r="Z195" s="24"/>
      <c r="AA195" s="24"/>
      <c r="AD195" s="22"/>
      <c r="AE195" s="22"/>
      <c r="AF195" s="24"/>
    </row>
    <row r="196" spans="1:32" x14ac:dyDescent="0.25">
      <c r="A196" s="1"/>
      <c r="D196" s="4"/>
      <c r="E196" s="4"/>
      <c r="F196" s="4"/>
      <c r="G196" s="1"/>
      <c r="H196" s="1"/>
      <c r="I196" s="3"/>
      <c r="J196" s="3"/>
      <c r="K196" s="4"/>
      <c r="W196" s="21"/>
      <c r="X196" s="21"/>
      <c r="Y196" s="24"/>
      <c r="Z196" s="24"/>
      <c r="AA196" s="24"/>
      <c r="AD196" s="22"/>
      <c r="AE196" s="22"/>
      <c r="AF196" s="24"/>
    </row>
    <row r="197" spans="1:32" x14ac:dyDescent="0.25">
      <c r="A197" s="1"/>
      <c r="D197" s="4"/>
      <c r="E197" s="4"/>
      <c r="F197" s="4"/>
      <c r="G197" s="1"/>
      <c r="H197" s="1"/>
      <c r="I197" s="3"/>
      <c r="J197" s="3"/>
      <c r="K197" s="4"/>
      <c r="W197" s="21"/>
      <c r="X197" s="21"/>
      <c r="Y197" s="24"/>
      <c r="Z197" s="24"/>
      <c r="AA197" s="24"/>
      <c r="AD197" s="22"/>
      <c r="AE197" s="22"/>
      <c r="AF197" s="24"/>
    </row>
    <row r="198" spans="1:32" x14ac:dyDescent="0.25">
      <c r="A198" s="1"/>
      <c r="D198" s="4"/>
      <c r="E198" s="4"/>
      <c r="F198" s="4"/>
      <c r="G198" s="1"/>
      <c r="H198" s="1"/>
      <c r="I198" s="3"/>
      <c r="J198" s="3"/>
      <c r="K198" s="4"/>
      <c r="W198" s="21"/>
      <c r="X198" s="21"/>
      <c r="Y198" s="24"/>
      <c r="Z198" s="24"/>
      <c r="AA198" s="24"/>
      <c r="AD198" s="22"/>
      <c r="AE198" s="22"/>
      <c r="AF198" s="24"/>
    </row>
    <row r="199" spans="1:32" x14ac:dyDescent="0.25">
      <c r="A199" s="1"/>
      <c r="D199" s="4"/>
      <c r="E199" s="4"/>
      <c r="F199" s="4"/>
      <c r="G199" s="1"/>
      <c r="H199" s="1"/>
      <c r="I199" s="3"/>
      <c r="J199" s="3"/>
      <c r="K199" s="4"/>
      <c r="W199" s="21"/>
      <c r="X199" s="21"/>
      <c r="Y199" s="24"/>
      <c r="Z199" s="24"/>
      <c r="AA199" s="24"/>
      <c r="AD199" s="22"/>
      <c r="AE199" s="22"/>
      <c r="AF199" s="24"/>
    </row>
    <row r="200" spans="1:32" x14ac:dyDescent="0.25">
      <c r="A200" s="1"/>
      <c r="D200" s="4"/>
      <c r="E200" s="4"/>
      <c r="F200" s="4"/>
      <c r="G200" s="1"/>
      <c r="H200" s="1"/>
      <c r="I200" s="3"/>
      <c r="J200" s="3"/>
      <c r="K200" s="4"/>
      <c r="W200" s="21"/>
      <c r="X200" s="21"/>
      <c r="Y200" s="24"/>
      <c r="Z200" s="24"/>
      <c r="AA200" s="24"/>
      <c r="AD200" s="22"/>
      <c r="AE200" s="22"/>
      <c r="AF200" s="24"/>
    </row>
    <row r="201" spans="1:32" x14ac:dyDescent="0.25">
      <c r="A201" s="1"/>
      <c r="D201" s="4"/>
      <c r="E201" s="4"/>
      <c r="F201" s="4"/>
      <c r="G201" s="1"/>
      <c r="H201" s="1"/>
      <c r="I201" s="3"/>
      <c r="J201" s="3"/>
      <c r="K201" s="4"/>
      <c r="W201" s="21"/>
      <c r="X201" s="21"/>
      <c r="Y201" s="24"/>
      <c r="Z201" s="24"/>
      <c r="AA201" s="24"/>
      <c r="AD201" s="22"/>
      <c r="AE201" s="22"/>
      <c r="AF201" s="24"/>
    </row>
    <row r="202" spans="1:32" x14ac:dyDescent="0.25">
      <c r="A202" s="1"/>
      <c r="D202" s="4"/>
      <c r="E202" s="4"/>
      <c r="F202" s="4"/>
      <c r="G202" s="1"/>
      <c r="H202" s="1"/>
      <c r="I202" s="3"/>
      <c r="J202" s="3"/>
      <c r="K202" s="4"/>
      <c r="W202" s="21"/>
      <c r="X202" s="21"/>
      <c r="Y202" s="24"/>
      <c r="Z202" s="24"/>
      <c r="AA202" s="24"/>
      <c r="AD202" s="22"/>
      <c r="AE202" s="22"/>
      <c r="AF202" s="24"/>
    </row>
    <row r="203" spans="1:32" x14ac:dyDescent="0.25">
      <c r="A203" s="1"/>
      <c r="D203" s="4"/>
      <c r="E203" s="4"/>
      <c r="F203" s="4"/>
      <c r="G203" s="1"/>
      <c r="H203" s="1"/>
      <c r="I203" s="3"/>
      <c r="J203" s="3"/>
      <c r="K203" s="4"/>
      <c r="W203" s="21"/>
      <c r="X203" s="21"/>
      <c r="Y203" s="24"/>
      <c r="Z203" s="24"/>
      <c r="AA203" s="24"/>
      <c r="AD203" s="22"/>
      <c r="AE203" s="22"/>
      <c r="AF203" s="24"/>
    </row>
    <row r="204" spans="1:32" x14ac:dyDescent="0.25">
      <c r="A204" s="1"/>
      <c r="D204" s="4"/>
      <c r="E204" s="4"/>
      <c r="F204" s="4"/>
      <c r="G204" s="1"/>
      <c r="H204" s="1"/>
      <c r="I204" s="3"/>
      <c r="J204" s="3"/>
      <c r="K204" s="4"/>
      <c r="W204" s="21"/>
      <c r="X204" s="21"/>
      <c r="Y204" s="24"/>
      <c r="Z204" s="24"/>
      <c r="AA204" s="24"/>
      <c r="AD204" s="22"/>
      <c r="AE204" s="22"/>
      <c r="AF204" s="24"/>
    </row>
    <row r="205" spans="1:32" x14ac:dyDescent="0.25">
      <c r="A205" s="1"/>
      <c r="D205" s="4"/>
      <c r="E205" s="4"/>
      <c r="F205" s="4"/>
      <c r="G205" s="1"/>
      <c r="H205" s="1"/>
      <c r="I205" s="3"/>
      <c r="J205" s="3"/>
      <c r="K205" s="4"/>
      <c r="W205" s="21"/>
      <c r="X205" s="21"/>
      <c r="Y205" s="24"/>
      <c r="Z205" s="24"/>
      <c r="AA205" s="24"/>
      <c r="AD205" s="22"/>
      <c r="AE205" s="22"/>
      <c r="AF205" s="24"/>
    </row>
    <row r="206" spans="1:32" x14ac:dyDescent="0.25">
      <c r="A206" s="1"/>
      <c r="D206" s="4"/>
      <c r="E206" s="4"/>
      <c r="F206" s="4"/>
      <c r="G206" s="1"/>
      <c r="H206" s="1"/>
      <c r="I206" s="3"/>
      <c r="J206" s="3"/>
      <c r="K206" s="4"/>
      <c r="W206" s="21"/>
      <c r="X206" s="21"/>
      <c r="Y206" s="24"/>
      <c r="Z206" s="24"/>
      <c r="AA206" s="24"/>
      <c r="AD206" s="22"/>
      <c r="AE206" s="22"/>
      <c r="AF206" s="24"/>
    </row>
    <row r="207" spans="1:32" x14ac:dyDescent="0.25">
      <c r="A207" s="1"/>
      <c r="D207" s="4"/>
      <c r="E207" s="4"/>
      <c r="F207" s="4"/>
      <c r="G207" s="1"/>
      <c r="H207" s="1"/>
      <c r="I207" s="3"/>
      <c r="J207" s="3"/>
      <c r="K207" s="4"/>
      <c r="W207" s="21"/>
      <c r="X207" s="21"/>
      <c r="Y207" s="24"/>
      <c r="Z207" s="24"/>
      <c r="AA207" s="24"/>
      <c r="AD207" s="22"/>
      <c r="AE207" s="22"/>
      <c r="AF207" s="24"/>
    </row>
    <row r="208" spans="1:32" x14ac:dyDescent="0.25">
      <c r="A208" s="1"/>
      <c r="D208" s="4"/>
      <c r="E208" s="4"/>
      <c r="F208" s="4"/>
      <c r="G208" s="1"/>
      <c r="H208" s="1"/>
      <c r="I208" s="3"/>
      <c r="J208" s="3"/>
      <c r="K208" s="4"/>
      <c r="W208" s="21"/>
      <c r="X208" s="21"/>
      <c r="Y208" s="24"/>
      <c r="Z208" s="24"/>
      <c r="AA208" s="24"/>
      <c r="AD208" s="22"/>
      <c r="AE208" s="22"/>
      <c r="AF208" s="24"/>
    </row>
    <row r="209" spans="1:32" x14ac:dyDescent="0.25">
      <c r="A209" s="1"/>
      <c r="D209" s="4"/>
      <c r="E209" s="4"/>
      <c r="F209" s="4"/>
      <c r="G209" s="1"/>
      <c r="H209" s="1"/>
      <c r="I209" s="3"/>
      <c r="J209" s="3"/>
      <c r="K209" s="4"/>
      <c r="W209" s="21"/>
      <c r="X209" s="21"/>
      <c r="Y209" s="24"/>
      <c r="Z209" s="24"/>
      <c r="AA209" s="24"/>
      <c r="AD209" s="22"/>
      <c r="AE209" s="22"/>
      <c r="AF209" s="24"/>
    </row>
    <row r="210" spans="1:32" x14ac:dyDescent="0.25">
      <c r="A210" s="1"/>
      <c r="D210" s="4"/>
      <c r="E210" s="4"/>
      <c r="F210" s="4"/>
      <c r="G210" s="1"/>
      <c r="H210" s="1"/>
      <c r="I210" s="3"/>
      <c r="J210" s="3"/>
      <c r="K210" s="4"/>
      <c r="W210" s="21"/>
      <c r="X210" s="21"/>
      <c r="Y210" s="24"/>
      <c r="Z210" s="24"/>
      <c r="AA210" s="24"/>
      <c r="AD210" s="22"/>
      <c r="AE210" s="22"/>
      <c r="AF210" s="24"/>
    </row>
    <row r="211" spans="1:32" x14ac:dyDescent="0.25">
      <c r="A211" s="1"/>
      <c r="D211" s="4"/>
      <c r="E211" s="4"/>
      <c r="F211" s="4"/>
      <c r="G211" s="1"/>
      <c r="H211" s="1"/>
      <c r="I211" s="3"/>
      <c r="J211" s="3"/>
      <c r="K211" s="4"/>
      <c r="W211" s="21"/>
      <c r="X211" s="21"/>
      <c r="Y211" s="24"/>
      <c r="Z211" s="24"/>
      <c r="AA211" s="24"/>
      <c r="AD211" s="22"/>
      <c r="AE211" s="22"/>
      <c r="AF211" s="24"/>
    </row>
    <row r="212" spans="1:32" x14ac:dyDescent="0.25">
      <c r="A212" s="1"/>
      <c r="D212" s="4"/>
      <c r="E212" s="4"/>
      <c r="F212" s="4"/>
      <c r="G212" s="1"/>
      <c r="H212" s="1"/>
      <c r="I212" s="3"/>
      <c r="J212" s="3"/>
      <c r="K212" s="4"/>
      <c r="W212" s="21"/>
      <c r="X212" s="21"/>
      <c r="Y212" s="24"/>
      <c r="Z212" s="24"/>
      <c r="AA212" s="24"/>
      <c r="AD212" s="22"/>
      <c r="AE212" s="22"/>
      <c r="AF212" s="24"/>
    </row>
    <row r="213" spans="1:32" x14ac:dyDescent="0.25">
      <c r="A213" s="1"/>
      <c r="D213" s="4"/>
      <c r="E213" s="4"/>
      <c r="F213" s="4"/>
      <c r="G213" s="1"/>
      <c r="H213" s="1"/>
      <c r="I213" s="3"/>
      <c r="J213" s="3"/>
      <c r="K213" s="4"/>
      <c r="W213" s="21"/>
      <c r="X213" s="21"/>
      <c r="Y213" s="24"/>
      <c r="Z213" s="24"/>
      <c r="AA213" s="24"/>
      <c r="AD213" s="22"/>
      <c r="AE213" s="22"/>
      <c r="AF213" s="24"/>
    </row>
    <row r="214" spans="1:32" x14ac:dyDescent="0.25">
      <c r="A214" s="1"/>
      <c r="D214" s="4"/>
      <c r="E214" s="4"/>
      <c r="F214" s="4"/>
      <c r="G214" s="1"/>
      <c r="H214" s="1"/>
      <c r="I214" s="3"/>
      <c r="J214" s="3"/>
      <c r="K214" s="4"/>
      <c r="W214" s="21"/>
      <c r="X214" s="21"/>
      <c r="Y214" s="24"/>
      <c r="Z214" s="24"/>
      <c r="AA214" s="24"/>
      <c r="AD214" s="22"/>
      <c r="AE214" s="22"/>
      <c r="AF214" s="24"/>
    </row>
    <row r="215" spans="1:32" x14ac:dyDescent="0.25">
      <c r="A215" s="1"/>
      <c r="D215" s="4"/>
      <c r="E215" s="4"/>
      <c r="F215" s="4"/>
      <c r="G215" s="1"/>
      <c r="H215" s="1"/>
      <c r="I215" s="3"/>
      <c r="J215" s="3"/>
      <c r="K215" s="4"/>
      <c r="W215" s="21"/>
      <c r="X215" s="21"/>
      <c r="Y215" s="24"/>
      <c r="Z215" s="24"/>
      <c r="AA215" s="24"/>
      <c r="AD215" s="22"/>
      <c r="AE215" s="22"/>
      <c r="AF215" s="24"/>
    </row>
    <row r="216" spans="1:32" x14ac:dyDescent="0.25">
      <c r="A216" s="1"/>
      <c r="D216" s="4"/>
      <c r="E216" s="4"/>
      <c r="F216" s="4"/>
      <c r="G216" s="1"/>
      <c r="H216" s="1"/>
      <c r="I216" s="3"/>
      <c r="J216" s="3"/>
      <c r="K216" s="4"/>
      <c r="W216" s="21"/>
      <c r="X216" s="21"/>
      <c r="Y216" s="24"/>
      <c r="Z216" s="24"/>
      <c r="AA216" s="24"/>
      <c r="AD216" s="22"/>
      <c r="AE216" s="22"/>
      <c r="AF216" s="24"/>
    </row>
    <row r="217" spans="1:32" x14ac:dyDescent="0.25">
      <c r="A217" s="1"/>
      <c r="D217" s="4"/>
      <c r="E217" s="4"/>
      <c r="F217" s="4"/>
      <c r="G217" s="1"/>
      <c r="H217" s="1"/>
      <c r="I217" s="3"/>
      <c r="J217" s="3"/>
      <c r="K217" s="4"/>
      <c r="W217" s="21"/>
      <c r="X217" s="21"/>
      <c r="Y217" s="24"/>
      <c r="Z217" s="24"/>
      <c r="AA217" s="24"/>
      <c r="AD217" s="22"/>
      <c r="AE217" s="22"/>
      <c r="AF217" s="24"/>
    </row>
    <row r="218" spans="1:32" x14ac:dyDescent="0.25">
      <c r="A218" s="1"/>
      <c r="D218" s="4"/>
      <c r="E218" s="4"/>
      <c r="F218" s="4"/>
      <c r="G218" s="1"/>
      <c r="H218" s="1"/>
      <c r="I218" s="3"/>
      <c r="J218" s="3"/>
      <c r="K218" s="4"/>
      <c r="W218" s="21"/>
      <c r="X218" s="21"/>
      <c r="Y218" s="24"/>
      <c r="Z218" s="24"/>
      <c r="AA218" s="24"/>
      <c r="AD218" s="22"/>
      <c r="AE218" s="22"/>
      <c r="AF218" s="24"/>
    </row>
    <row r="219" spans="1:32" x14ac:dyDescent="0.25">
      <c r="A219" s="1"/>
      <c r="D219" s="4"/>
      <c r="E219" s="4"/>
      <c r="F219" s="4"/>
      <c r="G219" s="1"/>
      <c r="H219" s="1"/>
      <c r="I219" s="3"/>
      <c r="J219" s="3"/>
      <c r="K219" s="4"/>
      <c r="W219" s="21"/>
      <c r="X219" s="21"/>
      <c r="Y219" s="24"/>
      <c r="Z219" s="24"/>
      <c r="AA219" s="24"/>
      <c r="AD219" s="22"/>
      <c r="AE219" s="22"/>
      <c r="AF219" s="24"/>
    </row>
    <row r="220" spans="1:32" x14ac:dyDescent="0.25">
      <c r="A220" s="1"/>
      <c r="D220" s="4"/>
      <c r="E220" s="4"/>
      <c r="F220" s="4"/>
      <c r="G220" s="1"/>
      <c r="H220" s="1"/>
      <c r="I220" s="3"/>
      <c r="J220" s="3"/>
      <c r="K220" s="4"/>
      <c r="W220" s="21"/>
      <c r="X220" s="21"/>
      <c r="Y220" s="24"/>
      <c r="Z220" s="24"/>
      <c r="AA220" s="24"/>
      <c r="AD220" s="22"/>
      <c r="AE220" s="22"/>
      <c r="AF220" s="24"/>
    </row>
    <row r="221" spans="1:32" x14ac:dyDescent="0.25">
      <c r="A221" s="1"/>
      <c r="D221" s="4"/>
      <c r="E221" s="4"/>
      <c r="F221" s="4"/>
      <c r="G221" s="1"/>
      <c r="H221" s="1"/>
      <c r="I221" s="3"/>
      <c r="J221" s="3"/>
      <c r="K221" s="4"/>
      <c r="W221" s="21"/>
      <c r="X221" s="21"/>
      <c r="Y221" s="24"/>
      <c r="Z221" s="24"/>
      <c r="AA221" s="24"/>
      <c r="AD221" s="22"/>
      <c r="AE221" s="22"/>
      <c r="AF221" s="24"/>
    </row>
    <row r="222" spans="1:32" x14ac:dyDescent="0.25">
      <c r="A222" s="1"/>
      <c r="D222" s="4"/>
      <c r="E222" s="4"/>
      <c r="F222" s="4"/>
      <c r="G222" s="1"/>
      <c r="H222" s="1"/>
      <c r="I222" s="3"/>
      <c r="J222" s="3"/>
      <c r="K222" s="4"/>
      <c r="W222" s="21"/>
      <c r="X222" s="21"/>
      <c r="Y222" s="24"/>
      <c r="Z222" s="24"/>
      <c r="AA222" s="24"/>
      <c r="AD222" s="22"/>
      <c r="AE222" s="22"/>
      <c r="AF222" s="24"/>
    </row>
    <row r="223" spans="1:32" x14ac:dyDescent="0.25">
      <c r="A223" s="1"/>
      <c r="D223" s="4"/>
      <c r="E223" s="4"/>
      <c r="F223" s="4"/>
      <c r="G223" s="1"/>
      <c r="H223" s="1"/>
      <c r="I223" s="3"/>
      <c r="J223" s="3"/>
      <c r="K223" s="4"/>
      <c r="W223" s="21"/>
      <c r="X223" s="21"/>
      <c r="Y223" s="24"/>
      <c r="Z223" s="24"/>
      <c r="AA223" s="24"/>
      <c r="AD223" s="22"/>
      <c r="AE223" s="22"/>
      <c r="AF223" s="24"/>
    </row>
    <row r="224" spans="1:32" x14ac:dyDescent="0.25">
      <c r="A224" s="1"/>
      <c r="D224" s="4"/>
      <c r="E224" s="4"/>
      <c r="F224" s="4"/>
      <c r="G224" s="1"/>
      <c r="H224" s="1"/>
      <c r="I224" s="3"/>
      <c r="J224" s="3"/>
      <c r="K224" s="4"/>
      <c r="W224" s="21"/>
      <c r="X224" s="21"/>
      <c r="Y224" s="24"/>
      <c r="Z224" s="24"/>
      <c r="AA224" s="24"/>
      <c r="AD224" s="22"/>
      <c r="AE224" s="22"/>
      <c r="AF224" s="24"/>
    </row>
    <row r="225" spans="1:32" x14ac:dyDescent="0.25">
      <c r="A225" s="1"/>
      <c r="D225" s="4"/>
      <c r="E225" s="4"/>
      <c r="F225" s="4"/>
      <c r="G225" s="1"/>
      <c r="H225" s="1"/>
      <c r="I225" s="3"/>
      <c r="J225" s="3"/>
      <c r="K225" s="4"/>
      <c r="W225" s="21"/>
      <c r="X225" s="21"/>
      <c r="Y225" s="24"/>
      <c r="Z225" s="24"/>
      <c r="AA225" s="24"/>
      <c r="AD225" s="22"/>
      <c r="AE225" s="22"/>
      <c r="AF225" s="24"/>
    </row>
    <row r="226" spans="1:32" x14ac:dyDescent="0.25">
      <c r="A226" s="1"/>
      <c r="D226" s="4"/>
      <c r="E226" s="4"/>
      <c r="F226" s="4"/>
      <c r="G226" s="1"/>
      <c r="H226" s="1"/>
      <c r="I226" s="3"/>
      <c r="J226" s="3"/>
      <c r="K226" s="4"/>
      <c r="W226" s="21"/>
      <c r="X226" s="21"/>
      <c r="Y226" s="24"/>
      <c r="Z226" s="24"/>
      <c r="AA226" s="24"/>
      <c r="AD226" s="22"/>
      <c r="AE226" s="22"/>
      <c r="AF226" s="24"/>
    </row>
    <row r="227" spans="1:32" x14ac:dyDescent="0.25">
      <c r="A227" s="1"/>
      <c r="D227" s="4"/>
      <c r="E227" s="4"/>
      <c r="F227" s="4"/>
      <c r="G227" s="1"/>
      <c r="H227" s="1"/>
      <c r="I227" s="3"/>
      <c r="J227" s="3"/>
      <c r="K227" s="4"/>
      <c r="W227" s="21"/>
      <c r="X227" s="21"/>
      <c r="Y227" s="24"/>
      <c r="Z227" s="24"/>
      <c r="AA227" s="24"/>
      <c r="AD227" s="22"/>
      <c r="AE227" s="22"/>
      <c r="AF227" s="24"/>
    </row>
    <row r="228" spans="1:32" x14ac:dyDescent="0.25">
      <c r="A228" s="1"/>
      <c r="D228" s="4"/>
      <c r="E228" s="4"/>
      <c r="F228" s="4"/>
      <c r="G228" s="1"/>
      <c r="H228" s="1"/>
      <c r="I228" s="3"/>
      <c r="J228" s="3"/>
      <c r="K228" s="4"/>
      <c r="W228" s="21"/>
      <c r="X228" s="21"/>
      <c r="Y228" s="24"/>
      <c r="Z228" s="24"/>
      <c r="AA228" s="24"/>
      <c r="AD228" s="22"/>
      <c r="AE228" s="22"/>
      <c r="AF228" s="24"/>
    </row>
    <row r="229" spans="1:32" x14ac:dyDescent="0.25">
      <c r="A229" s="1"/>
      <c r="D229" s="4"/>
      <c r="E229" s="4"/>
      <c r="F229" s="4"/>
      <c r="G229" s="1"/>
      <c r="H229" s="1"/>
      <c r="I229" s="3"/>
      <c r="J229" s="3"/>
      <c r="K229" s="4"/>
      <c r="W229" s="21"/>
      <c r="X229" s="21"/>
      <c r="Y229" s="24"/>
      <c r="Z229" s="24"/>
      <c r="AA229" s="24"/>
      <c r="AD229" s="22"/>
      <c r="AE229" s="22"/>
      <c r="AF229" s="24"/>
    </row>
    <row r="230" spans="1:32" x14ac:dyDescent="0.25">
      <c r="A230" s="1"/>
      <c r="D230" s="4"/>
      <c r="E230" s="4"/>
      <c r="F230" s="4"/>
      <c r="G230" s="1"/>
      <c r="H230" s="1"/>
      <c r="I230" s="3"/>
      <c r="J230" s="3"/>
      <c r="K230" s="4"/>
      <c r="W230" s="21"/>
      <c r="X230" s="21"/>
      <c r="Y230" s="24"/>
      <c r="Z230" s="24"/>
      <c r="AA230" s="24"/>
      <c r="AD230" s="22"/>
      <c r="AE230" s="22"/>
      <c r="AF230" s="24"/>
    </row>
    <row r="231" spans="1:32" x14ac:dyDescent="0.25">
      <c r="A231" s="1"/>
      <c r="D231" s="4"/>
      <c r="E231" s="4"/>
      <c r="F231" s="4"/>
      <c r="G231" s="1"/>
      <c r="H231" s="1"/>
      <c r="I231" s="3"/>
      <c r="J231" s="3"/>
      <c r="K231" s="4"/>
      <c r="W231" s="21"/>
      <c r="X231" s="21"/>
      <c r="Y231" s="24"/>
      <c r="Z231" s="24"/>
      <c r="AA231" s="24"/>
      <c r="AD231" s="22"/>
      <c r="AE231" s="22"/>
      <c r="AF231" s="24"/>
    </row>
    <row r="232" spans="1:32" x14ac:dyDescent="0.25">
      <c r="A232" s="1"/>
      <c r="D232" s="4"/>
      <c r="E232" s="4"/>
      <c r="F232" s="4"/>
      <c r="G232" s="1"/>
      <c r="H232" s="1"/>
      <c r="I232" s="3"/>
      <c r="J232" s="3"/>
      <c r="K232" s="4"/>
      <c r="W232" s="21"/>
      <c r="X232" s="21"/>
      <c r="Y232" s="24"/>
      <c r="Z232" s="24"/>
      <c r="AA232" s="24"/>
      <c r="AD232" s="22"/>
      <c r="AE232" s="22"/>
      <c r="AF232" s="24"/>
    </row>
    <row r="233" spans="1:32" x14ac:dyDescent="0.25">
      <c r="A233" s="1"/>
      <c r="D233" s="4"/>
      <c r="E233" s="4"/>
      <c r="F233" s="4"/>
      <c r="G233" s="1"/>
      <c r="H233" s="1"/>
      <c r="I233" s="3"/>
      <c r="J233" s="3"/>
      <c r="K233" s="4"/>
      <c r="W233" s="21"/>
      <c r="X233" s="21"/>
      <c r="Y233" s="24"/>
      <c r="Z233" s="24"/>
      <c r="AA233" s="24"/>
      <c r="AD233" s="22"/>
      <c r="AE233" s="22"/>
      <c r="AF233" s="24"/>
    </row>
    <row r="234" spans="1:32" x14ac:dyDescent="0.25">
      <c r="A234" s="1"/>
      <c r="D234" s="4"/>
      <c r="E234" s="4"/>
      <c r="F234" s="4"/>
      <c r="G234" s="1"/>
      <c r="H234" s="1"/>
      <c r="I234" s="3"/>
      <c r="J234" s="3"/>
      <c r="K234" s="4"/>
      <c r="W234" s="21"/>
      <c r="X234" s="21"/>
      <c r="Y234" s="24"/>
      <c r="Z234" s="24"/>
      <c r="AA234" s="24"/>
      <c r="AD234" s="22"/>
      <c r="AE234" s="22"/>
      <c r="AF234" s="24"/>
    </row>
    <row r="235" spans="1:32" x14ac:dyDescent="0.25">
      <c r="A235" s="1"/>
      <c r="D235" s="4"/>
      <c r="E235" s="4"/>
      <c r="F235" s="4"/>
      <c r="G235" s="1"/>
      <c r="H235" s="1"/>
      <c r="I235" s="3"/>
      <c r="J235" s="3"/>
      <c r="K235" s="4"/>
      <c r="W235" s="21"/>
      <c r="X235" s="21"/>
      <c r="Y235" s="24"/>
      <c r="Z235" s="24"/>
      <c r="AA235" s="24"/>
      <c r="AD235" s="22"/>
      <c r="AE235" s="22"/>
      <c r="AF235" s="24"/>
    </row>
    <row r="236" spans="1:32" x14ac:dyDescent="0.25">
      <c r="A236" s="1"/>
      <c r="D236" s="4"/>
      <c r="E236" s="4"/>
      <c r="F236" s="4"/>
      <c r="G236" s="1"/>
      <c r="H236" s="1"/>
      <c r="I236" s="3"/>
      <c r="J236" s="3"/>
      <c r="K236" s="4"/>
      <c r="W236" s="21"/>
      <c r="X236" s="21"/>
      <c r="Y236" s="24"/>
      <c r="Z236" s="24"/>
      <c r="AA236" s="24"/>
      <c r="AD236" s="22"/>
      <c r="AE236" s="22"/>
      <c r="AF236" s="24"/>
    </row>
    <row r="237" spans="1:32" x14ac:dyDescent="0.25">
      <c r="A237" s="1"/>
      <c r="D237" s="4"/>
      <c r="E237" s="4"/>
      <c r="F237" s="4"/>
      <c r="G237" s="1"/>
      <c r="H237" s="1"/>
      <c r="I237" s="3"/>
      <c r="J237" s="3"/>
      <c r="K237" s="4"/>
      <c r="W237" s="21"/>
      <c r="X237" s="21"/>
      <c r="Y237" s="24"/>
      <c r="Z237" s="24"/>
      <c r="AA237" s="24"/>
      <c r="AD237" s="22"/>
      <c r="AE237" s="22"/>
      <c r="AF237" s="24"/>
    </row>
    <row r="238" spans="1:32" x14ac:dyDescent="0.25">
      <c r="A238" s="1"/>
      <c r="D238" s="4"/>
      <c r="E238" s="4"/>
      <c r="F238" s="4"/>
      <c r="G238" s="1"/>
      <c r="H238" s="1"/>
      <c r="I238" s="3"/>
      <c r="J238" s="3"/>
      <c r="K238" s="4"/>
      <c r="W238" s="21"/>
      <c r="X238" s="21"/>
      <c r="Y238" s="24"/>
      <c r="Z238" s="24"/>
      <c r="AA238" s="24"/>
      <c r="AD238" s="22"/>
      <c r="AE238" s="22"/>
      <c r="AF238" s="24"/>
    </row>
    <row r="239" spans="1:32" x14ac:dyDescent="0.25">
      <c r="A239" s="1"/>
      <c r="D239" s="4"/>
      <c r="E239" s="4"/>
      <c r="F239" s="4"/>
      <c r="G239" s="1"/>
      <c r="H239" s="1"/>
      <c r="I239" s="3"/>
      <c r="J239" s="3"/>
      <c r="K239" s="4"/>
      <c r="W239" s="21"/>
      <c r="X239" s="21"/>
      <c r="Y239" s="24"/>
      <c r="Z239" s="24"/>
      <c r="AA239" s="24"/>
      <c r="AD239" s="22"/>
      <c r="AE239" s="22"/>
      <c r="AF239" s="24"/>
    </row>
    <row r="240" spans="1:32" x14ac:dyDescent="0.25">
      <c r="A240" s="1"/>
      <c r="D240" s="4"/>
      <c r="E240" s="4"/>
      <c r="F240" s="4"/>
      <c r="G240" s="1"/>
      <c r="H240" s="1"/>
      <c r="I240" s="3"/>
      <c r="J240" s="3"/>
      <c r="K240" s="4"/>
      <c r="W240" s="21"/>
      <c r="X240" s="21"/>
      <c r="Y240" s="24"/>
      <c r="Z240" s="24"/>
      <c r="AA240" s="24"/>
      <c r="AD240" s="22"/>
      <c r="AE240" s="22"/>
      <c r="AF240" s="24"/>
    </row>
    <row r="241" spans="1:32" x14ac:dyDescent="0.25">
      <c r="A241" s="1"/>
      <c r="D241" s="4"/>
      <c r="E241" s="4"/>
      <c r="F241" s="4"/>
      <c r="G241" s="1"/>
      <c r="H241" s="1"/>
      <c r="I241" s="3"/>
      <c r="J241" s="3"/>
      <c r="K241" s="4"/>
      <c r="W241" s="21"/>
      <c r="X241" s="21"/>
      <c r="Y241" s="24"/>
      <c r="Z241" s="24"/>
      <c r="AA241" s="24"/>
      <c r="AD241" s="22"/>
      <c r="AE241" s="22"/>
      <c r="AF241" s="24"/>
    </row>
    <row r="242" spans="1:32" x14ac:dyDescent="0.25">
      <c r="A242" s="1"/>
      <c r="D242" s="4"/>
      <c r="E242" s="4"/>
      <c r="F242" s="4"/>
      <c r="G242" s="1"/>
      <c r="H242" s="1"/>
      <c r="I242" s="3"/>
      <c r="J242" s="3"/>
      <c r="K242" s="4"/>
      <c r="W242" s="21"/>
      <c r="X242" s="21"/>
      <c r="Y242" s="24"/>
      <c r="Z242" s="24"/>
      <c r="AA242" s="24"/>
      <c r="AD242" s="22"/>
      <c r="AE242" s="22"/>
      <c r="AF242" s="24"/>
    </row>
    <row r="243" spans="1:32" x14ac:dyDescent="0.25">
      <c r="A243" s="1"/>
      <c r="D243" s="4"/>
      <c r="E243" s="4"/>
      <c r="F243" s="4"/>
      <c r="G243" s="1"/>
      <c r="H243" s="1"/>
      <c r="I243" s="3"/>
      <c r="J243" s="3"/>
      <c r="K243" s="4"/>
      <c r="W243" s="21"/>
      <c r="X243" s="21"/>
      <c r="Y243" s="24"/>
      <c r="Z243" s="24"/>
      <c r="AA243" s="24"/>
      <c r="AD243" s="22"/>
      <c r="AE243" s="22"/>
      <c r="AF243" s="24"/>
    </row>
    <row r="244" spans="1:32" x14ac:dyDescent="0.25">
      <c r="A244" s="1"/>
      <c r="D244" s="4"/>
      <c r="E244" s="4"/>
      <c r="F244" s="4"/>
      <c r="G244" s="1"/>
      <c r="H244" s="1"/>
      <c r="I244" s="3"/>
      <c r="J244" s="3"/>
      <c r="K244" s="4"/>
      <c r="W244" s="21"/>
      <c r="X244" s="21"/>
      <c r="Y244" s="24"/>
      <c r="Z244" s="24"/>
      <c r="AA244" s="24"/>
      <c r="AD244" s="22"/>
      <c r="AE244" s="22"/>
      <c r="AF244" s="24"/>
    </row>
    <row r="245" spans="1:32" x14ac:dyDescent="0.25">
      <c r="A245" s="1"/>
      <c r="D245" s="4"/>
      <c r="E245" s="4"/>
      <c r="F245" s="4"/>
      <c r="G245" s="1"/>
      <c r="H245" s="1"/>
      <c r="I245" s="3"/>
      <c r="J245" s="3"/>
      <c r="K245" s="4"/>
      <c r="W245" s="21"/>
      <c r="X245" s="21"/>
      <c r="Y245" s="24"/>
      <c r="Z245" s="24"/>
      <c r="AA245" s="24"/>
      <c r="AD245" s="22"/>
      <c r="AE245" s="22"/>
      <c r="AF245" s="24"/>
    </row>
    <row r="246" spans="1:32" x14ac:dyDescent="0.25">
      <c r="A246" s="1"/>
      <c r="D246" s="4"/>
      <c r="E246" s="4"/>
      <c r="F246" s="4"/>
      <c r="G246" s="1"/>
      <c r="H246" s="1"/>
      <c r="I246" s="3"/>
      <c r="J246" s="3"/>
      <c r="K246" s="4"/>
      <c r="W246" s="21"/>
      <c r="X246" s="21"/>
      <c r="Y246" s="24"/>
      <c r="Z246" s="24"/>
      <c r="AA246" s="24"/>
      <c r="AD246" s="22"/>
      <c r="AE246" s="22"/>
      <c r="AF246" s="24"/>
    </row>
    <row r="247" spans="1:32" x14ac:dyDescent="0.25">
      <c r="A247" s="1"/>
      <c r="D247" s="4"/>
      <c r="E247" s="4"/>
      <c r="F247" s="4"/>
      <c r="G247" s="1"/>
      <c r="H247" s="1"/>
      <c r="I247" s="3"/>
      <c r="J247" s="3"/>
      <c r="K247" s="4"/>
      <c r="W247" s="21"/>
      <c r="X247" s="21"/>
      <c r="Y247" s="24"/>
      <c r="Z247" s="24"/>
      <c r="AA247" s="24"/>
      <c r="AD247" s="22"/>
      <c r="AE247" s="22"/>
      <c r="AF247" s="24"/>
    </row>
    <row r="248" spans="1:32" x14ac:dyDescent="0.25">
      <c r="A248" s="1"/>
      <c r="D248" s="4"/>
      <c r="E248" s="4"/>
      <c r="F248" s="4"/>
      <c r="G248" s="1"/>
      <c r="H248" s="1"/>
      <c r="I248" s="3"/>
      <c r="J248" s="3"/>
      <c r="K248" s="4"/>
      <c r="W248" s="21"/>
      <c r="X248" s="21"/>
      <c r="Y248" s="24"/>
      <c r="Z248" s="24"/>
      <c r="AA248" s="24"/>
      <c r="AD248" s="22"/>
      <c r="AE248" s="22"/>
      <c r="AF248" s="24"/>
    </row>
    <row r="249" spans="1:32" x14ac:dyDescent="0.25">
      <c r="A249" s="1"/>
      <c r="D249" s="4"/>
      <c r="E249" s="4"/>
      <c r="F249" s="4"/>
      <c r="G249" s="1"/>
      <c r="H249" s="1"/>
      <c r="I249" s="3"/>
      <c r="J249" s="3"/>
      <c r="K249" s="4"/>
      <c r="W249" s="21"/>
      <c r="X249" s="21"/>
      <c r="Y249" s="24"/>
      <c r="Z249" s="24"/>
      <c r="AA249" s="24"/>
      <c r="AD249" s="22"/>
      <c r="AE249" s="22"/>
      <c r="AF249" s="24"/>
    </row>
    <row r="250" spans="1:32" x14ac:dyDescent="0.25">
      <c r="A250" s="1"/>
      <c r="D250" s="4"/>
      <c r="E250" s="4"/>
      <c r="F250" s="4"/>
      <c r="G250" s="1"/>
      <c r="H250" s="1"/>
      <c r="I250" s="3"/>
      <c r="J250" s="3"/>
      <c r="K250" s="4"/>
      <c r="W250" s="21"/>
      <c r="X250" s="21"/>
      <c r="Y250" s="24"/>
      <c r="Z250" s="24"/>
      <c r="AA250" s="24"/>
      <c r="AD250" s="22"/>
      <c r="AE250" s="22"/>
      <c r="AF250" s="24"/>
    </row>
    <row r="251" spans="1:32" x14ac:dyDescent="0.25">
      <c r="A251" s="1"/>
      <c r="D251" s="4"/>
      <c r="E251" s="4"/>
      <c r="F251" s="4"/>
      <c r="G251" s="1"/>
      <c r="H251" s="1"/>
      <c r="I251" s="3"/>
      <c r="J251" s="3"/>
      <c r="K251" s="4"/>
      <c r="W251" s="21"/>
      <c r="X251" s="21"/>
      <c r="Y251" s="24"/>
      <c r="Z251" s="24"/>
      <c r="AA251" s="24"/>
      <c r="AD251" s="22"/>
      <c r="AE251" s="22"/>
      <c r="AF251" s="24"/>
    </row>
    <row r="252" spans="1:32" x14ac:dyDescent="0.25">
      <c r="A252" s="1"/>
      <c r="D252" s="4"/>
      <c r="E252" s="4"/>
      <c r="F252" s="4"/>
      <c r="G252" s="1"/>
      <c r="H252" s="1"/>
      <c r="I252" s="3"/>
      <c r="J252" s="3"/>
      <c r="K252" s="4"/>
      <c r="W252" s="21"/>
      <c r="X252" s="21"/>
      <c r="Y252" s="24"/>
      <c r="Z252" s="24"/>
      <c r="AA252" s="24"/>
      <c r="AD252" s="22"/>
      <c r="AE252" s="22"/>
      <c r="AF252" s="24"/>
    </row>
    <row r="253" spans="1:32" x14ac:dyDescent="0.25">
      <c r="A253" s="1"/>
      <c r="D253" s="4"/>
      <c r="E253" s="4"/>
      <c r="F253" s="4"/>
      <c r="G253" s="1"/>
      <c r="H253" s="1"/>
      <c r="I253" s="3"/>
      <c r="J253" s="3"/>
      <c r="K253" s="4"/>
      <c r="W253" s="21"/>
      <c r="X253" s="21"/>
      <c r="Y253" s="24"/>
      <c r="Z253" s="24"/>
      <c r="AA253" s="24"/>
      <c r="AD253" s="22"/>
      <c r="AE253" s="22"/>
      <c r="AF253" s="24"/>
    </row>
    <row r="254" spans="1:32" x14ac:dyDescent="0.25">
      <c r="A254" s="1"/>
      <c r="D254" s="4"/>
      <c r="E254" s="4"/>
      <c r="F254" s="4"/>
      <c r="G254" s="1"/>
      <c r="H254" s="1"/>
      <c r="I254" s="3"/>
      <c r="J254" s="3"/>
      <c r="K254" s="4"/>
      <c r="W254" s="21"/>
      <c r="X254" s="21"/>
      <c r="Y254" s="24"/>
      <c r="Z254" s="24"/>
      <c r="AA254" s="24"/>
      <c r="AD254" s="22"/>
      <c r="AE254" s="22"/>
      <c r="AF254" s="24"/>
    </row>
    <row r="255" spans="1:32" x14ac:dyDescent="0.25">
      <c r="A255" s="1"/>
      <c r="D255" s="4"/>
      <c r="E255" s="4"/>
      <c r="F255" s="4"/>
      <c r="G255" s="1"/>
      <c r="H255" s="1"/>
      <c r="I255" s="3"/>
      <c r="J255" s="3"/>
      <c r="K255" s="4"/>
      <c r="W255" s="21"/>
      <c r="X255" s="21"/>
      <c r="Y255" s="24"/>
      <c r="Z255" s="24"/>
      <c r="AA255" s="24"/>
      <c r="AD255" s="22"/>
      <c r="AE255" s="22"/>
      <c r="AF255" s="24"/>
    </row>
    <row r="256" spans="1:32" x14ac:dyDescent="0.25">
      <c r="A256" s="1"/>
      <c r="D256" s="4"/>
      <c r="E256" s="4"/>
      <c r="F256" s="4"/>
      <c r="G256" s="1"/>
      <c r="H256" s="1"/>
      <c r="I256" s="3"/>
      <c r="J256" s="3"/>
      <c r="K256" s="4"/>
      <c r="W256" s="21"/>
      <c r="X256" s="21"/>
      <c r="Y256" s="24"/>
      <c r="Z256" s="24"/>
      <c r="AA256" s="24"/>
      <c r="AD256" s="22"/>
      <c r="AE256" s="22"/>
      <c r="AF256" s="24"/>
    </row>
    <row r="257" spans="1:32" x14ac:dyDescent="0.25">
      <c r="A257" s="1"/>
      <c r="D257" s="4"/>
      <c r="E257" s="4"/>
      <c r="F257" s="4"/>
      <c r="G257" s="1"/>
      <c r="H257" s="1"/>
      <c r="I257" s="3"/>
      <c r="J257" s="3"/>
      <c r="K257" s="4"/>
      <c r="W257" s="21"/>
      <c r="X257" s="21"/>
      <c r="Y257" s="24"/>
      <c r="Z257" s="24"/>
      <c r="AA257" s="24"/>
      <c r="AD257" s="22"/>
      <c r="AE257" s="22"/>
      <c r="AF257" s="24"/>
    </row>
    <row r="258" spans="1:32" x14ac:dyDescent="0.25">
      <c r="A258" s="1"/>
      <c r="D258" s="4"/>
      <c r="E258" s="4"/>
      <c r="F258" s="4"/>
      <c r="G258" s="1"/>
      <c r="H258" s="1"/>
      <c r="I258" s="3"/>
      <c r="J258" s="3"/>
      <c r="K258" s="4"/>
      <c r="W258" s="21"/>
      <c r="X258" s="21"/>
      <c r="Y258" s="24"/>
      <c r="Z258" s="24"/>
      <c r="AA258" s="24"/>
      <c r="AD258" s="22"/>
      <c r="AE258" s="22"/>
      <c r="AF258" s="24"/>
    </row>
    <row r="259" spans="1:32" x14ac:dyDescent="0.25">
      <c r="A259" s="1"/>
      <c r="D259" s="4"/>
      <c r="E259" s="4"/>
      <c r="F259" s="4"/>
      <c r="G259" s="1"/>
      <c r="H259" s="1"/>
      <c r="I259" s="3"/>
      <c r="J259" s="3"/>
      <c r="K259" s="4"/>
      <c r="W259" s="21"/>
      <c r="X259" s="21"/>
      <c r="Y259" s="24"/>
      <c r="Z259" s="24"/>
      <c r="AA259" s="24"/>
      <c r="AD259" s="22"/>
      <c r="AE259" s="22"/>
      <c r="AF259" s="24"/>
    </row>
    <row r="260" spans="1:32" x14ac:dyDescent="0.25">
      <c r="A260" s="1"/>
      <c r="D260" s="4"/>
      <c r="E260" s="4"/>
      <c r="F260" s="4"/>
      <c r="G260" s="1"/>
      <c r="H260" s="1"/>
      <c r="I260" s="3"/>
      <c r="J260" s="3"/>
      <c r="K260" s="4"/>
      <c r="W260" s="21"/>
      <c r="X260" s="21"/>
      <c r="Y260" s="24"/>
      <c r="Z260" s="24"/>
      <c r="AA260" s="24"/>
      <c r="AD260" s="22"/>
      <c r="AE260" s="22"/>
      <c r="AF260" s="24"/>
    </row>
    <row r="261" spans="1:32" x14ac:dyDescent="0.25">
      <c r="A261" s="1"/>
      <c r="D261" s="4"/>
      <c r="E261" s="4"/>
      <c r="F261" s="4"/>
      <c r="G261" s="1"/>
      <c r="H261" s="1"/>
      <c r="I261" s="3"/>
      <c r="J261" s="3"/>
      <c r="K261" s="4"/>
      <c r="W261" s="21"/>
      <c r="X261" s="21"/>
      <c r="Y261" s="24"/>
      <c r="Z261" s="24"/>
      <c r="AA261" s="24"/>
      <c r="AD261" s="22"/>
      <c r="AE261" s="22"/>
      <c r="AF261" s="24"/>
    </row>
    <row r="262" spans="1:32" x14ac:dyDescent="0.25">
      <c r="A262" s="1"/>
      <c r="D262" s="4"/>
      <c r="E262" s="4"/>
      <c r="F262" s="4"/>
      <c r="G262" s="1"/>
      <c r="H262" s="1"/>
      <c r="I262" s="3"/>
      <c r="J262" s="3"/>
      <c r="K262" s="4"/>
      <c r="W262" s="21"/>
      <c r="X262" s="21"/>
      <c r="Y262" s="24"/>
      <c r="Z262" s="24"/>
      <c r="AA262" s="24"/>
      <c r="AD262" s="22"/>
      <c r="AE262" s="22"/>
      <c r="AF262" s="24"/>
    </row>
    <row r="263" spans="1:32" x14ac:dyDescent="0.25">
      <c r="A263" s="1"/>
      <c r="D263" s="4"/>
      <c r="E263" s="4"/>
      <c r="F263" s="4"/>
      <c r="G263" s="1"/>
      <c r="H263" s="1"/>
      <c r="I263" s="3"/>
      <c r="J263" s="3"/>
      <c r="K263" s="4"/>
      <c r="W263" s="21"/>
      <c r="X263" s="21"/>
      <c r="Y263" s="24"/>
      <c r="Z263" s="24"/>
      <c r="AA263" s="24"/>
      <c r="AD263" s="22"/>
      <c r="AE263" s="22"/>
      <c r="AF263" s="24"/>
    </row>
    <row r="264" spans="1:32" x14ac:dyDescent="0.25">
      <c r="A264" s="1"/>
      <c r="D264" s="4"/>
      <c r="E264" s="4"/>
      <c r="F264" s="4"/>
      <c r="G264" s="1"/>
      <c r="H264" s="1"/>
      <c r="I264" s="3"/>
      <c r="J264" s="3"/>
      <c r="K264" s="4"/>
      <c r="W264" s="21"/>
      <c r="X264" s="21"/>
      <c r="Y264" s="24"/>
      <c r="Z264" s="24"/>
      <c r="AA264" s="24"/>
      <c r="AD264" s="22"/>
      <c r="AE264" s="22"/>
      <c r="AF264" s="24"/>
    </row>
    <row r="265" spans="1:32" x14ac:dyDescent="0.25">
      <c r="A265" s="1"/>
      <c r="D265" s="4"/>
      <c r="E265" s="4"/>
      <c r="F265" s="4"/>
      <c r="G265" s="1"/>
      <c r="H265" s="1"/>
      <c r="I265" s="3"/>
      <c r="J265" s="3"/>
      <c r="K265" s="4"/>
      <c r="W265" s="21"/>
      <c r="X265" s="21"/>
      <c r="Y265" s="24"/>
      <c r="Z265" s="24"/>
      <c r="AA265" s="24"/>
      <c r="AD265" s="22"/>
      <c r="AE265" s="22"/>
      <c r="AF265" s="24"/>
    </row>
    <row r="266" spans="1:32" x14ac:dyDescent="0.25">
      <c r="A266" s="1"/>
      <c r="D266" s="4"/>
      <c r="E266" s="4"/>
      <c r="F266" s="4"/>
      <c r="G266" s="1"/>
      <c r="H266" s="1"/>
      <c r="I266" s="3"/>
      <c r="J266" s="3"/>
      <c r="K266" s="4"/>
      <c r="W266" s="21"/>
      <c r="X266" s="21"/>
      <c r="Y266" s="24"/>
      <c r="Z266" s="24"/>
      <c r="AA266" s="24"/>
      <c r="AD266" s="22"/>
      <c r="AE266" s="22"/>
      <c r="AF266" s="24"/>
    </row>
    <row r="267" spans="1:32" x14ac:dyDescent="0.25">
      <c r="A267" s="1"/>
      <c r="D267" s="4"/>
      <c r="E267" s="4"/>
      <c r="F267" s="4"/>
      <c r="G267" s="1"/>
      <c r="H267" s="1"/>
      <c r="I267" s="3"/>
      <c r="J267" s="3"/>
      <c r="K267" s="4"/>
      <c r="W267" s="21"/>
      <c r="X267" s="21"/>
      <c r="Y267" s="24"/>
      <c r="Z267" s="24"/>
      <c r="AA267" s="24"/>
      <c r="AD267" s="22"/>
      <c r="AE267" s="22"/>
      <c r="AF267" s="24"/>
    </row>
    <row r="268" spans="1:32" x14ac:dyDescent="0.25">
      <c r="A268" s="1"/>
      <c r="D268" s="4"/>
      <c r="E268" s="4"/>
      <c r="F268" s="4"/>
      <c r="G268" s="1"/>
      <c r="H268" s="1"/>
      <c r="I268" s="3"/>
      <c r="J268" s="3"/>
      <c r="K268" s="4"/>
      <c r="W268" s="21"/>
      <c r="X268" s="21"/>
      <c r="Y268" s="24"/>
      <c r="Z268" s="24"/>
      <c r="AA268" s="24"/>
      <c r="AD268" s="22"/>
      <c r="AE268" s="22"/>
      <c r="AF268" s="24"/>
    </row>
    <row r="269" spans="1:32" x14ac:dyDescent="0.25">
      <c r="A269" s="1"/>
      <c r="D269" s="4"/>
      <c r="E269" s="4"/>
      <c r="F269" s="4"/>
      <c r="G269" s="1"/>
      <c r="H269" s="1"/>
      <c r="I269" s="3"/>
      <c r="J269" s="3"/>
      <c r="K269" s="4"/>
      <c r="W269" s="21"/>
      <c r="X269" s="21"/>
      <c r="Y269" s="24"/>
      <c r="Z269" s="24"/>
      <c r="AA269" s="24"/>
      <c r="AD269" s="22"/>
      <c r="AE269" s="22"/>
      <c r="AF269" s="24"/>
    </row>
    <row r="270" spans="1:32" x14ac:dyDescent="0.25">
      <c r="A270" s="1"/>
      <c r="D270" s="4"/>
      <c r="E270" s="4"/>
      <c r="F270" s="4"/>
      <c r="G270" s="1"/>
      <c r="H270" s="1"/>
      <c r="I270" s="3"/>
      <c r="J270" s="3"/>
      <c r="K270" s="4"/>
      <c r="W270" s="21"/>
      <c r="X270" s="21"/>
      <c r="Y270" s="24"/>
      <c r="Z270" s="24"/>
      <c r="AA270" s="24"/>
      <c r="AD270" s="22"/>
      <c r="AE270" s="22"/>
      <c r="AF270" s="24"/>
    </row>
    <row r="271" spans="1:32" x14ac:dyDescent="0.25">
      <c r="A271" s="1"/>
      <c r="D271" s="4"/>
      <c r="E271" s="4"/>
      <c r="F271" s="4"/>
      <c r="G271" s="1"/>
      <c r="H271" s="1"/>
      <c r="I271" s="3"/>
      <c r="J271" s="3"/>
      <c r="K271" s="4"/>
      <c r="W271" s="21"/>
      <c r="X271" s="21"/>
      <c r="Y271" s="24"/>
      <c r="Z271" s="24"/>
      <c r="AA271" s="24"/>
      <c r="AD271" s="22"/>
      <c r="AE271" s="22"/>
      <c r="AF271" s="24"/>
    </row>
    <row r="272" spans="1:32" x14ac:dyDescent="0.25">
      <c r="A272" s="1"/>
      <c r="D272" s="4"/>
      <c r="E272" s="4"/>
      <c r="F272" s="4"/>
      <c r="G272" s="1"/>
      <c r="H272" s="1"/>
      <c r="I272" s="3"/>
      <c r="J272" s="3"/>
      <c r="K272" s="4"/>
      <c r="W272" s="21"/>
      <c r="X272" s="21"/>
      <c r="Y272" s="24"/>
      <c r="Z272" s="24"/>
      <c r="AA272" s="24"/>
      <c r="AD272" s="22"/>
      <c r="AE272" s="22"/>
      <c r="AF272" s="24"/>
    </row>
    <row r="273" spans="1:32" x14ac:dyDescent="0.25">
      <c r="A273" s="1"/>
      <c r="D273" s="4"/>
      <c r="E273" s="4"/>
      <c r="F273" s="4"/>
      <c r="G273" s="1"/>
      <c r="H273" s="1"/>
      <c r="I273" s="3"/>
      <c r="J273" s="3"/>
      <c r="K273" s="4"/>
      <c r="W273" s="21"/>
      <c r="X273" s="21"/>
      <c r="Y273" s="24"/>
      <c r="Z273" s="24"/>
      <c r="AA273" s="24"/>
      <c r="AD273" s="22"/>
      <c r="AE273" s="22"/>
      <c r="AF273" s="24"/>
    </row>
    <row r="274" spans="1:32" x14ac:dyDescent="0.25">
      <c r="A274" s="1"/>
      <c r="D274" s="4"/>
      <c r="E274" s="4"/>
      <c r="F274" s="4"/>
      <c r="G274" s="1"/>
      <c r="H274" s="1"/>
      <c r="I274" s="3"/>
      <c r="J274" s="3"/>
      <c r="K274" s="4"/>
      <c r="W274" s="21"/>
      <c r="X274" s="21"/>
      <c r="Y274" s="24"/>
      <c r="Z274" s="24"/>
      <c r="AA274" s="24"/>
      <c r="AD274" s="22"/>
      <c r="AE274" s="22"/>
      <c r="AF274" s="24"/>
    </row>
    <row r="275" spans="1:32" x14ac:dyDescent="0.25">
      <c r="A275" s="1"/>
      <c r="D275" s="4"/>
      <c r="E275" s="4"/>
      <c r="F275" s="4"/>
      <c r="G275" s="1"/>
      <c r="H275" s="1"/>
      <c r="I275" s="3"/>
      <c r="J275" s="3"/>
      <c r="K275" s="4"/>
      <c r="W275" s="21"/>
      <c r="X275" s="21"/>
      <c r="Y275" s="24"/>
      <c r="Z275" s="24"/>
      <c r="AA275" s="24"/>
      <c r="AD275" s="22"/>
      <c r="AE275" s="22"/>
      <c r="AF275" s="24"/>
    </row>
    <row r="276" spans="1:32" x14ac:dyDescent="0.25">
      <c r="A276" s="1"/>
      <c r="D276" s="4"/>
      <c r="E276" s="4"/>
      <c r="F276" s="4"/>
      <c r="G276" s="1"/>
      <c r="H276" s="1"/>
      <c r="I276" s="3"/>
      <c r="J276" s="3"/>
      <c r="K276" s="4"/>
      <c r="W276" s="21"/>
      <c r="X276" s="21"/>
      <c r="Y276" s="24"/>
      <c r="Z276" s="24"/>
      <c r="AA276" s="24"/>
      <c r="AD276" s="22"/>
      <c r="AE276" s="22"/>
      <c r="AF276" s="24"/>
    </row>
    <row r="277" spans="1:32" x14ac:dyDescent="0.25">
      <c r="A277" s="1"/>
      <c r="D277" s="4"/>
      <c r="E277" s="4"/>
      <c r="F277" s="4"/>
      <c r="G277" s="1"/>
      <c r="H277" s="1"/>
      <c r="I277" s="3"/>
      <c r="J277" s="3"/>
      <c r="K277" s="4"/>
      <c r="W277" s="21"/>
      <c r="X277" s="21"/>
      <c r="Y277" s="24"/>
      <c r="Z277" s="24"/>
      <c r="AA277" s="24"/>
      <c r="AD277" s="22"/>
      <c r="AE277" s="22"/>
      <c r="AF277" s="24"/>
    </row>
    <row r="278" spans="1:32" x14ac:dyDescent="0.25">
      <c r="A278" s="1"/>
      <c r="D278" s="4"/>
      <c r="E278" s="4"/>
      <c r="F278" s="4"/>
      <c r="G278" s="1"/>
      <c r="H278" s="1"/>
      <c r="I278" s="3"/>
      <c r="J278" s="3"/>
      <c r="K278" s="4"/>
      <c r="W278" s="21"/>
      <c r="X278" s="21"/>
      <c r="Y278" s="24"/>
      <c r="Z278" s="24"/>
      <c r="AA278" s="24"/>
      <c r="AD278" s="22"/>
      <c r="AE278" s="22"/>
      <c r="AF278" s="24"/>
    </row>
    <row r="279" spans="1:32" x14ac:dyDescent="0.25">
      <c r="A279" s="1"/>
      <c r="D279" s="4"/>
      <c r="E279" s="4"/>
      <c r="F279" s="4"/>
      <c r="G279" s="1"/>
      <c r="H279" s="1"/>
      <c r="I279" s="3"/>
      <c r="J279" s="3"/>
      <c r="K279" s="4"/>
      <c r="W279" s="21"/>
      <c r="X279" s="21"/>
      <c r="Y279" s="24"/>
      <c r="Z279" s="24"/>
      <c r="AA279" s="24"/>
      <c r="AD279" s="22"/>
      <c r="AE279" s="22"/>
      <c r="AF279" s="24"/>
    </row>
    <row r="280" spans="1:32" x14ac:dyDescent="0.25">
      <c r="A280" s="1"/>
      <c r="D280" s="4"/>
      <c r="E280" s="4"/>
      <c r="F280" s="4"/>
      <c r="G280" s="1"/>
      <c r="H280" s="1"/>
      <c r="I280" s="3"/>
      <c r="J280" s="3"/>
      <c r="K280" s="4"/>
      <c r="W280" s="21"/>
      <c r="X280" s="21"/>
      <c r="Y280" s="24"/>
      <c r="Z280" s="24"/>
      <c r="AA280" s="24"/>
      <c r="AD280" s="22"/>
      <c r="AE280" s="22"/>
      <c r="AF280" s="24"/>
    </row>
    <row r="281" spans="1:32" x14ac:dyDescent="0.25">
      <c r="A281" s="1"/>
      <c r="D281" s="4"/>
      <c r="E281" s="4"/>
      <c r="F281" s="4"/>
      <c r="G281" s="1"/>
      <c r="H281" s="1"/>
      <c r="I281" s="3"/>
      <c r="J281" s="3"/>
      <c r="K281" s="4"/>
      <c r="W281" s="21"/>
      <c r="X281" s="21"/>
      <c r="Y281" s="24"/>
      <c r="Z281" s="24"/>
      <c r="AA281" s="24"/>
      <c r="AD281" s="22"/>
      <c r="AE281" s="22"/>
      <c r="AF281" s="24"/>
    </row>
    <row r="282" spans="1:32" x14ac:dyDescent="0.25">
      <c r="A282" s="1"/>
      <c r="D282" s="4"/>
      <c r="E282" s="4"/>
      <c r="F282" s="4"/>
      <c r="G282" s="1"/>
      <c r="H282" s="1"/>
      <c r="I282" s="3"/>
      <c r="J282" s="3"/>
      <c r="K282" s="4"/>
      <c r="W282" s="21"/>
      <c r="X282" s="21"/>
      <c r="Y282" s="24"/>
      <c r="Z282" s="24"/>
      <c r="AA282" s="24"/>
      <c r="AD282" s="22"/>
      <c r="AE282" s="22"/>
      <c r="AF282" s="24"/>
    </row>
    <row r="283" spans="1:32" x14ac:dyDescent="0.25">
      <c r="A283" s="1"/>
      <c r="D283" s="4"/>
      <c r="E283" s="4"/>
      <c r="F283" s="4"/>
      <c r="G283" s="1"/>
      <c r="H283" s="1"/>
      <c r="I283" s="3"/>
      <c r="J283" s="3"/>
      <c r="K283" s="4"/>
      <c r="W283" s="21"/>
      <c r="X283" s="21"/>
      <c r="Y283" s="24"/>
      <c r="Z283" s="24"/>
      <c r="AA283" s="24"/>
      <c r="AD283" s="22"/>
      <c r="AE283" s="22"/>
      <c r="AF283" s="24"/>
    </row>
    <row r="284" spans="1:32" x14ac:dyDescent="0.25">
      <c r="A284" s="1"/>
      <c r="D284" s="4"/>
      <c r="E284" s="4"/>
      <c r="F284" s="4"/>
      <c r="G284" s="1"/>
      <c r="H284" s="1"/>
      <c r="I284" s="3"/>
      <c r="J284" s="3"/>
      <c r="K284" s="4"/>
      <c r="W284" s="21"/>
      <c r="X284" s="21"/>
      <c r="Y284" s="24"/>
      <c r="Z284" s="24"/>
      <c r="AA284" s="24"/>
      <c r="AD284" s="22"/>
      <c r="AE284" s="22"/>
      <c r="AF284" s="24"/>
    </row>
    <row r="285" spans="1:32" x14ac:dyDescent="0.25">
      <c r="A285" s="1"/>
      <c r="D285" s="4"/>
      <c r="E285" s="4"/>
      <c r="F285" s="4"/>
      <c r="G285" s="1"/>
      <c r="H285" s="1"/>
      <c r="I285" s="3"/>
      <c r="J285" s="3"/>
      <c r="K285" s="4"/>
      <c r="W285" s="21"/>
      <c r="X285" s="21"/>
      <c r="Y285" s="24"/>
      <c r="Z285" s="24"/>
      <c r="AA285" s="24"/>
      <c r="AD285" s="22"/>
      <c r="AE285" s="22"/>
      <c r="AF285" s="24"/>
    </row>
    <row r="286" spans="1:32" x14ac:dyDescent="0.25">
      <c r="A286" s="1"/>
      <c r="D286" s="4"/>
      <c r="E286" s="4"/>
      <c r="F286" s="4"/>
      <c r="G286" s="1"/>
      <c r="H286" s="1"/>
      <c r="I286" s="3"/>
      <c r="J286" s="3"/>
      <c r="K286" s="4"/>
      <c r="W286" s="21"/>
      <c r="X286" s="21"/>
      <c r="Y286" s="24"/>
      <c r="Z286" s="24"/>
      <c r="AA286" s="24"/>
      <c r="AD286" s="22"/>
      <c r="AE286" s="22"/>
      <c r="AF286" s="24"/>
    </row>
    <row r="287" spans="1:32" x14ac:dyDescent="0.25">
      <c r="A287" s="1"/>
      <c r="D287" s="4"/>
      <c r="E287" s="4"/>
      <c r="F287" s="4"/>
      <c r="G287" s="1"/>
      <c r="H287" s="1"/>
      <c r="I287" s="3"/>
      <c r="J287" s="3"/>
      <c r="K287" s="4"/>
      <c r="W287" s="21"/>
      <c r="X287" s="21"/>
      <c r="Y287" s="24"/>
      <c r="Z287" s="24"/>
      <c r="AA287" s="24"/>
      <c r="AD287" s="22"/>
      <c r="AE287" s="22"/>
      <c r="AF287" s="24"/>
    </row>
    <row r="288" spans="1:32" x14ac:dyDescent="0.25">
      <c r="A288" s="1"/>
      <c r="D288" s="4"/>
      <c r="E288" s="4"/>
      <c r="F288" s="4"/>
      <c r="G288" s="1"/>
      <c r="H288" s="1"/>
      <c r="I288" s="3"/>
      <c r="J288" s="3"/>
      <c r="K288" s="4"/>
      <c r="W288" s="21"/>
      <c r="X288" s="21"/>
      <c r="Y288" s="24"/>
      <c r="Z288" s="24"/>
      <c r="AA288" s="24"/>
      <c r="AD288" s="22"/>
      <c r="AE288" s="22"/>
      <c r="AF288" s="24"/>
    </row>
    <row r="289" spans="1:32" x14ac:dyDescent="0.25">
      <c r="A289" s="1"/>
      <c r="D289" s="4"/>
      <c r="E289" s="4"/>
      <c r="F289" s="4"/>
      <c r="G289" s="1"/>
      <c r="H289" s="1"/>
      <c r="I289" s="3"/>
      <c r="J289" s="3"/>
      <c r="K289" s="4"/>
      <c r="W289" s="21"/>
      <c r="X289" s="21"/>
      <c r="Y289" s="24"/>
      <c r="Z289" s="24"/>
      <c r="AA289" s="24"/>
      <c r="AD289" s="22"/>
      <c r="AE289" s="22"/>
      <c r="AF289" s="24"/>
    </row>
    <row r="290" spans="1:32" x14ac:dyDescent="0.25">
      <c r="A290" s="1"/>
      <c r="D290" s="4"/>
      <c r="E290" s="4"/>
      <c r="F290" s="4"/>
      <c r="G290" s="1"/>
      <c r="H290" s="1"/>
      <c r="I290" s="3"/>
      <c r="J290" s="3"/>
      <c r="K290" s="4"/>
      <c r="W290" s="21"/>
      <c r="X290" s="21"/>
      <c r="Y290" s="24"/>
      <c r="Z290" s="24"/>
      <c r="AA290" s="24"/>
      <c r="AD290" s="22"/>
      <c r="AE290" s="22"/>
      <c r="AF290" s="24"/>
    </row>
    <row r="291" spans="1:32" x14ac:dyDescent="0.25">
      <c r="A291" s="1"/>
      <c r="D291" s="4"/>
      <c r="E291" s="4"/>
      <c r="F291" s="4"/>
      <c r="G291" s="1"/>
      <c r="H291" s="1"/>
      <c r="I291" s="3"/>
      <c r="J291" s="3"/>
      <c r="K291" s="4"/>
      <c r="W291" s="21"/>
      <c r="X291" s="21"/>
      <c r="Y291" s="24"/>
      <c r="Z291" s="24"/>
      <c r="AA291" s="24"/>
      <c r="AD291" s="22"/>
      <c r="AE291" s="22"/>
      <c r="AF291" s="24"/>
    </row>
    <row r="292" spans="1:32" x14ac:dyDescent="0.25">
      <c r="A292" s="1"/>
      <c r="D292" s="4"/>
      <c r="E292" s="4"/>
      <c r="F292" s="4"/>
      <c r="G292" s="1"/>
      <c r="H292" s="1"/>
      <c r="I292" s="3"/>
      <c r="J292" s="3"/>
      <c r="K292" s="4"/>
      <c r="W292" s="21"/>
      <c r="X292" s="21"/>
      <c r="Y292" s="24"/>
      <c r="Z292" s="24"/>
      <c r="AA292" s="24"/>
      <c r="AD292" s="22"/>
      <c r="AE292" s="22"/>
      <c r="AF292" s="24"/>
    </row>
    <row r="293" spans="1:32" x14ac:dyDescent="0.25">
      <c r="A293" s="1"/>
      <c r="D293" s="4"/>
      <c r="E293" s="4"/>
      <c r="F293" s="4"/>
      <c r="G293" s="1"/>
      <c r="H293" s="1"/>
      <c r="I293" s="3"/>
      <c r="J293" s="3"/>
      <c r="K293" s="4"/>
      <c r="W293" s="21"/>
      <c r="X293" s="21"/>
      <c r="Y293" s="24"/>
      <c r="Z293" s="24"/>
      <c r="AA293" s="24"/>
      <c r="AD293" s="22"/>
      <c r="AE293" s="22"/>
      <c r="AF293" s="24"/>
    </row>
    <row r="294" spans="1:32" x14ac:dyDescent="0.25">
      <c r="A294" s="1"/>
      <c r="D294" s="4"/>
      <c r="E294" s="4"/>
      <c r="F294" s="4"/>
      <c r="G294" s="1"/>
      <c r="H294" s="1"/>
      <c r="I294" s="3"/>
      <c r="J294" s="3"/>
      <c r="K294" s="4"/>
      <c r="W294" s="21"/>
      <c r="X294" s="21"/>
      <c r="Y294" s="24"/>
      <c r="Z294" s="24"/>
      <c r="AA294" s="24"/>
      <c r="AD294" s="22"/>
      <c r="AE294" s="22"/>
      <c r="AF294" s="24"/>
    </row>
    <row r="295" spans="1:32" x14ac:dyDescent="0.25">
      <c r="A295" s="1"/>
      <c r="D295" s="4"/>
      <c r="E295" s="4"/>
      <c r="F295" s="4"/>
      <c r="G295" s="1"/>
      <c r="H295" s="1"/>
      <c r="I295" s="3"/>
      <c r="J295" s="3"/>
      <c r="K295" s="4"/>
      <c r="W295" s="21"/>
      <c r="X295" s="21"/>
      <c r="Y295" s="24"/>
      <c r="Z295" s="24"/>
      <c r="AA295" s="24"/>
      <c r="AD295" s="22"/>
      <c r="AE295" s="22"/>
      <c r="AF295" s="24"/>
    </row>
    <row r="296" spans="1:32" x14ac:dyDescent="0.25">
      <c r="A296" s="1"/>
      <c r="D296" s="4"/>
      <c r="E296" s="4"/>
      <c r="F296" s="4"/>
      <c r="G296" s="1"/>
      <c r="H296" s="1"/>
      <c r="I296" s="3"/>
      <c r="J296" s="3"/>
      <c r="K296" s="4"/>
      <c r="W296" s="21"/>
      <c r="X296" s="21"/>
      <c r="Y296" s="24"/>
      <c r="Z296" s="24"/>
      <c r="AA296" s="24"/>
      <c r="AD296" s="22"/>
      <c r="AE296" s="22"/>
      <c r="AF296" s="24"/>
    </row>
    <row r="297" spans="1:32" x14ac:dyDescent="0.25">
      <c r="A297" s="1"/>
      <c r="D297" s="4"/>
      <c r="E297" s="4"/>
      <c r="F297" s="4"/>
      <c r="G297" s="1"/>
      <c r="H297" s="1"/>
      <c r="I297" s="3"/>
      <c r="J297" s="3"/>
      <c r="K297" s="4"/>
      <c r="W297" s="21"/>
      <c r="X297" s="21"/>
      <c r="Y297" s="24"/>
      <c r="Z297" s="24"/>
      <c r="AA297" s="24"/>
      <c r="AD297" s="22"/>
      <c r="AE297" s="22"/>
      <c r="AF297" s="24"/>
    </row>
    <row r="298" spans="1:32" x14ac:dyDescent="0.25">
      <c r="A298" s="1"/>
      <c r="D298" s="4"/>
      <c r="E298" s="4"/>
      <c r="F298" s="4"/>
      <c r="G298" s="1"/>
      <c r="H298" s="1"/>
      <c r="I298" s="3"/>
      <c r="J298" s="3"/>
      <c r="K298" s="4"/>
      <c r="W298" s="21"/>
      <c r="X298" s="21"/>
      <c r="Y298" s="24"/>
      <c r="Z298" s="24"/>
      <c r="AA298" s="24"/>
      <c r="AD298" s="22"/>
      <c r="AE298" s="22"/>
      <c r="AF298" s="24"/>
    </row>
    <row r="299" spans="1:32" x14ac:dyDescent="0.25">
      <c r="A299" s="1"/>
      <c r="D299" s="4"/>
      <c r="E299" s="4"/>
      <c r="F299" s="4"/>
      <c r="G299" s="1"/>
      <c r="H299" s="1"/>
      <c r="I299" s="3"/>
      <c r="J299" s="3"/>
      <c r="K299" s="4"/>
      <c r="W299" s="21"/>
      <c r="X299" s="21"/>
      <c r="Y299" s="24"/>
      <c r="Z299" s="24"/>
      <c r="AA299" s="24"/>
      <c r="AD299" s="22"/>
      <c r="AE299" s="22"/>
      <c r="AF299" s="24"/>
    </row>
    <row r="300" spans="1:32" x14ac:dyDescent="0.25">
      <c r="A300" s="1"/>
      <c r="D300" s="4"/>
      <c r="E300" s="4"/>
      <c r="F300" s="4"/>
      <c r="G300" s="1"/>
      <c r="H300" s="1"/>
      <c r="I300" s="3"/>
      <c r="J300" s="3"/>
      <c r="K300" s="4"/>
      <c r="W300" s="21"/>
      <c r="X300" s="21"/>
      <c r="Y300" s="24"/>
      <c r="Z300" s="24"/>
      <c r="AA300" s="24"/>
      <c r="AD300" s="22"/>
      <c r="AE300" s="22"/>
      <c r="AF300" s="24"/>
    </row>
    <row r="301" spans="1:32" x14ac:dyDescent="0.25">
      <c r="A301" s="1"/>
      <c r="D301" s="4"/>
      <c r="E301" s="4"/>
      <c r="F301" s="4"/>
      <c r="G301" s="1"/>
      <c r="H301" s="1"/>
      <c r="I301" s="3"/>
      <c r="J301" s="3"/>
      <c r="K301" s="4"/>
      <c r="W301" s="21"/>
      <c r="X301" s="21"/>
      <c r="Y301" s="24"/>
      <c r="Z301" s="24"/>
      <c r="AA301" s="24"/>
      <c r="AD301" s="22"/>
      <c r="AE301" s="22"/>
      <c r="AF301" s="24"/>
    </row>
    <row r="302" spans="1:32" x14ac:dyDescent="0.25">
      <c r="A302" s="1"/>
      <c r="D302" s="4"/>
      <c r="E302" s="4"/>
      <c r="F302" s="4"/>
      <c r="G302" s="1"/>
      <c r="H302" s="1"/>
      <c r="I302" s="3"/>
      <c r="J302" s="3"/>
      <c r="K302" s="4"/>
      <c r="W302" s="21"/>
      <c r="X302" s="21"/>
      <c r="Y302" s="24"/>
      <c r="Z302" s="24"/>
      <c r="AA302" s="24"/>
      <c r="AD302" s="22"/>
      <c r="AE302" s="22"/>
      <c r="AF302" s="24"/>
    </row>
    <row r="303" spans="1:32" x14ac:dyDescent="0.25">
      <c r="A303" s="1"/>
      <c r="D303" s="4"/>
      <c r="E303" s="4"/>
      <c r="F303" s="4"/>
      <c r="G303" s="1"/>
      <c r="H303" s="1"/>
      <c r="I303" s="3"/>
      <c r="J303" s="3"/>
      <c r="K303" s="4"/>
      <c r="W303" s="21"/>
      <c r="X303" s="21"/>
      <c r="Y303" s="24"/>
      <c r="Z303" s="24"/>
      <c r="AA303" s="24"/>
      <c r="AD303" s="22"/>
      <c r="AE303" s="22"/>
      <c r="AF303" s="24"/>
    </row>
    <row r="304" spans="1:32" x14ac:dyDescent="0.25">
      <c r="A304" s="1"/>
      <c r="D304" s="4"/>
      <c r="E304" s="4"/>
      <c r="F304" s="4"/>
      <c r="G304" s="1"/>
      <c r="H304" s="1"/>
      <c r="I304" s="3"/>
      <c r="J304" s="3"/>
      <c r="K304" s="4"/>
      <c r="W304" s="21"/>
      <c r="X304" s="21"/>
      <c r="Y304" s="24"/>
      <c r="Z304" s="24"/>
      <c r="AA304" s="24"/>
      <c r="AD304" s="22"/>
      <c r="AE304" s="22"/>
      <c r="AF304" s="24"/>
    </row>
    <row r="305" spans="1:32" x14ac:dyDescent="0.25">
      <c r="A305" s="1"/>
      <c r="D305" s="4"/>
      <c r="E305" s="4"/>
      <c r="F305" s="4"/>
      <c r="G305" s="1"/>
      <c r="H305" s="1"/>
      <c r="I305" s="3"/>
      <c r="J305" s="3"/>
      <c r="K305" s="4"/>
      <c r="W305" s="21"/>
      <c r="X305" s="21"/>
      <c r="Y305" s="24"/>
      <c r="Z305" s="24"/>
      <c r="AA305" s="24"/>
      <c r="AD305" s="22"/>
      <c r="AE305" s="22"/>
      <c r="AF305" s="24"/>
    </row>
    <row r="306" spans="1:32" x14ac:dyDescent="0.25">
      <c r="A306" s="1"/>
      <c r="D306" s="4"/>
      <c r="E306" s="4"/>
      <c r="F306" s="4"/>
      <c r="G306" s="1"/>
      <c r="H306" s="1"/>
      <c r="I306" s="3"/>
      <c r="J306" s="3"/>
      <c r="K306" s="4"/>
      <c r="W306" s="21"/>
      <c r="X306" s="21"/>
      <c r="Y306" s="24"/>
      <c r="Z306" s="24"/>
      <c r="AA306" s="24"/>
      <c r="AD306" s="22"/>
      <c r="AE306" s="22"/>
      <c r="AF306" s="24"/>
    </row>
    <row r="307" spans="1:32" x14ac:dyDescent="0.25">
      <c r="A307" s="1"/>
      <c r="D307" s="4"/>
      <c r="E307" s="4"/>
      <c r="F307" s="4"/>
      <c r="G307" s="1"/>
      <c r="H307" s="1"/>
      <c r="I307" s="3"/>
      <c r="J307" s="3"/>
      <c r="K307" s="4"/>
      <c r="W307" s="21"/>
      <c r="X307" s="21"/>
      <c r="Y307" s="24"/>
      <c r="Z307" s="24"/>
      <c r="AA307" s="24"/>
      <c r="AD307" s="22"/>
      <c r="AE307" s="22"/>
      <c r="AF307" s="24"/>
    </row>
    <row r="308" spans="1:32" x14ac:dyDescent="0.25">
      <c r="A308" s="1"/>
      <c r="D308" s="4"/>
      <c r="E308" s="4"/>
      <c r="F308" s="4"/>
      <c r="G308" s="1"/>
      <c r="H308" s="1"/>
      <c r="I308" s="3"/>
      <c r="J308" s="3"/>
      <c r="K308" s="4"/>
      <c r="W308" s="21"/>
      <c r="X308" s="21"/>
      <c r="Y308" s="24"/>
      <c r="Z308" s="24"/>
      <c r="AA308" s="24"/>
      <c r="AD308" s="22"/>
      <c r="AE308" s="22"/>
      <c r="AF308" s="24"/>
    </row>
    <row r="309" spans="1:32" x14ac:dyDescent="0.25">
      <c r="A309" s="1"/>
      <c r="D309" s="4"/>
      <c r="E309" s="4"/>
      <c r="F309" s="4"/>
      <c r="G309" s="1"/>
      <c r="H309" s="1"/>
      <c r="I309" s="3"/>
      <c r="J309" s="3"/>
      <c r="K309" s="4"/>
      <c r="W309" s="21"/>
      <c r="X309" s="21"/>
      <c r="Y309" s="24"/>
      <c r="Z309" s="24"/>
      <c r="AA309" s="24"/>
      <c r="AD309" s="22"/>
      <c r="AE309" s="22"/>
      <c r="AF309" s="24"/>
    </row>
    <row r="310" spans="1:32" x14ac:dyDescent="0.25">
      <c r="A310" s="1"/>
      <c r="D310" s="4"/>
      <c r="E310" s="4"/>
      <c r="F310" s="4"/>
      <c r="G310" s="1"/>
      <c r="H310" s="1"/>
      <c r="I310" s="3"/>
      <c r="J310" s="3"/>
      <c r="K310" s="4"/>
      <c r="W310" s="21"/>
      <c r="X310" s="21"/>
      <c r="Y310" s="24"/>
      <c r="Z310" s="24"/>
      <c r="AA310" s="24"/>
      <c r="AD310" s="22"/>
      <c r="AE310" s="22"/>
      <c r="AF310" s="24"/>
    </row>
    <row r="311" spans="1:32" x14ac:dyDescent="0.25">
      <c r="A311" s="1"/>
      <c r="D311" s="4"/>
      <c r="E311" s="4"/>
      <c r="F311" s="4"/>
      <c r="G311" s="1"/>
      <c r="H311" s="1"/>
      <c r="I311" s="3"/>
      <c r="J311" s="3"/>
      <c r="K311" s="4"/>
      <c r="W311" s="21"/>
      <c r="X311" s="21"/>
      <c r="Y311" s="24"/>
      <c r="Z311" s="24"/>
      <c r="AA311" s="24"/>
      <c r="AD311" s="22"/>
      <c r="AE311" s="22"/>
      <c r="AF311" s="24"/>
    </row>
    <row r="312" spans="1:32" x14ac:dyDescent="0.25">
      <c r="A312" s="1"/>
      <c r="D312" s="4"/>
      <c r="E312" s="4"/>
      <c r="F312" s="4"/>
      <c r="G312" s="1"/>
      <c r="H312" s="1"/>
      <c r="I312" s="3"/>
      <c r="J312" s="3"/>
      <c r="K312" s="4"/>
      <c r="W312" s="21"/>
      <c r="X312" s="21"/>
      <c r="Y312" s="24"/>
      <c r="Z312" s="24"/>
      <c r="AA312" s="24"/>
      <c r="AD312" s="22"/>
      <c r="AE312" s="22"/>
      <c r="AF312" s="24"/>
    </row>
    <row r="313" spans="1:32" x14ac:dyDescent="0.25">
      <c r="A313" s="1"/>
      <c r="D313" s="4"/>
      <c r="E313" s="4"/>
      <c r="F313" s="4"/>
      <c r="G313" s="1"/>
      <c r="H313" s="1"/>
      <c r="I313" s="3"/>
      <c r="J313" s="3"/>
      <c r="K313" s="4"/>
      <c r="W313" s="21"/>
      <c r="X313" s="21"/>
      <c r="Y313" s="24"/>
      <c r="Z313" s="24"/>
      <c r="AA313" s="24"/>
      <c r="AD313" s="22"/>
      <c r="AE313" s="22"/>
      <c r="AF313" s="24"/>
    </row>
    <row r="314" spans="1:32" x14ac:dyDescent="0.25">
      <c r="A314" s="1"/>
      <c r="D314" s="4"/>
      <c r="E314" s="4"/>
      <c r="F314" s="4"/>
      <c r="G314" s="1"/>
      <c r="H314" s="1"/>
      <c r="I314" s="3"/>
      <c r="J314" s="3"/>
      <c r="K314" s="4"/>
      <c r="W314" s="21"/>
      <c r="X314" s="21"/>
      <c r="Y314" s="24"/>
      <c r="Z314" s="24"/>
      <c r="AA314" s="24"/>
      <c r="AD314" s="22"/>
      <c r="AE314" s="22"/>
      <c r="AF314" s="24"/>
    </row>
    <row r="315" spans="1:32" x14ac:dyDescent="0.25">
      <c r="A315" s="1"/>
      <c r="D315" s="4"/>
      <c r="E315" s="4"/>
      <c r="F315" s="4"/>
      <c r="G315" s="1"/>
      <c r="H315" s="1"/>
      <c r="I315" s="3"/>
      <c r="J315" s="3"/>
      <c r="K315" s="4"/>
      <c r="W315" s="21"/>
      <c r="X315" s="21"/>
      <c r="Y315" s="24"/>
      <c r="Z315" s="24"/>
      <c r="AA315" s="24"/>
      <c r="AD315" s="22"/>
      <c r="AE315" s="22"/>
      <c r="AF315" s="24"/>
    </row>
    <row r="316" spans="1:32" x14ac:dyDescent="0.25">
      <c r="A316" s="1"/>
      <c r="D316" s="4"/>
      <c r="E316" s="4"/>
      <c r="F316" s="4"/>
      <c r="G316" s="1"/>
      <c r="H316" s="1"/>
      <c r="I316" s="3"/>
      <c r="J316" s="3"/>
      <c r="K316" s="4"/>
      <c r="W316" s="21"/>
      <c r="X316" s="21"/>
      <c r="Y316" s="24"/>
      <c r="Z316" s="24"/>
      <c r="AA316" s="24"/>
      <c r="AD316" s="22"/>
      <c r="AE316" s="22"/>
      <c r="AF316" s="24"/>
    </row>
    <row r="317" spans="1:32" x14ac:dyDescent="0.25">
      <c r="A317" s="1"/>
      <c r="D317" s="4"/>
      <c r="E317" s="4"/>
      <c r="F317" s="4"/>
      <c r="G317" s="1"/>
      <c r="H317" s="1"/>
      <c r="I317" s="3"/>
      <c r="J317" s="3"/>
      <c r="K317" s="4"/>
      <c r="W317" s="21"/>
      <c r="X317" s="21"/>
      <c r="Y317" s="24"/>
      <c r="Z317" s="24"/>
      <c r="AA317" s="24"/>
      <c r="AD317" s="22"/>
      <c r="AE317" s="22"/>
      <c r="AF317" s="24"/>
    </row>
    <row r="318" spans="1:32" x14ac:dyDescent="0.25">
      <c r="A318" s="1"/>
      <c r="D318" s="4"/>
      <c r="E318" s="4"/>
      <c r="F318" s="4"/>
      <c r="G318" s="1"/>
      <c r="H318" s="1"/>
      <c r="I318" s="3"/>
      <c r="J318" s="3"/>
      <c r="K318" s="4"/>
      <c r="W318" s="21"/>
      <c r="X318" s="21"/>
      <c r="Y318" s="24"/>
      <c r="Z318" s="24"/>
      <c r="AA318" s="24"/>
      <c r="AD318" s="22"/>
      <c r="AE318" s="22"/>
      <c r="AF318" s="24"/>
    </row>
    <row r="319" spans="1:32" x14ac:dyDescent="0.25">
      <c r="A319" s="1"/>
      <c r="D319" s="4"/>
      <c r="E319" s="4"/>
      <c r="F319" s="4"/>
      <c r="G319" s="1"/>
      <c r="H319" s="1"/>
      <c r="I319" s="3"/>
      <c r="J319" s="3"/>
      <c r="K319" s="4"/>
      <c r="W319" s="21"/>
      <c r="X319" s="21"/>
      <c r="Y319" s="24"/>
      <c r="Z319" s="24"/>
      <c r="AA319" s="24"/>
      <c r="AD319" s="22"/>
      <c r="AE319" s="22"/>
      <c r="AF319" s="24"/>
    </row>
    <row r="320" spans="1:32" x14ac:dyDescent="0.25">
      <c r="A320" s="1"/>
      <c r="D320" s="4"/>
      <c r="E320" s="4"/>
      <c r="F320" s="4"/>
      <c r="G320" s="1"/>
      <c r="H320" s="1"/>
      <c r="I320" s="3"/>
      <c r="J320" s="3"/>
      <c r="K320" s="4"/>
      <c r="W320" s="21"/>
      <c r="X320" s="21"/>
      <c r="Y320" s="24"/>
      <c r="Z320" s="24"/>
      <c r="AA320" s="24"/>
      <c r="AD320" s="22"/>
      <c r="AE320" s="22"/>
      <c r="AF320" s="24"/>
    </row>
    <row r="321" spans="1:32" x14ac:dyDescent="0.25">
      <c r="A321" s="1"/>
      <c r="D321" s="4"/>
      <c r="E321" s="4"/>
      <c r="F321" s="4"/>
      <c r="G321" s="1"/>
      <c r="H321" s="1"/>
      <c r="I321" s="3"/>
      <c r="J321" s="3"/>
      <c r="K321" s="4"/>
      <c r="W321" s="21"/>
      <c r="X321" s="21"/>
      <c r="Y321" s="24"/>
      <c r="Z321" s="24"/>
      <c r="AA321" s="24"/>
      <c r="AD321" s="22"/>
      <c r="AE321" s="22"/>
      <c r="AF321" s="24"/>
    </row>
    <row r="322" spans="1:32" x14ac:dyDescent="0.25">
      <c r="A322" s="1"/>
      <c r="D322" s="4"/>
      <c r="E322" s="4"/>
      <c r="F322" s="4"/>
      <c r="G322" s="1"/>
      <c r="H322" s="1"/>
      <c r="I322" s="3"/>
      <c r="J322" s="3"/>
      <c r="K322" s="4"/>
      <c r="W322" s="21"/>
      <c r="X322" s="21"/>
      <c r="Y322" s="24"/>
      <c r="Z322" s="24"/>
      <c r="AA322" s="24"/>
      <c r="AD322" s="22"/>
      <c r="AE322" s="22"/>
      <c r="AF322" s="24"/>
    </row>
    <row r="323" spans="1:32" x14ac:dyDescent="0.25">
      <c r="A323" s="1"/>
      <c r="D323" s="4"/>
      <c r="E323" s="4"/>
      <c r="F323" s="4"/>
      <c r="G323" s="1"/>
      <c r="H323" s="1"/>
      <c r="I323" s="3"/>
      <c r="J323" s="3"/>
      <c r="K323" s="4"/>
      <c r="W323" s="21"/>
      <c r="X323" s="21"/>
      <c r="Y323" s="24"/>
      <c r="Z323" s="24"/>
      <c r="AA323" s="24"/>
      <c r="AD323" s="22"/>
      <c r="AE323" s="22"/>
      <c r="AF323" s="24"/>
    </row>
    <row r="324" spans="1:32" x14ac:dyDescent="0.25">
      <c r="A324" s="1"/>
      <c r="D324" s="4"/>
      <c r="E324" s="4"/>
      <c r="F324" s="4"/>
      <c r="G324" s="1"/>
      <c r="H324" s="1"/>
      <c r="I324" s="3"/>
      <c r="J324" s="3"/>
      <c r="K324" s="4"/>
      <c r="W324" s="21"/>
      <c r="X324" s="21"/>
      <c r="Y324" s="24"/>
      <c r="Z324" s="24"/>
      <c r="AA324" s="24"/>
      <c r="AD324" s="22"/>
      <c r="AE324" s="22"/>
      <c r="AF324" s="24"/>
    </row>
    <row r="325" spans="1:32" x14ac:dyDescent="0.25">
      <c r="A325" s="1"/>
      <c r="D325" s="4"/>
      <c r="E325" s="4"/>
      <c r="F325" s="4"/>
      <c r="G325" s="1"/>
      <c r="H325" s="1"/>
      <c r="I325" s="3"/>
      <c r="J325" s="3"/>
      <c r="K325" s="4"/>
      <c r="W325" s="21"/>
      <c r="X325" s="21"/>
      <c r="Y325" s="24"/>
      <c r="Z325" s="24"/>
      <c r="AA325" s="24"/>
      <c r="AD325" s="22"/>
      <c r="AE325" s="22"/>
      <c r="AF325" s="24"/>
    </row>
    <row r="326" spans="1:32" x14ac:dyDescent="0.25">
      <c r="A326" s="1"/>
      <c r="D326" s="4"/>
      <c r="E326" s="4"/>
      <c r="F326" s="4"/>
      <c r="G326" s="1"/>
      <c r="H326" s="1"/>
      <c r="I326" s="3"/>
      <c r="J326" s="3"/>
      <c r="K326" s="4"/>
      <c r="W326" s="21"/>
      <c r="X326" s="21"/>
      <c r="Y326" s="24"/>
      <c r="Z326" s="24"/>
      <c r="AA326" s="24"/>
      <c r="AD326" s="22"/>
      <c r="AE326" s="22"/>
      <c r="AF326" s="24"/>
    </row>
    <row r="327" spans="1:32" x14ac:dyDescent="0.25">
      <c r="A327" s="1"/>
      <c r="D327" s="4"/>
      <c r="E327" s="4"/>
      <c r="F327" s="4"/>
      <c r="G327" s="1"/>
      <c r="H327" s="1"/>
      <c r="I327" s="3"/>
      <c r="J327" s="3"/>
      <c r="K327" s="4"/>
      <c r="W327" s="21"/>
      <c r="X327" s="21"/>
      <c r="Y327" s="24"/>
      <c r="Z327" s="24"/>
      <c r="AA327" s="24"/>
      <c r="AD327" s="22"/>
      <c r="AE327" s="22"/>
      <c r="AF327" s="24"/>
    </row>
    <row r="328" spans="1:32" x14ac:dyDescent="0.25">
      <c r="A328" s="1"/>
      <c r="D328" s="4"/>
      <c r="E328" s="4"/>
      <c r="F328" s="4"/>
      <c r="G328" s="1"/>
      <c r="H328" s="1"/>
      <c r="I328" s="3"/>
      <c r="J328" s="3"/>
      <c r="K328" s="4"/>
      <c r="W328" s="21"/>
      <c r="X328" s="21"/>
      <c r="Y328" s="24"/>
      <c r="Z328" s="24"/>
      <c r="AA328" s="24"/>
      <c r="AD328" s="22"/>
      <c r="AE328" s="22"/>
      <c r="AF328" s="24"/>
    </row>
    <row r="329" spans="1:32" x14ac:dyDescent="0.25">
      <c r="A329" s="1"/>
      <c r="D329" s="4"/>
      <c r="E329" s="4"/>
      <c r="F329" s="4"/>
      <c r="G329" s="1"/>
      <c r="H329" s="1"/>
      <c r="I329" s="3"/>
      <c r="J329" s="3"/>
      <c r="K329" s="4"/>
      <c r="W329" s="21"/>
      <c r="X329" s="21"/>
      <c r="Y329" s="24"/>
      <c r="Z329" s="24"/>
      <c r="AA329" s="24"/>
      <c r="AD329" s="22"/>
      <c r="AE329" s="22"/>
      <c r="AF329" s="24"/>
    </row>
    <row r="330" spans="1:32" x14ac:dyDescent="0.25">
      <c r="A330" s="1"/>
      <c r="D330" s="4"/>
      <c r="E330" s="4"/>
      <c r="F330" s="4"/>
      <c r="G330" s="1"/>
      <c r="H330" s="1"/>
      <c r="I330" s="3"/>
      <c r="J330" s="3"/>
      <c r="K330" s="4"/>
      <c r="W330" s="21"/>
      <c r="X330" s="21"/>
      <c r="Y330" s="24"/>
      <c r="Z330" s="24"/>
      <c r="AA330" s="24"/>
      <c r="AD330" s="22"/>
      <c r="AE330" s="22"/>
      <c r="AF330" s="24"/>
    </row>
    <row r="331" spans="1:32" x14ac:dyDescent="0.25">
      <c r="A331" s="1"/>
      <c r="D331" s="4"/>
      <c r="E331" s="4"/>
      <c r="F331" s="4"/>
      <c r="G331" s="1"/>
      <c r="H331" s="1"/>
      <c r="I331" s="3"/>
      <c r="J331" s="3"/>
      <c r="K331" s="4"/>
      <c r="W331" s="21"/>
      <c r="X331" s="21"/>
      <c r="Y331" s="24"/>
      <c r="Z331" s="24"/>
      <c r="AA331" s="24"/>
      <c r="AD331" s="22"/>
      <c r="AE331" s="22"/>
      <c r="AF331" s="24"/>
    </row>
    <row r="332" spans="1:32" x14ac:dyDescent="0.25">
      <c r="A332" s="1"/>
      <c r="D332" s="4"/>
      <c r="E332" s="4"/>
      <c r="F332" s="4"/>
      <c r="G332" s="1"/>
      <c r="H332" s="1"/>
      <c r="I332" s="3"/>
      <c r="J332" s="3"/>
      <c r="K332" s="4"/>
      <c r="W332" s="21"/>
      <c r="X332" s="21"/>
      <c r="Y332" s="24"/>
      <c r="Z332" s="24"/>
      <c r="AA332" s="24"/>
      <c r="AD332" s="22"/>
      <c r="AE332" s="22"/>
      <c r="AF332" s="24"/>
    </row>
    <row r="333" spans="1:32" x14ac:dyDescent="0.25">
      <c r="A333" s="1"/>
      <c r="D333" s="4"/>
      <c r="E333" s="4"/>
      <c r="F333" s="4"/>
      <c r="G333" s="1"/>
      <c r="H333" s="1"/>
      <c r="I333" s="3"/>
      <c r="J333" s="3"/>
      <c r="K333" s="4"/>
      <c r="W333" s="21"/>
      <c r="X333" s="21"/>
      <c r="Y333" s="24"/>
      <c r="Z333" s="24"/>
      <c r="AA333" s="24"/>
      <c r="AD333" s="22"/>
      <c r="AE333" s="22"/>
      <c r="AF333" s="24"/>
    </row>
    <row r="334" spans="1:32" x14ac:dyDescent="0.25">
      <c r="A334" s="1"/>
      <c r="D334" s="4"/>
      <c r="E334" s="4"/>
      <c r="F334" s="4"/>
      <c r="G334" s="1"/>
      <c r="H334" s="1"/>
      <c r="I334" s="3"/>
      <c r="J334" s="3"/>
      <c r="K334" s="4"/>
      <c r="W334" s="21"/>
      <c r="X334" s="21"/>
      <c r="Y334" s="24"/>
      <c r="Z334" s="24"/>
      <c r="AA334" s="24"/>
      <c r="AD334" s="22"/>
      <c r="AE334" s="22"/>
      <c r="AF334" s="24"/>
    </row>
    <row r="335" spans="1:32" x14ac:dyDescent="0.25">
      <c r="A335" s="1"/>
      <c r="D335" s="4"/>
      <c r="E335" s="4"/>
      <c r="F335" s="4"/>
      <c r="G335" s="1"/>
      <c r="H335" s="1"/>
      <c r="I335" s="3"/>
      <c r="J335" s="3"/>
      <c r="K335" s="4"/>
      <c r="W335" s="21"/>
      <c r="X335" s="21"/>
      <c r="Y335" s="24"/>
      <c r="Z335" s="24"/>
      <c r="AA335" s="24"/>
      <c r="AD335" s="22"/>
      <c r="AE335" s="22"/>
      <c r="AF335" s="24"/>
    </row>
    <row r="336" spans="1:32" x14ac:dyDescent="0.25">
      <c r="A336" s="1"/>
      <c r="D336" s="4"/>
      <c r="E336" s="4"/>
      <c r="F336" s="4"/>
      <c r="G336" s="1"/>
      <c r="H336" s="1"/>
      <c r="I336" s="3"/>
      <c r="J336" s="3"/>
      <c r="K336" s="4"/>
      <c r="W336" s="21"/>
      <c r="X336" s="21"/>
      <c r="Y336" s="24"/>
      <c r="Z336" s="24"/>
      <c r="AA336" s="24"/>
      <c r="AD336" s="22"/>
      <c r="AE336" s="22"/>
      <c r="AF336" s="24"/>
    </row>
    <row r="337" spans="1:32" x14ac:dyDescent="0.25">
      <c r="A337" s="1"/>
      <c r="D337" s="4"/>
      <c r="E337" s="4"/>
      <c r="F337" s="4"/>
      <c r="G337" s="1"/>
      <c r="H337" s="1"/>
      <c r="I337" s="3"/>
      <c r="J337" s="3"/>
      <c r="K337" s="4"/>
      <c r="W337" s="21"/>
      <c r="X337" s="21"/>
      <c r="Y337" s="24"/>
      <c r="Z337" s="24"/>
      <c r="AA337" s="24"/>
      <c r="AD337" s="22"/>
      <c r="AE337" s="22"/>
      <c r="AF337" s="24"/>
    </row>
    <row r="338" spans="1:32" x14ac:dyDescent="0.25">
      <c r="A338" s="1"/>
      <c r="D338" s="4"/>
      <c r="E338" s="4"/>
      <c r="F338" s="4"/>
      <c r="G338" s="1"/>
      <c r="H338" s="1"/>
      <c r="I338" s="3"/>
      <c r="J338" s="3"/>
      <c r="K338" s="4"/>
      <c r="W338" s="21"/>
      <c r="X338" s="21"/>
      <c r="Y338" s="24"/>
      <c r="Z338" s="24"/>
      <c r="AA338" s="24"/>
      <c r="AD338" s="22"/>
      <c r="AE338" s="22"/>
      <c r="AF338" s="24"/>
    </row>
    <row r="339" spans="1:32" x14ac:dyDescent="0.25">
      <c r="A339" s="1"/>
      <c r="D339" s="4"/>
      <c r="E339" s="4"/>
      <c r="F339" s="4"/>
      <c r="G339" s="1"/>
      <c r="H339" s="1"/>
      <c r="I339" s="3"/>
      <c r="J339" s="3"/>
      <c r="K339" s="4"/>
      <c r="W339" s="21"/>
      <c r="X339" s="21"/>
      <c r="Y339" s="24"/>
      <c r="Z339" s="24"/>
      <c r="AA339" s="24"/>
      <c r="AD339" s="22"/>
      <c r="AE339" s="22"/>
      <c r="AF339" s="24"/>
    </row>
    <row r="340" spans="1:32" x14ac:dyDescent="0.25">
      <c r="A340" s="1"/>
      <c r="D340" s="4"/>
      <c r="E340" s="4"/>
      <c r="F340" s="4"/>
      <c r="G340" s="1"/>
      <c r="H340" s="1"/>
      <c r="I340" s="3"/>
      <c r="J340" s="3"/>
      <c r="K340" s="4"/>
      <c r="W340" s="21"/>
      <c r="X340" s="21"/>
      <c r="Y340" s="24"/>
      <c r="Z340" s="24"/>
      <c r="AA340" s="24"/>
      <c r="AD340" s="22"/>
      <c r="AE340" s="22"/>
      <c r="AF340" s="24"/>
    </row>
    <row r="341" spans="1:32" x14ac:dyDescent="0.25">
      <c r="A341" s="1"/>
      <c r="D341" s="4"/>
      <c r="E341" s="4"/>
      <c r="F341" s="4"/>
      <c r="G341" s="1"/>
      <c r="H341" s="1"/>
      <c r="I341" s="3"/>
      <c r="J341" s="3"/>
      <c r="K341" s="4"/>
      <c r="W341" s="21"/>
      <c r="X341" s="21"/>
      <c r="Y341" s="24"/>
      <c r="Z341" s="24"/>
      <c r="AA341" s="24"/>
      <c r="AD341" s="22"/>
      <c r="AE341" s="22"/>
      <c r="AF341" s="24"/>
    </row>
    <row r="342" spans="1:32" x14ac:dyDescent="0.25">
      <c r="A342" s="1"/>
      <c r="D342" s="4"/>
      <c r="E342" s="4"/>
      <c r="F342" s="4"/>
      <c r="G342" s="1"/>
      <c r="H342" s="1"/>
      <c r="I342" s="3"/>
      <c r="J342" s="3"/>
      <c r="K342" s="4"/>
      <c r="W342" s="21"/>
      <c r="X342" s="21"/>
      <c r="Y342" s="24"/>
      <c r="Z342" s="24"/>
      <c r="AA342" s="24"/>
      <c r="AD342" s="22"/>
      <c r="AE342" s="22"/>
      <c r="AF342" s="24"/>
    </row>
    <row r="343" spans="1:32" x14ac:dyDescent="0.25">
      <c r="A343" s="1"/>
      <c r="D343" s="4"/>
      <c r="E343" s="4"/>
      <c r="F343" s="4"/>
      <c r="G343" s="1"/>
      <c r="H343" s="1"/>
      <c r="I343" s="3"/>
      <c r="J343" s="3"/>
      <c r="K343" s="4"/>
      <c r="W343" s="21"/>
      <c r="X343" s="21"/>
      <c r="Y343" s="24"/>
      <c r="Z343" s="24"/>
      <c r="AA343" s="24"/>
      <c r="AD343" s="22"/>
      <c r="AE343" s="22"/>
      <c r="AF343" s="24"/>
    </row>
    <row r="344" spans="1:32" x14ac:dyDescent="0.25">
      <c r="A344" s="1"/>
      <c r="D344" s="4"/>
      <c r="E344" s="4"/>
      <c r="F344" s="4"/>
      <c r="G344" s="1"/>
      <c r="H344" s="1"/>
      <c r="I344" s="3"/>
      <c r="J344" s="3"/>
      <c r="K344" s="4"/>
      <c r="W344" s="21"/>
      <c r="X344" s="21"/>
      <c r="Y344" s="24"/>
      <c r="Z344" s="24"/>
      <c r="AA344" s="24"/>
      <c r="AD344" s="22"/>
      <c r="AE344" s="22"/>
      <c r="AF344" s="24"/>
    </row>
    <row r="345" spans="1:32" x14ac:dyDescent="0.25">
      <c r="A345" s="1"/>
      <c r="D345" s="4"/>
      <c r="E345" s="4"/>
      <c r="F345" s="4"/>
      <c r="G345" s="1"/>
      <c r="H345" s="1"/>
      <c r="I345" s="3"/>
      <c r="J345" s="3"/>
      <c r="K345" s="4"/>
      <c r="W345" s="21"/>
      <c r="X345" s="21"/>
      <c r="Y345" s="24"/>
      <c r="Z345" s="24"/>
      <c r="AA345" s="24"/>
      <c r="AD345" s="22"/>
      <c r="AE345" s="22"/>
      <c r="AF345" s="24"/>
    </row>
    <row r="346" spans="1:32" x14ac:dyDescent="0.25">
      <c r="A346" s="1"/>
      <c r="D346" s="4"/>
      <c r="E346" s="4"/>
      <c r="F346" s="4"/>
      <c r="G346" s="1"/>
      <c r="H346" s="1"/>
      <c r="I346" s="3"/>
      <c r="J346" s="3"/>
      <c r="K346" s="4"/>
      <c r="W346" s="21"/>
      <c r="X346" s="21"/>
      <c r="Y346" s="24"/>
      <c r="Z346" s="24"/>
      <c r="AA346" s="24"/>
      <c r="AD346" s="22"/>
      <c r="AE346" s="22"/>
      <c r="AF346" s="24"/>
    </row>
    <row r="347" spans="1:32" x14ac:dyDescent="0.25">
      <c r="A347" s="1"/>
      <c r="D347" s="4"/>
      <c r="E347" s="4"/>
      <c r="F347" s="4"/>
      <c r="G347" s="1"/>
      <c r="H347" s="1"/>
      <c r="I347" s="3"/>
      <c r="J347" s="3"/>
      <c r="K347" s="4"/>
      <c r="W347" s="21"/>
      <c r="X347" s="21"/>
      <c r="Y347" s="24"/>
      <c r="Z347" s="24"/>
      <c r="AA347" s="24"/>
      <c r="AD347" s="22"/>
      <c r="AE347" s="22"/>
      <c r="AF347" s="24"/>
    </row>
    <row r="348" spans="1:32" x14ac:dyDescent="0.25">
      <c r="A348" s="1"/>
      <c r="D348" s="4"/>
      <c r="E348" s="4"/>
      <c r="F348" s="4"/>
      <c r="G348" s="1"/>
      <c r="H348" s="1"/>
      <c r="I348" s="3"/>
      <c r="J348" s="3"/>
      <c r="K348" s="4"/>
      <c r="W348" s="21"/>
      <c r="X348" s="21"/>
      <c r="Y348" s="24"/>
      <c r="Z348" s="24"/>
      <c r="AA348" s="24"/>
      <c r="AD348" s="22"/>
      <c r="AE348" s="22"/>
      <c r="AF348" s="24"/>
    </row>
    <row r="349" spans="1:32" x14ac:dyDescent="0.25">
      <c r="A349" s="1"/>
      <c r="D349" s="4"/>
      <c r="E349" s="4"/>
      <c r="F349" s="4"/>
      <c r="G349" s="1"/>
      <c r="H349" s="1"/>
      <c r="I349" s="3"/>
      <c r="J349" s="3"/>
      <c r="K349" s="4"/>
      <c r="W349" s="21"/>
      <c r="X349" s="21"/>
      <c r="Y349" s="24"/>
      <c r="Z349" s="24"/>
      <c r="AA349" s="24"/>
      <c r="AD349" s="22"/>
      <c r="AE349" s="22"/>
      <c r="AF349" s="24"/>
    </row>
    <row r="350" spans="1:32" x14ac:dyDescent="0.25">
      <c r="A350" s="1"/>
      <c r="D350" s="4"/>
      <c r="E350" s="4"/>
      <c r="F350" s="4"/>
      <c r="G350" s="1"/>
      <c r="H350" s="1"/>
      <c r="I350" s="3"/>
      <c r="J350" s="3"/>
      <c r="K350" s="4"/>
      <c r="W350" s="21"/>
      <c r="X350" s="21"/>
      <c r="Y350" s="24"/>
      <c r="Z350" s="24"/>
      <c r="AA350" s="24"/>
      <c r="AD350" s="22"/>
      <c r="AE350" s="22"/>
      <c r="AF350" s="24"/>
    </row>
    <row r="351" spans="1:32" x14ac:dyDescent="0.25">
      <c r="A351" s="1"/>
      <c r="D351" s="4"/>
      <c r="E351" s="4"/>
      <c r="F351" s="4"/>
      <c r="G351" s="1"/>
      <c r="H351" s="1"/>
      <c r="I351" s="3"/>
      <c r="J351" s="3"/>
      <c r="K351" s="4"/>
      <c r="W351" s="21"/>
      <c r="X351" s="21"/>
      <c r="Y351" s="24"/>
      <c r="Z351" s="24"/>
      <c r="AA351" s="24"/>
      <c r="AD351" s="22"/>
      <c r="AE351" s="22"/>
      <c r="AF351" s="24"/>
    </row>
    <row r="352" spans="1:32" x14ac:dyDescent="0.25">
      <c r="A352" s="1"/>
      <c r="D352" s="4"/>
      <c r="E352" s="4"/>
      <c r="F352" s="4"/>
      <c r="G352" s="1"/>
      <c r="H352" s="1"/>
      <c r="I352" s="3"/>
      <c r="J352" s="3"/>
      <c r="K352" s="4"/>
      <c r="W352" s="21"/>
      <c r="X352" s="21"/>
      <c r="Y352" s="24"/>
      <c r="Z352" s="24"/>
      <c r="AA352" s="24"/>
      <c r="AD352" s="22"/>
      <c r="AE352" s="22"/>
      <c r="AF352" s="24"/>
    </row>
    <row r="353" spans="1:32" x14ac:dyDescent="0.25">
      <c r="A353" s="1"/>
      <c r="D353" s="4"/>
      <c r="E353" s="4"/>
      <c r="F353" s="4"/>
      <c r="G353" s="1"/>
      <c r="H353" s="1"/>
      <c r="I353" s="3"/>
      <c r="J353" s="3"/>
      <c r="K353" s="4"/>
      <c r="W353" s="21"/>
      <c r="X353" s="21"/>
      <c r="Y353" s="24"/>
      <c r="Z353" s="24"/>
      <c r="AA353" s="24"/>
      <c r="AD353" s="22"/>
      <c r="AE353" s="22"/>
      <c r="AF353" s="24"/>
    </row>
    <row r="354" spans="1:32" x14ac:dyDescent="0.25">
      <c r="A354" s="1"/>
      <c r="D354" s="4"/>
      <c r="E354" s="4"/>
      <c r="F354" s="4"/>
      <c r="G354" s="1"/>
      <c r="H354" s="1"/>
      <c r="I354" s="3"/>
      <c r="J354" s="3"/>
      <c r="K354" s="4"/>
      <c r="W354" s="21"/>
      <c r="X354" s="21"/>
      <c r="Y354" s="24"/>
      <c r="Z354" s="24"/>
      <c r="AA354" s="24"/>
      <c r="AD354" s="22"/>
      <c r="AE354" s="22"/>
      <c r="AF354" s="24"/>
    </row>
    <row r="355" spans="1:32" x14ac:dyDescent="0.25">
      <c r="A355" s="1"/>
      <c r="D355" s="4"/>
      <c r="E355" s="4"/>
      <c r="F355" s="4"/>
      <c r="G355" s="1"/>
      <c r="H355" s="1"/>
      <c r="I355" s="3"/>
      <c r="J355" s="3"/>
      <c r="K355" s="4"/>
      <c r="W355" s="21"/>
      <c r="X355" s="21"/>
      <c r="Y355" s="24"/>
      <c r="Z355" s="24"/>
      <c r="AA355" s="24"/>
      <c r="AD355" s="22"/>
      <c r="AE355" s="22"/>
      <c r="AF355" s="24"/>
    </row>
    <row r="356" spans="1:32" x14ac:dyDescent="0.25">
      <c r="A356" s="1"/>
      <c r="D356" s="4"/>
      <c r="E356" s="4"/>
      <c r="F356" s="4"/>
      <c r="G356" s="1"/>
      <c r="H356" s="1"/>
      <c r="I356" s="3"/>
      <c r="J356" s="3"/>
      <c r="K356" s="4"/>
      <c r="W356" s="21"/>
      <c r="X356" s="21"/>
      <c r="Y356" s="24"/>
      <c r="Z356" s="24"/>
      <c r="AA356" s="24"/>
      <c r="AD356" s="22"/>
      <c r="AE356" s="22"/>
      <c r="AF356" s="24"/>
    </row>
    <row r="357" spans="1:32" x14ac:dyDescent="0.25">
      <c r="A357" s="1"/>
      <c r="D357" s="4"/>
      <c r="E357" s="4"/>
      <c r="F357" s="4"/>
      <c r="G357" s="1"/>
      <c r="H357" s="1"/>
      <c r="I357" s="3"/>
      <c r="J357" s="3"/>
      <c r="K357" s="4"/>
      <c r="W357" s="21"/>
      <c r="X357" s="21"/>
      <c r="Y357" s="24"/>
      <c r="Z357" s="24"/>
      <c r="AA357" s="24"/>
      <c r="AD357" s="22"/>
      <c r="AE357" s="22"/>
      <c r="AF357" s="24"/>
    </row>
    <row r="358" spans="1:32" x14ac:dyDescent="0.25">
      <c r="A358" s="1"/>
      <c r="D358" s="4"/>
      <c r="E358" s="4"/>
      <c r="F358" s="4"/>
      <c r="G358" s="1"/>
      <c r="H358" s="1"/>
      <c r="I358" s="3"/>
      <c r="J358" s="3"/>
      <c r="K358" s="4"/>
      <c r="W358" s="21"/>
      <c r="X358" s="21"/>
      <c r="Y358" s="24"/>
      <c r="Z358" s="24"/>
      <c r="AA358" s="24"/>
      <c r="AD358" s="22"/>
      <c r="AE358" s="22"/>
      <c r="AF358" s="24"/>
    </row>
    <row r="359" spans="1:32" x14ac:dyDescent="0.25">
      <c r="A359" s="1"/>
      <c r="D359" s="4"/>
      <c r="E359" s="4"/>
      <c r="F359" s="4"/>
      <c r="G359" s="1"/>
      <c r="H359" s="1"/>
      <c r="I359" s="3"/>
      <c r="J359" s="3"/>
      <c r="K359" s="4"/>
      <c r="W359" s="21"/>
      <c r="X359" s="21"/>
      <c r="Y359" s="24"/>
      <c r="Z359" s="24"/>
      <c r="AA359" s="24"/>
      <c r="AD359" s="22"/>
      <c r="AE359" s="22"/>
      <c r="AF359" s="24"/>
    </row>
    <row r="360" spans="1:32" x14ac:dyDescent="0.25">
      <c r="A360" s="1"/>
      <c r="D360" s="4"/>
      <c r="E360" s="4"/>
      <c r="F360" s="4"/>
      <c r="G360" s="1"/>
      <c r="H360" s="1"/>
      <c r="I360" s="3"/>
      <c r="J360" s="3"/>
      <c r="K360" s="4"/>
      <c r="W360" s="21"/>
      <c r="X360" s="21"/>
      <c r="Y360" s="24"/>
      <c r="Z360" s="24"/>
      <c r="AA360" s="24"/>
      <c r="AD360" s="22"/>
      <c r="AE360" s="22"/>
      <c r="AF360" s="24"/>
    </row>
    <row r="361" spans="1:32" x14ac:dyDescent="0.25">
      <c r="A361" s="1"/>
      <c r="D361" s="4"/>
      <c r="E361" s="4"/>
      <c r="F361" s="4"/>
      <c r="G361" s="1"/>
      <c r="H361" s="1"/>
      <c r="I361" s="3"/>
      <c r="J361" s="3"/>
      <c r="K361" s="4"/>
      <c r="W361" s="21"/>
      <c r="X361" s="21"/>
      <c r="Y361" s="24"/>
      <c r="Z361" s="24"/>
      <c r="AA361" s="24"/>
      <c r="AD361" s="22"/>
      <c r="AE361" s="22"/>
      <c r="AF361" s="24"/>
    </row>
    <row r="362" spans="1:32" x14ac:dyDescent="0.25">
      <c r="A362" s="1"/>
      <c r="D362" s="4"/>
      <c r="E362" s="4"/>
      <c r="F362" s="4"/>
      <c r="G362" s="1"/>
      <c r="H362" s="1"/>
      <c r="I362" s="3"/>
      <c r="J362" s="3"/>
      <c r="K362" s="4"/>
      <c r="W362" s="21"/>
      <c r="X362" s="21"/>
      <c r="Y362" s="24"/>
      <c r="Z362" s="24"/>
      <c r="AA362" s="24"/>
      <c r="AD362" s="22"/>
      <c r="AE362" s="22"/>
      <c r="AF362" s="24"/>
    </row>
    <row r="363" spans="1:32" x14ac:dyDescent="0.25">
      <c r="A363" s="1"/>
      <c r="D363" s="4"/>
      <c r="E363" s="4"/>
      <c r="F363" s="4"/>
      <c r="G363" s="1"/>
      <c r="H363" s="1"/>
      <c r="I363" s="3"/>
      <c r="J363" s="3"/>
      <c r="K363" s="4"/>
      <c r="W363" s="21"/>
      <c r="X363" s="21"/>
      <c r="Y363" s="24"/>
      <c r="Z363" s="24"/>
      <c r="AA363" s="24"/>
      <c r="AD363" s="22"/>
      <c r="AE363" s="22"/>
      <c r="AF363" s="24"/>
    </row>
    <row r="364" spans="1:32" x14ac:dyDescent="0.25">
      <c r="A364" s="1"/>
      <c r="D364" s="4"/>
      <c r="E364" s="4"/>
      <c r="F364" s="4"/>
      <c r="G364" s="1"/>
      <c r="H364" s="1"/>
      <c r="I364" s="3"/>
      <c r="J364" s="3"/>
      <c r="K364" s="4"/>
      <c r="W364" s="21"/>
      <c r="X364" s="21"/>
      <c r="Y364" s="24"/>
      <c r="Z364" s="24"/>
      <c r="AA364" s="24"/>
      <c r="AD364" s="22"/>
      <c r="AE364" s="22"/>
      <c r="AF364" s="24"/>
    </row>
    <row r="365" spans="1:32" x14ac:dyDescent="0.25">
      <c r="A365" s="1"/>
      <c r="D365" s="4"/>
      <c r="E365" s="4"/>
      <c r="F365" s="4"/>
      <c r="G365" s="1"/>
      <c r="H365" s="1"/>
      <c r="I365" s="3"/>
      <c r="J365" s="3"/>
      <c r="K365" s="4"/>
      <c r="W365" s="21"/>
      <c r="X365" s="21"/>
      <c r="Y365" s="24"/>
      <c r="Z365" s="24"/>
      <c r="AA365" s="24"/>
      <c r="AD365" s="22"/>
      <c r="AE365" s="22"/>
      <c r="AF365" s="24"/>
    </row>
    <row r="366" spans="1:32" x14ac:dyDescent="0.25">
      <c r="A366" s="1"/>
      <c r="D366" s="4"/>
      <c r="E366" s="4"/>
      <c r="F366" s="4"/>
      <c r="G366" s="1"/>
      <c r="H366" s="1"/>
      <c r="I366" s="3"/>
      <c r="J366" s="3"/>
      <c r="K366" s="4"/>
      <c r="W366" s="21"/>
      <c r="X366" s="21"/>
      <c r="Y366" s="24"/>
      <c r="Z366" s="24"/>
      <c r="AA366" s="24"/>
      <c r="AD366" s="22"/>
      <c r="AE366" s="22"/>
      <c r="AF366" s="24"/>
    </row>
    <row r="367" spans="1:32" x14ac:dyDescent="0.25">
      <c r="A367" s="1"/>
      <c r="D367" s="4"/>
      <c r="E367" s="4"/>
      <c r="F367" s="4"/>
      <c r="G367" s="1"/>
      <c r="H367" s="1"/>
      <c r="I367" s="3"/>
      <c r="J367" s="3"/>
      <c r="K367" s="4"/>
      <c r="W367" s="21"/>
      <c r="X367" s="21"/>
      <c r="Y367" s="24"/>
      <c r="Z367" s="24"/>
      <c r="AA367" s="24"/>
      <c r="AD367" s="22"/>
      <c r="AE367" s="22"/>
      <c r="AF367" s="24"/>
    </row>
    <row r="368" spans="1:32" x14ac:dyDescent="0.25">
      <c r="A368" s="1"/>
      <c r="D368" s="4"/>
      <c r="E368" s="4"/>
      <c r="F368" s="4"/>
      <c r="G368" s="1"/>
      <c r="H368" s="1"/>
      <c r="I368" s="3"/>
      <c r="J368" s="3"/>
      <c r="K368" s="4"/>
      <c r="W368" s="21"/>
      <c r="X368" s="21"/>
      <c r="Y368" s="24"/>
      <c r="Z368" s="24"/>
      <c r="AA368" s="24"/>
      <c r="AD368" s="22"/>
      <c r="AE368" s="22"/>
      <c r="AF368" s="24"/>
    </row>
    <row r="369" spans="1:32" x14ac:dyDescent="0.25">
      <c r="A369" s="1"/>
      <c r="D369" s="4"/>
      <c r="E369" s="4"/>
      <c r="F369" s="4"/>
      <c r="G369" s="1"/>
      <c r="H369" s="1"/>
      <c r="I369" s="3"/>
      <c r="J369" s="3"/>
      <c r="K369" s="4"/>
      <c r="W369" s="21"/>
      <c r="X369" s="21"/>
      <c r="Y369" s="24"/>
      <c r="Z369" s="24"/>
      <c r="AA369" s="24"/>
      <c r="AD369" s="22"/>
      <c r="AE369" s="22"/>
      <c r="AF369" s="24"/>
    </row>
    <row r="370" spans="1:32" x14ac:dyDescent="0.25">
      <c r="A370" s="1"/>
      <c r="D370" s="4"/>
      <c r="E370" s="4"/>
      <c r="F370" s="4"/>
      <c r="G370" s="1"/>
      <c r="H370" s="1"/>
      <c r="I370" s="3"/>
      <c r="J370" s="3"/>
      <c r="K370" s="4"/>
      <c r="W370" s="21"/>
      <c r="X370" s="21"/>
      <c r="Y370" s="24"/>
      <c r="Z370" s="24"/>
      <c r="AA370" s="24"/>
      <c r="AD370" s="22"/>
      <c r="AE370" s="22"/>
      <c r="AF370" s="24"/>
    </row>
    <row r="371" spans="1:32" x14ac:dyDescent="0.25">
      <c r="A371" s="1"/>
      <c r="D371" s="4"/>
      <c r="E371" s="4"/>
      <c r="F371" s="4"/>
      <c r="G371" s="1"/>
      <c r="H371" s="1"/>
      <c r="I371" s="3"/>
      <c r="J371" s="3"/>
      <c r="K371" s="4"/>
      <c r="W371" s="21"/>
      <c r="X371" s="21"/>
      <c r="Y371" s="24"/>
      <c r="Z371" s="24"/>
      <c r="AA371" s="24"/>
      <c r="AD371" s="22"/>
      <c r="AE371" s="22"/>
      <c r="AF371" s="24"/>
    </row>
    <row r="372" spans="1:32" x14ac:dyDescent="0.25">
      <c r="A372" s="1"/>
      <c r="D372" s="4"/>
      <c r="E372" s="4"/>
      <c r="F372" s="4"/>
      <c r="G372" s="1"/>
      <c r="H372" s="1"/>
      <c r="I372" s="3"/>
      <c r="J372" s="3"/>
      <c r="K372" s="4"/>
      <c r="W372" s="21"/>
      <c r="X372" s="21"/>
      <c r="Y372" s="24"/>
      <c r="Z372" s="24"/>
      <c r="AA372" s="24"/>
      <c r="AD372" s="22"/>
      <c r="AE372" s="22"/>
      <c r="AF372" s="24"/>
    </row>
    <row r="373" spans="1:32" x14ac:dyDescent="0.25">
      <c r="A373" s="1"/>
      <c r="D373" s="4"/>
      <c r="E373" s="4"/>
      <c r="F373" s="4"/>
      <c r="G373" s="1"/>
      <c r="H373" s="1"/>
      <c r="I373" s="3"/>
      <c r="J373" s="3"/>
      <c r="K373" s="4"/>
      <c r="W373" s="21"/>
      <c r="X373" s="21"/>
      <c r="Y373" s="24"/>
      <c r="Z373" s="24"/>
      <c r="AA373" s="24"/>
      <c r="AD373" s="22"/>
      <c r="AE373" s="22"/>
      <c r="AF373" s="24"/>
    </row>
    <row r="374" spans="1:32" x14ac:dyDescent="0.25">
      <c r="A374" s="1"/>
      <c r="D374" s="4"/>
      <c r="E374" s="4"/>
      <c r="F374" s="4"/>
      <c r="G374" s="1"/>
      <c r="H374" s="1"/>
      <c r="I374" s="3"/>
      <c r="J374" s="3"/>
      <c r="K374" s="4"/>
      <c r="W374" s="21"/>
      <c r="X374" s="21"/>
      <c r="Y374" s="24"/>
      <c r="Z374" s="24"/>
      <c r="AA374" s="24"/>
      <c r="AD374" s="22"/>
      <c r="AE374" s="22"/>
      <c r="AF374" s="24"/>
    </row>
    <row r="375" spans="1:32" x14ac:dyDescent="0.25">
      <c r="A375" s="1"/>
      <c r="D375" s="4"/>
      <c r="E375" s="4"/>
      <c r="F375" s="4"/>
      <c r="G375" s="1"/>
      <c r="H375" s="1"/>
      <c r="I375" s="3"/>
      <c r="J375" s="3"/>
      <c r="K375" s="4"/>
      <c r="W375" s="21"/>
      <c r="X375" s="21"/>
      <c r="Y375" s="24"/>
      <c r="Z375" s="24"/>
      <c r="AA375" s="24"/>
      <c r="AD375" s="22"/>
      <c r="AE375" s="22"/>
      <c r="AF375" s="24"/>
    </row>
    <row r="376" spans="1:32" x14ac:dyDescent="0.25">
      <c r="A376" s="1"/>
      <c r="D376" s="4"/>
      <c r="E376" s="4"/>
      <c r="F376" s="4"/>
      <c r="G376" s="1"/>
      <c r="H376" s="1"/>
      <c r="I376" s="3"/>
      <c r="J376" s="3"/>
      <c r="K376" s="4"/>
      <c r="W376" s="21"/>
      <c r="X376" s="21"/>
      <c r="Y376" s="24"/>
      <c r="Z376" s="24"/>
      <c r="AA376" s="24"/>
      <c r="AD376" s="22"/>
      <c r="AE376" s="22"/>
      <c r="AF376" s="24"/>
    </row>
    <row r="377" spans="1:32" x14ac:dyDescent="0.25">
      <c r="A377" s="1"/>
      <c r="D377" s="4"/>
      <c r="E377" s="4"/>
      <c r="F377" s="4"/>
      <c r="G377" s="1"/>
      <c r="H377" s="1"/>
      <c r="I377" s="3"/>
      <c r="J377" s="3"/>
      <c r="K377" s="4"/>
      <c r="W377" s="21"/>
      <c r="X377" s="21"/>
      <c r="Y377" s="24"/>
      <c r="Z377" s="24"/>
      <c r="AA377" s="24"/>
      <c r="AD377" s="22"/>
      <c r="AE377" s="22"/>
      <c r="AF377" s="24"/>
    </row>
    <row r="378" spans="1:32" x14ac:dyDescent="0.25">
      <c r="A378" s="1"/>
      <c r="D378" s="4"/>
      <c r="E378" s="4"/>
      <c r="F378" s="4"/>
      <c r="G378" s="1"/>
      <c r="H378" s="1"/>
      <c r="I378" s="3"/>
      <c r="J378" s="3"/>
      <c r="K378" s="4"/>
      <c r="W378" s="21"/>
      <c r="X378" s="21"/>
      <c r="Y378" s="24"/>
      <c r="Z378" s="24"/>
      <c r="AA378" s="24"/>
      <c r="AD378" s="22"/>
      <c r="AE378" s="22"/>
      <c r="AF378" s="24"/>
    </row>
    <row r="379" spans="1:32" x14ac:dyDescent="0.25">
      <c r="A379" s="1"/>
      <c r="D379" s="4"/>
      <c r="E379" s="4"/>
      <c r="F379" s="4"/>
      <c r="G379" s="1"/>
      <c r="H379" s="1"/>
      <c r="I379" s="3"/>
      <c r="J379" s="3"/>
      <c r="K379" s="4"/>
      <c r="W379" s="21"/>
      <c r="X379" s="21"/>
      <c r="Y379" s="24"/>
      <c r="Z379" s="24"/>
      <c r="AA379" s="24"/>
      <c r="AD379" s="22"/>
      <c r="AE379" s="22"/>
      <c r="AF379" s="24"/>
    </row>
    <row r="380" spans="1:32" x14ac:dyDescent="0.25">
      <c r="A380" s="1"/>
      <c r="D380" s="4"/>
      <c r="E380" s="4"/>
      <c r="F380" s="4"/>
      <c r="G380" s="1"/>
      <c r="H380" s="1"/>
      <c r="I380" s="3"/>
      <c r="J380" s="3"/>
      <c r="K380" s="4"/>
      <c r="W380" s="21"/>
      <c r="X380" s="21"/>
      <c r="Y380" s="24"/>
      <c r="Z380" s="24"/>
      <c r="AA380" s="24"/>
      <c r="AD380" s="22"/>
      <c r="AE380" s="22"/>
      <c r="AF380" s="24"/>
    </row>
    <row r="381" spans="1:32" x14ac:dyDescent="0.25">
      <c r="A381" s="1"/>
      <c r="D381" s="4"/>
      <c r="E381" s="4"/>
      <c r="F381" s="4"/>
      <c r="G381" s="1"/>
      <c r="H381" s="1"/>
      <c r="I381" s="3"/>
      <c r="J381" s="3"/>
      <c r="K381" s="4"/>
      <c r="W381" s="21"/>
      <c r="X381" s="21"/>
      <c r="Y381" s="24"/>
      <c r="Z381" s="24"/>
      <c r="AA381" s="24"/>
      <c r="AD381" s="22"/>
      <c r="AE381" s="22"/>
      <c r="AF381" s="24"/>
    </row>
    <row r="382" spans="1:32" x14ac:dyDescent="0.25">
      <c r="A382" s="1"/>
      <c r="D382" s="4"/>
      <c r="E382" s="4"/>
      <c r="F382" s="4"/>
      <c r="G382" s="1"/>
      <c r="H382" s="1"/>
      <c r="I382" s="3"/>
      <c r="J382" s="3"/>
      <c r="K382" s="4"/>
      <c r="W382" s="21"/>
      <c r="X382" s="21"/>
      <c r="Y382" s="24"/>
      <c r="Z382" s="24"/>
      <c r="AA382" s="24"/>
      <c r="AD382" s="22"/>
      <c r="AE382" s="22"/>
      <c r="AF382" s="24"/>
    </row>
    <row r="383" spans="1:32" x14ac:dyDescent="0.25">
      <c r="A383" s="1"/>
      <c r="D383" s="4"/>
      <c r="E383" s="4"/>
      <c r="F383" s="4"/>
      <c r="G383" s="1"/>
      <c r="H383" s="1"/>
      <c r="I383" s="3"/>
      <c r="J383" s="3"/>
      <c r="K383" s="4"/>
      <c r="W383" s="21"/>
      <c r="X383" s="21"/>
      <c r="Y383" s="24"/>
      <c r="Z383" s="24"/>
      <c r="AA383" s="24"/>
      <c r="AD383" s="22"/>
      <c r="AE383" s="22"/>
      <c r="AF383" s="24"/>
    </row>
    <row r="384" spans="1:32" x14ac:dyDescent="0.25">
      <c r="A384" s="1"/>
      <c r="D384" s="4"/>
      <c r="E384" s="4"/>
      <c r="F384" s="4"/>
      <c r="G384" s="1"/>
      <c r="H384" s="1"/>
      <c r="I384" s="3"/>
      <c r="J384" s="3"/>
      <c r="K384" s="4"/>
      <c r="W384" s="21"/>
      <c r="X384" s="21"/>
      <c r="Y384" s="24"/>
      <c r="Z384" s="24"/>
      <c r="AA384" s="24"/>
      <c r="AD384" s="22"/>
      <c r="AE384" s="22"/>
      <c r="AF384" s="24"/>
    </row>
    <row r="385" spans="1:32" x14ac:dyDescent="0.25">
      <c r="A385" s="1"/>
      <c r="D385" s="4"/>
      <c r="E385" s="4"/>
      <c r="F385" s="4"/>
      <c r="G385" s="1"/>
      <c r="H385" s="1"/>
      <c r="I385" s="3"/>
      <c r="J385" s="3"/>
      <c r="K385" s="4"/>
      <c r="W385" s="21"/>
      <c r="X385" s="21"/>
      <c r="Y385" s="24"/>
      <c r="Z385" s="24"/>
      <c r="AA385" s="24"/>
      <c r="AD385" s="22"/>
      <c r="AE385" s="22"/>
      <c r="AF385" s="24"/>
    </row>
    <row r="386" spans="1:32" x14ac:dyDescent="0.25">
      <c r="A386" s="1"/>
      <c r="D386" s="4"/>
      <c r="E386" s="4"/>
      <c r="F386" s="4"/>
      <c r="G386" s="1"/>
      <c r="H386" s="1"/>
      <c r="I386" s="3"/>
      <c r="J386" s="3"/>
      <c r="K386" s="4"/>
      <c r="W386" s="21"/>
      <c r="X386" s="21"/>
      <c r="Y386" s="24"/>
      <c r="Z386" s="24"/>
      <c r="AA386" s="24"/>
      <c r="AD386" s="22"/>
      <c r="AE386" s="22"/>
      <c r="AF386" s="24"/>
    </row>
    <row r="387" spans="1:32" x14ac:dyDescent="0.25">
      <c r="A387" s="1"/>
      <c r="D387" s="4"/>
      <c r="E387" s="4"/>
      <c r="F387" s="4"/>
      <c r="G387" s="1"/>
      <c r="H387" s="1"/>
      <c r="I387" s="3"/>
      <c r="J387" s="3"/>
      <c r="K387" s="4"/>
      <c r="W387" s="21"/>
      <c r="X387" s="21"/>
      <c r="Y387" s="24"/>
      <c r="Z387" s="24"/>
      <c r="AA387" s="24"/>
      <c r="AD387" s="22"/>
      <c r="AE387" s="22"/>
      <c r="AF387" s="24"/>
    </row>
    <row r="388" spans="1:32" x14ac:dyDescent="0.25">
      <c r="A388" s="1"/>
      <c r="D388" s="4"/>
      <c r="E388" s="4"/>
      <c r="F388" s="4"/>
      <c r="G388" s="1"/>
      <c r="H388" s="1"/>
      <c r="I388" s="3"/>
      <c r="J388" s="3"/>
      <c r="K388" s="4"/>
      <c r="W388" s="21"/>
      <c r="X388" s="21"/>
      <c r="Y388" s="24"/>
      <c r="Z388" s="24"/>
      <c r="AA388" s="24"/>
      <c r="AD388" s="22"/>
      <c r="AE388" s="22"/>
      <c r="AF388" s="24"/>
    </row>
    <row r="389" spans="1:32" x14ac:dyDescent="0.25">
      <c r="A389" s="1"/>
      <c r="D389" s="4"/>
      <c r="E389" s="4"/>
      <c r="F389" s="4"/>
      <c r="G389" s="1"/>
      <c r="H389" s="1"/>
      <c r="I389" s="3"/>
      <c r="J389" s="3"/>
      <c r="K389" s="4"/>
      <c r="W389" s="21"/>
      <c r="X389" s="21"/>
      <c r="Y389" s="24"/>
      <c r="Z389" s="24"/>
      <c r="AA389" s="24"/>
      <c r="AD389" s="22"/>
      <c r="AE389" s="22"/>
      <c r="AF389" s="24"/>
    </row>
    <row r="390" spans="1:32" x14ac:dyDescent="0.25">
      <c r="A390" s="1"/>
      <c r="D390" s="4"/>
      <c r="E390" s="4"/>
      <c r="F390" s="4"/>
      <c r="G390" s="1"/>
      <c r="H390" s="1"/>
      <c r="I390" s="3"/>
      <c r="J390" s="3"/>
      <c r="K390" s="4"/>
      <c r="W390" s="21"/>
      <c r="X390" s="21"/>
      <c r="Y390" s="24"/>
      <c r="Z390" s="24"/>
      <c r="AA390" s="24"/>
      <c r="AD390" s="22"/>
      <c r="AE390" s="22"/>
      <c r="AF390" s="24"/>
    </row>
    <row r="391" spans="1:32" x14ac:dyDescent="0.25">
      <c r="A391" s="1"/>
      <c r="D391" s="4"/>
      <c r="E391" s="4"/>
      <c r="F391" s="4"/>
      <c r="G391" s="1"/>
      <c r="H391" s="1"/>
      <c r="I391" s="3"/>
      <c r="J391" s="3"/>
      <c r="K391" s="4"/>
      <c r="W391" s="21"/>
      <c r="X391" s="21"/>
      <c r="Y391" s="24"/>
      <c r="Z391" s="24"/>
      <c r="AA391" s="24"/>
      <c r="AD391" s="22"/>
      <c r="AE391" s="22"/>
      <c r="AF391" s="24"/>
    </row>
    <row r="392" spans="1:32" x14ac:dyDescent="0.25">
      <c r="A392" s="1"/>
      <c r="D392" s="4"/>
      <c r="E392" s="4"/>
      <c r="F392" s="4"/>
      <c r="G392" s="1"/>
      <c r="H392" s="1"/>
      <c r="I392" s="3"/>
      <c r="J392" s="3"/>
      <c r="K392" s="4"/>
      <c r="W392" s="21"/>
      <c r="X392" s="21"/>
      <c r="Y392" s="24"/>
      <c r="Z392" s="24"/>
      <c r="AA392" s="24"/>
      <c r="AD392" s="22"/>
      <c r="AE392" s="22"/>
      <c r="AF392" s="24"/>
    </row>
    <row r="393" spans="1:32" x14ac:dyDescent="0.25">
      <c r="A393" s="1"/>
      <c r="D393" s="4"/>
      <c r="E393" s="4"/>
      <c r="F393" s="4"/>
      <c r="G393" s="1"/>
      <c r="H393" s="1"/>
      <c r="I393" s="3"/>
      <c r="J393" s="3"/>
      <c r="K393" s="4"/>
      <c r="W393" s="21"/>
      <c r="X393" s="21"/>
      <c r="Y393" s="24"/>
      <c r="Z393" s="24"/>
      <c r="AA393" s="24"/>
      <c r="AD393" s="22"/>
      <c r="AE393" s="22"/>
      <c r="AF393" s="24"/>
    </row>
    <row r="394" spans="1:32" x14ac:dyDescent="0.25">
      <c r="A394" s="1"/>
      <c r="D394" s="4"/>
      <c r="E394" s="4"/>
      <c r="F394" s="4"/>
      <c r="G394" s="1"/>
      <c r="H394" s="1"/>
      <c r="I394" s="3"/>
      <c r="J394" s="3"/>
      <c r="K394" s="4"/>
      <c r="W394" s="21"/>
      <c r="X394" s="21"/>
      <c r="Y394" s="24"/>
      <c r="Z394" s="24"/>
      <c r="AA394" s="24"/>
      <c r="AD394" s="22"/>
      <c r="AE394" s="22"/>
      <c r="AF394" s="24"/>
    </row>
    <row r="395" spans="1:32" x14ac:dyDescent="0.25">
      <c r="A395" s="1"/>
      <c r="D395" s="4"/>
      <c r="E395" s="4"/>
      <c r="F395" s="4"/>
      <c r="G395" s="1"/>
      <c r="H395" s="1"/>
      <c r="I395" s="3"/>
      <c r="J395" s="3"/>
      <c r="K395" s="4"/>
      <c r="W395" s="21"/>
      <c r="X395" s="21"/>
      <c r="Y395" s="24"/>
      <c r="Z395" s="24"/>
      <c r="AA395" s="24"/>
      <c r="AD395" s="22"/>
      <c r="AE395" s="22"/>
      <c r="AF395" s="24"/>
    </row>
    <row r="396" spans="1:32" x14ac:dyDescent="0.25">
      <c r="A396" s="1"/>
      <c r="D396" s="4"/>
      <c r="E396" s="4"/>
      <c r="F396" s="4"/>
      <c r="G396" s="1"/>
      <c r="H396" s="1"/>
      <c r="I396" s="3"/>
      <c r="J396" s="3"/>
      <c r="K396" s="4"/>
      <c r="W396" s="21"/>
      <c r="X396" s="21"/>
      <c r="Y396" s="24"/>
      <c r="Z396" s="24"/>
      <c r="AA396" s="24"/>
      <c r="AD396" s="22"/>
      <c r="AE396" s="22"/>
      <c r="AF396" s="24"/>
    </row>
    <row r="397" spans="1:32" x14ac:dyDescent="0.25">
      <c r="A397" s="1"/>
      <c r="D397" s="4"/>
      <c r="E397" s="4"/>
      <c r="F397" s="4"/>
      <c r="G397" s="1"/>
      <c r="H397" s="1"/>
      <c r="I397" s="3"/>
      <c r="J397" s="3"/>
      <c r="K397" s="4"/>
      <c r="W397" s="21"/>
      <c r="X397" s="21"/>
      <c r="Y397" s="24"/>
      <c r="Z397" s="24"/>
      <c r="AA397" s="24"/>
      <c r="AD397" s="22"/>
      <c r="AE397" s="22"/>
      <c r="AF397" s="24"/>
    </row>
    <row r="398" spans="1:32" x14ac:dyDescent="0.25">
      <c r="A398" s="1"/>
      <c r="D398" s="4"/>
      <c r="E398" s="4"/>
      <c r="F398" s="4"/>
      <c r="G398" s="1"/>
      <c r="H398" s="1"/>
      <c r="I398" s="3"/>
      <c r="J398" s="3"/>
      <c r="K398" s="4"/>
      <c r="W398" s="21"/>
      <c r="X398" s="21"/>
      <c r="Y398" s="24"/>
      <c r="Z398" s="24"/>
      <c r="AA398" s="24"/>
      <c r="AD398" s="22"/>
      <c r="AE398" s="22"/>
      <c r="AF398" s="24"/>
    </row>
    <row r="399" spans="1:32" x14ac:dyDescent="0.25">
      <c r="A399" s="1"/>
      <c r="D399" s="4"/>
      <c r="E399" s="4"/>
      <c r="F399" s="4"/>
      <c r="G399" s="1"/>
      <c r="H399" s="1"/>
      <c r="I399" s="3"/>
      <c r="J399" s="3"/>
      <c r="K399" s="4"/>
      <c r="W399" s="21"/>
      <c r="X399" s="21"/>
      <c r="Y399" s="24"/>
      <c r="Z399" s="24"/>
      <c r="AA399" s="24"/>
      <c r="AD399" s="22"/>
      <c r="AE399" s="22"/>
      <c r="AF399" s="24"/>
    </row>
    <row r="400" spans="1:32" x14ac:dyDescent="0.25">
      <c r="A400" s="1"/>
      <c r="D400" s="4"/>
      <c r="E400" s="4"/>
      <c r="F400" s="4"/>
      <c r="G400" s="1"/>
      <c r="H400" s="1"/>
      <c r="I400" s="3"/>
      <c r="J400" s="3"/>
      <c r="K400" s="4"/>
      <c r="W400" s="21"/>
      <c r="X400" s="21"/>
      <c r="Y400" s="24"/>
      <c r="Z400" s="24"/>
      <c r="AA400" s="24"/>
      <c r="AD400" s="22"/>
      <c r="AE400" s="22"/>
      <c r="AF400" s="24"/>
    </row>
    <row r="401" spans="1:32" x14ac:dyDescent="0.25">
      <c r="A401" s="1"/>
      <c r="D401" s="4"/>
      <c r="E401" s="4"/>
      <c r="F401" s="4"/>
      <c r="G401" s="1"/>
      <c r="H401" s="1"/>
      <c r="I401" s="3"/>
      <c r="J401" s="3"/>
      <c r="K401" s="4"/>
      <c r="W401" s="21"/>
      <c r="X401" s="21"/>
      <c r="Y401" s="24"/>
      <c r="Z401" s="24"/>
      <c r="AA401" s="24"/>
      <c r="AD401" s="22"/>
      <c r="AE401" s="22"/>
      <c r="AF401" s="24"/>
    </row>
    <row r="402" spans="1:32" x14ac:dyDescent="0.25">
      <c r="A402" s="1"/>
      <c r="D402" s="4"/>
      <c r="E402" s="4"/>
      <c r="F402" s="4"/>
      <c r="G402" s="1"/>
      <c r="H402" s="1"/>
      <c r="I402" s="3"/>
      <c r="J402" s="3"/>
      <c r="K402" s="4"/>
      <c r="W402" s="21"/>
      <c r="X402" s="21"/>
      <c r="Y402" s="24"/>
      <c r="Z402" s="24"/>
      <c r="AA402" s="24"/>
      <c r="AD402" s="22"/>
      <c r="AE402" s="22"/>
      <c r="AF402" s="24"/>
    </row>
    <row r="403" spans="1:32" x14ac:dyDescent="0.25">
      <c r="A403" s="1"/>
      <c r="D403" s="4"/>
      <c r="E403" s="4"/>
      <c r="F403" s="4"/>
      <c r="G403" s="1"/>
      <c r="H403" s="1"/>
      <c r="I403" s="3"/>
      <c r="J403" s="3"/>
      <c r="K403" s="4"/>
      <c r="W403" s="21"/>
      <c r="X403" s="21"/>
      <c r="Y403" s="24"/>
      <c r="Z403" s="24"/>
      <c r="AA403" s="24"/>
      <c r="AD403" s="22"/>
      <c r="AE403" s="22"/>
      <c r="AF403" s="24"/>
    </row>
    <row r="404" spans="1:32" x14ac:dyDescent="0.25">
      <c r="A404" s="1"/>
      <c r="D404" s="4"/>
      <c r="E404" s="4"/>
      <c r="F404" s="4"/>
      <c r="G404" s="1"/>
      <c r="H404" s="1"/>
      <c r="I404" s="3"/>
      <c r="J404" s="3"/>
      <c r="K404" s="4"/>
      <c r="W404" s="21"/>
      <c r="X404" s="21"/>
      <c r="Y404" s="24"/>
      <c r="Z404" s="24"/>
      <c r="AA404" s="24"/>
      <c r="AD404" s="22"/>
      <c r="AE404" s="22"/>
      <c r="AF404" s="24"/>
    </row>
    <row r="405" spans="1:32" x14ac:dyDescent="0.25">
      <c r="A405" s="1"/>
      <c r="D405" s="4"/>
      <c r="E405" s="4"/>
      <c r="F405" s="4"/>
      <c r="G405" s="1"/>
      <c r="H405" s="1"/>
      <c r="I405" s="3"/>
      <c r="J405" s="3"/>
      <c r="K405" s="4"/>
      <c r="W405" s="21"/>
      <c r="X405" s="21"/>
      <c r="Y405" s="24"/>
      <c r="Z405" s="24"/>
      <c r="AA405" s="24"/>
      <c r="AD405" s="22"/>
      <c r="AE405" s="22"/>
      <c r="AF405" s="24"/>
    </row>
    <row r="406" spans="1:32" x14ac:dyDescent="0.25">
      <c r="A406" s="1"/>
      <c r="D406" s="4"/>
      <c r="E406" s="4"/>
      <c r="F406" s="4"/>
      <c r="G406" s="1"/>
      <c r="H406" s="1"/>
      <c r="I406" s="3"/>
      <c r="J406" s="3"/>
      <c r="K406" s="4"/>
      <c r="W406" s="21"/>
      <c r="X406" s="21"/>
      <c r="Y406" s="24"/>
      <c r="Z406" s="24"/>
      <c r="AA406" s="24"/>
      <c r="AD406" s="22"/>
      <c r="AE406" s="22"/>
      <c r="AF406" s="24"/>
    </row>
    <row r="407" spans="1:32" x14ac:dyDescent="0.25">
      <c r="A407" s="1"/>
      <c r="D407" s="4"/>
      <c r="E407" s="4"/>
      <c r="F407" s="4"/>
      <c r="G407" s="1"/>
      <c r="H407" s="1"/>
      <c r="I407" s="3"/>
      <c r="J407" s="3"/>
      <c r="K407" s="4"/>
      <c r="W407" s="21"/>
      <c r="X407" s="21"/>
      <c r="Y407" s="24"/>
      <c r="Z407" s="24"/>
      <c r="AA407" s="24"/>
      <c r="AD407" s="22"/>
      <c r="AE407" s="22"/>
      <c r="AF407" s="24"/>
    </row>
    <row r="408" spans="1:32" x14ac:dyDescent="0.25">
      <c r="A408" s="1"/>
      <c r="D408" s="4"/>
      <c r="E408" s="4"/>
      <c r="F408" s="4"/>
      <c r="G408" s="1"/>
      <c r="H408" s="1"/>
      <c r="I408" s="3"/>
      <c r="J408" s="3"/>
      <c r="K408" s="4"/>
      <c r="W408" s="21"/>
      <c r="X408" s="21"/>
      <c r="Y408" s="24"/>
      <c r="Z408" s="24"/>
      <c r="AA408" s="24"/>
      <c r="AD408" s="22"/>
      <c r="AE408" s="22"/>
      <c r="AF408" s="24"/>
    </row>
    <row r="409" spans="1:32" x14ac:dyDescent="0.25">
      <c r="A409" s="1"/>
      <c r="D409" s="4"/>
      <c r="E409" s="4"/>
      <c r="F409" s="4"/>
      <c r="G409" s="1"/>
      <c r="H409" s="1"/>
      <c r="I409" s="3"/>
      <c r="J409" s="3"/>
      <c r="K409" s="4"/>
      <c r="W409" s="21"/>
      <c r="X409" s="21"/>
      <c r="Y409" s="24"/>
      <c r="Z409" s="24"/>
      <c r="AA409" s="24"/>
      <c r="AD409" s="22"/>
      <c r="AE409" s="22"/>
      <c r="AF409" s="24"/>
    </row>
    <row r="410" spans="1:32" x14ac:dyDescent="0.25">
      <c r="A410" s="1"/>
      <c r="D410" s="4"/>
      <c r="E410" s="4"/>
      <c r="F410" s="4"/>
      <c r="G410" s="1"/>
      <c r="H410" s="1"/>
      <c r="I410" s="3"/>
      <c r="J410" s="3"/>
      <c r="K410" s="4"/>
      <c r="W410" s="21"/>
      <c r="X410" s="21"/>
      <c r="Y410" s="24"/>
      <c r="Z410" s="24"/>
      <c r="AA410" s="24"/>
      <c r="AD410" s="22"/>
      <c r="AE410" s="22"/>
      <c r="AF410" s="24"/>
    </row>
    <row r="411" spans="1:32" x14ac:dyDescent="0.25">
      <c r="A411" s="1"/>
      <c r="D411" s="4"/>
      <c r="E411" s="4"/>
      <c r="F411" s="4"/>
      <c r="G411" s="1"/>
      <c r="H411" s="1"/>
      <c r="I411" s="3"/>
      <c r="J411" s="3"/>
      <c r="K411" s="4"/>
      <c r="W411" s="21"/>
      <c r="X411" s="21"/>
      <c r="Y411" s="24"/>
      <c r="Z411" s="24"/>
      <c r="AA411" s="24"/>
      <c r="AD411" s="22"/>
      <c r="AE411" s="22"/>
      <c r="AF411" s="24"/>
    </row>
    <row r="412" spans="1:32" x14ac:dyDescent="0.25">
      <c r="A412" s="1"/>
      <c r="D412" s="4"/>
      <c r="E412" s="4"/>
      <c r="F412" s="4"/>
      <c r="G412" s="1"/>
      <c r="H412" s="1"/>
      <c r="I412" s="3"/>
      <c r="J412" s="3"/>
      <c r="K412" s="4"/>
      <c r="W412" s="21"/>
      <c r="X412" s="21"/>
      <c r="Y412" s="24"/>
      <c r="Z412" s="24"/>
      <c r="AA412" s="24"/>
      <c r="AD412" s="22"/>
      <c r="AE412" s="22"/>
      <c r="AF412" s="24"/>
    </row>
    <row r="413" spans="1:32" x14ac:dyDescent="0.25">
      <c r="A413" s="1"/>
      <c r="D413" s="4"/>
      <c r="E413" s="4"/>
      <c r="F413" s="4"/>
      <c r="G413" s="1"/>
      <c r="H413" s="1"/>
      <c r="I413" s="3"/>
      <c r="J413" s="3"/>
      <c r="K413" s="4"/>
      <c r="W413" s="21"/>
      <c r="X413" s="21"/>
      <c r="Y413" s="24"/>
      <c r="Z413" s="24"/>
      <c r="AA413" s="24"/>
      <c r="AD413" s="22"/>
      <c r="AE413" s="22"/>
      <c r="AF413" s="24"/>
    </row>
    <row r="414" spans="1:32" x14ac:dyDescent="0.25">
      <c r="A414" s="1"/>
      <c r="D414" s="4"/>
      <c r="E414" s="4"/>
      <c r="F414" s="4"/>
      <c r="G414" s="1"/>
      <c r="H414" s="1"/>
      <c r="I414" s="3"/>
      <c r="J414" s="3"/>
      <c r="K414" s="4"/>
      <c r="W414" s="21"/>
      <c r="X414" s="21"/>
      <c r="Y414" s="24"/>
      <c r="Z414" s="24"/>
      <c r="AA414" s="24"/>
      <c r="AD414" s="22"/>
      <c r="AE414" s="22"/>
      <c r="AF414" s="24"/>
    </row>
    <row r="415" spans="1:32" x14ac:dyDescent="0.25">
      <c r="A415" s="1"/>
      <c r="D415" s="4"/>
      <c r="E415" s="4"/>
      <c r="F415" s="4"/>
      <c r="G415" s="1"/>
      <c r="H415" s="1"/>
      <c r="I415" s="3"/>
      <c r="J415" s="3"/>
      <c r="K415" s="4"/>
      <c r="W415" s="21"/>
      <c r="X415" s="21"/>
      <c r="Y415" s="24"/>
      <c r="Z415" s="24"/>
      <c r="AA415" s="24"/>
      <c r="AD415" s="22"/>
      <c r="AE415" s="22"/>
      <c r="AF415" s="24"/>
    </row>
    <row r="416" spans="1:32" x14ac:dyDescent="0.25">
      <c r="A416" s="1"/>
      <c r="D416" s="4"/>
      <c r="E416" s="4"/>
      <c r="F416" s="4"/>
      <c r="G416" s="1"/>
      <c r="H416" s="1"/>
      <c r="I416" s="3"/>
      <c r="J416" s="3"/>
      <c r="K416" s="4"/>
      <c r="W416" s="21"/>
      <c r="X416" s="21"/>
      <c r="Y416" s="24"/>
      <c r="Z416" s="24"/>
      <c r="AA416" s="24"/>
      <c r="AD416" s="22"/>
      <c r="AE416" s="22"/>
      <c r="AF416" s="24"/>
    </row>
    <row r="417" spans="1:32" x14ac:dyDescent="0.25">
      <c r="A417" s="1"/>
      <c r="D417" s="4"/>
      <c r="E417" s="4"/>
      <c r="F417" s="4"/>
      <c r="G417" s="1"/>
      <c r="H417" s="1"/>
      <c r="I417" s="3"/>
      <c r="J417" s="3"/>
      <c r="K417" s="4"/>
      <c r="W417" s="21"/>
      <c r="X417" s="21"/>
      <c r="Y417" s="24"/>
      <c r="Z417" s="24"/>
      <c r="AA417" s="24"/>
      <c r="AD417" s="22"/>
      <c r="AE417" s="22"/>
      <c r="AF417" s="24"/>
    </row>
    <row r="418" spans="1:32" x14ac:dyDescent="0.25">
      <c r="W418" s="21"/>
      <c r="X418" s="21"/>
      <c r="Y418" s="24"/>
      <c r="Z418" s="24"/>
      <c r="AA418" s="24"/>
      <c r="AD418" s="22"/>
      <c r="AE418" s="22"/>
      <c r="AF418" s="24"/>
    </row>
    <row r="419" spans="1:32" x14ac:dyDescent="0.25">
      <c r="W419" s="21"/>
      <c r="X419" s="21"/>
      <c r="Y419" s="24"/>
      <c r="Z419" s="24"/>
      <c r="AA419" s="24"/>
      <c r="AD419" s="22"/>
      <c r="AE419" s="22"/>
      <c r="AF419" s="24"/>
    </row>
    <row r="420" spans="1:32" x14ac:dyDescent="0.25">
      <c r="W420" s="21"/>
      <c r="X420" s="21"/>
      <c r="Y420" s="24"/>
      <c r="Z420" s="24"/>
      <c r="AA420" s="24"/>
      <c r="AD420" s="22"/>
      <c r="AE420" s="22"/>
      <c r="AF420" s="24"/>
    </row>
    <row r="421" spans="1:32" x14ac:dyDescent="0.25">
      <c r="W421" s="21"/>
      <c r="X421" s="21"/>
      <c r="Y421" s="24"/>
      <c r="Z421" s="24"/>
      <c r="AA421" s="24"/>
      <c r="AD421" s="22"/>
      <c r="AE421" s="22"/>
      <c r="AF421" s="24"/>
    </row>
    <row r="422" spans="1:32" x14ac:dyDescent="0.25">
      <c r="W422" s="21"/>
      <c r="X422" s="21"/>
      <c r="Y422" s="24"/>
      <c r="Z422" s="24"/>
      <c r="AA422" s="24"/>
      <c r="AD422" s="22"/>
      <c r="AE422" s="22"/>
      <c r="AF422" s="24"/>
    </row>
    <row r="423" spans="1:32" x14ac:dyDescent="0.25">
      <c r="W423" s="21"/>
      <c r="X423" s="21"/>
      <c r="Y423" s="24"/>
      <c r="Z423" s="24"/>
      <c r="AA423" s="24"/>
      <c r="AD423" s="22"/>
      <c r="AE423" s="22"/>
      <c r="AF423" s="24"/>
    </row>
    <row r="424" spans="1:32" x14ac:dyDescent="0.25">
      <c r="W424" s="21"/>
      <c r="X424" s="21"/>
      <c r="Y424" s="24"/>
      <c r="Z424" s="24"/>
      <c r="AA424" s="24"/>
      <c r="AD424" s="22"/>
      <c r="AE424" s="22"/>
      <c r="AF424" s="24"/>
    </row>
    <row r="425" spans="1:32" x14ac:dyDescent="0.25">
      <c r="W425" s="21"/>
      <c r="X425" s="21"/>
      <c r="Y425" s="24"/>
      <c r="Z425" s="24"/>
      <c r="AA425" s="24"/>
      <c r="AD425" s="22"/>
      <c r="AE425" s="22"/>
      <c r="AF425" s="24"/>
    </row>
    <row r="426" spans="1:32" x14ac:dyDescent="0.25">
      <c r="W426" s="21"/>
      <c r="X426" s="21"/>
      <c r="Y426" s="24"/>
      <c r="Z426" s="24"/>
      <c r="AA426" s="24"/>
      <c r="AD426" s="22"/>
      <c r="AE426" s="22"/>
      <c r="AF426" s="24"/>
    </row>
    <row r="427" spans="1:32" x14ac:dyDescent="0.25">
      <c r="W427" s="21"/>
      <c r="X427" s="21"/>
      <c r="Y427" s="24"/>
      <c r="Z427" s="24"/>
      <c r="AA427" s="24"/>
      <c r="AD427" s="22"/>
      <c r="AE427" s="22"/>
      <c r="AF427" s="24"/>
    </row>
    <row r="428" spans="1:32" x14ac:dyDescent="0.25">
      <c r="W428" s="21"/>
      <c r="X428" s="21"/>
      <c r="Y428" s="24"/>
      <c r="Z428" s="24"/>
      <c r="AA428" s="24"/>
      <c r="AD428" s="22"/>
      <c r="AE428" s="22"/>
      <c r="AF428" s="24"/>
    </row>
    <row r="429" spans="1:32" x14ac:dyDescent="0.25">
      <c r="W429" s="21"/>
      <c r="X429" s="21"/>
      <c r="Y429" s="24"/>
      <c r="Z429" s="24"/>
      <c r="AA429" s="24"/>
      <c r="AD429" s="22"/>
      <c r="AE429" s="22"/>
      <c r="AF429" s="24"/>
    </row>
    <row r="430" spans="1:32" x14ac:dyDescent="0.25">
      <c r="W430" s="21"/>
      <c r="X430" s="21"/>
      <c r="Y430" s="24"/>
      <c r="Z430" s="24"/>
      <c r="AA430" s="24"/>
      <c r="AD430" s="22"/>
      <c r="AE430" s="22"/>
      <c r="AF430" s="24"/>
    </row>
    <row r="431" spans="1:32" x14ac:dyDescent="0.25">
      <c r="W431" s="21"/>
      <c r="X431" s="21"/>
      <c r="Y431" s="24"/>
      <c r="Z431" s="24"/>
      <c r="AA431" s="24"/>
      <c r="AD431" s="22"/>
      <c r="AE431" s="22"/>
      <c r="AF431" s="24"/>
    </row>
    <row r="432" spans="1:32" x14ac:dyDescent="0.25">
      <c r="W432" s="21"/>
      <c r="X432" s="21"/>
      <c r="Y432" s="24"/>
      <c r="Z432" s="24"/>
      <c r="AA432" s="24"/>
      <c r="AD432" s="22"/>
      <c r="AE432" s="22"/>
      <c r="AF432" s="24"/>
    </row>
    <row r="433" spans="23:32" x14ac:dyDescent="0.25">
      <c r="W433" s="21"/>
      <c r="X433" s="21"/>
      <c r="Y433" s="24"/>
      <c r="Z433" s="24"/>
      <c r="AA433" s="24"/>
      <c r="AD433" s="22"/>
      <c r="AE433" s="22"/>
      <c r="AF433" s="24"/>
    </row>
    <row r="434" spans="23:32" x14ac:dyDescent="0.25">
      <c r="W434" s="21"/>
      <c r="X434" s="21"/>
      <c r="Y434" s="24"/>
      <c r="Z434" s="24"/>
      <c r="AA434" s="24"/>
      <c r="AD434" s="22"/>
      <c r="AE434" s="22"/>
      <c r="AF434" s="24"/>
    </row>
    <row r="435" spans="23:32" x14ac:dyDescent="0.25">
      <c r="W435" s="21"/>
      <c r="X435" s="21"/>
      <c r="Y435" s="24"/>
      <c r="Z435" s="24"/>
      <c r="AA435" s="24"/>
      <c r="AD435" s="22"/>
      <c r="AE435" s="22"/>
      <c r="AF435" s="24"/>
    </row>
    <row r="436" spans="23:32" x14ac:dyDescent="0.25">
      <c r="W436" s="21"/>
      <c r="X436" s="21"/>
      <c r="Y436" s="24"/>
      <c r="Z436" s="24"/>
      <c r="AA436" s="24"/>
      <c r="AD436" s="22"/>
      <c r="AE436" s="22"/>
      <c r="AF436" s="24"/>
    </row>
    <row r="437" spans="23:32" x14ac:dyDescent="0.25">
      <c r="W437" s="21"/>
      <c r="X437" s="21"/>
      <c r="Y437" s="24"/>
      <c r="Z437" s="24"/>
      <c r="AA437" s="24"/>
      <c r="AD437" s="22"/>
      <c r="AE437" s="22"/>
      <c r="AF437" s="24"/>
    </row>
    <row r="438" spans="23:32" x14ac:dyDescent="0.25">
      <c r="W438" s="21"/>
      <c r="X438" s="21"/>
      <c r="Y438" s="24"/>
      <c r="Z438" s="24"/>
      <c r="AA438" s="24"/>
      <c r="AD438" s="22"/>
      <c r="AE438" s="22"/>
      <c r="AF438" s="24"/>
    </row>
    <row r="439" spans="23:32" x14ac:dyDescent="0.25">
      <c r="W439" s="21"/>
      <c r="X439" s="21"/>
      <c r="Y439" s="24"/>
      <c r="Z439" s="24"/>
      <c r="AA439" s="24"/>
      <c r="AD439" s="22"/>
      <c r="AE439" s="22"/>
      <c r="AF439" s="24"/>
    </row>
    <row r="440" spans="23:32" x14ac:dyDescent="0.25">
      <c r="W440" s="21"/>
      <c r="X440" s="21"/>
      <c r="Y440" s="24"/>
      <c r="Z440" s="24"/>
      <c r="AA440" s="24"/>
      <c r="AD440" s="22"/>
      <c r="AE440" s="22"/>
      <c r="AF440" s="24"/>
    </row>
    <row r="441" spans="23:32" x14ac:dyDescent="0.25">
      <c r="W441" s="21"/>
      <c r="X441" s="21"/>
      <c r="Y441" s="24"/>
      <c r="Z441" s="24"/>
      <c r="AA441" s="24"/>
      <c r="AD441" s="22"/>
      <c r="AE441" s="22"/>
      <c r="AF441" s="24"/>
    </row>
    <row r="442" spans="23:32" x14ac:dyDescent="0.25">
      <c r="W442" s="21"/>
      <c r="X442" s="21"/>
      <c r="Y442" s="24"/>
      <c r="Z442" s="24"/>
      <c r="AA442" s="24"/>
      <c r="AD442" s="22"/>
      <c r="AE442" s="22"/>
      <c r="AF442" s="24"/>
    </row>
    <row r="443" spans="23:32" x14ac:dyDescent="0.25">
      <c r="W443" s="21"/>
      <c r="X443" s="21"/>
      <c r="Y443" s="24"/>
      <c r="Z443" s="24"/>
      <c r="AA443" s="24"/>
      <c r="AD443" s="22"/>
      <c r="AE443" s="22"/>
      <c r="AF443" s="24"/>
    </row>
    <row r="444" spans="23:32" x14ac:dyDescent="0.25">
      <c r="W444" s="21"/>
      <c r="X444" s="21"/>
      <c r="Y444" s="24"/>
      <c r="Z444" s="24"/>
      <c r="AA444" s="24"/>
      <c r="AD444" s="22"/>
      <c r="AE444" s="22"/>
      <c r="AF444" s="24"/>
    </row>
    <row r="445" spans="23:32" x14ac:dyDescent="0.25">
      <c r="W445" s="21"/>
      <c r="X445" s="21"/>
      <c r="Y445" s="24"/>
      <c r="Z445" s="24"/>
      <c r="AA445" s="24"/>
      <c r="AD445" s="22"/>
      <c r="AE445" s="22"/>
      <c r="AF445" s="24"/>
    </row>
    <row r="446" spans="23:32" x14ac:dyDescent="0.25">
      <c r="W446" s="21"/>
      <c r="X446" s="21"/>
      <c r="Y446" s="24"/>
      <c r="Z446" s="24"/>
      <c r="AA446" s="24"/>
      <c r="AD446" s="22"/>
      <c r="AE446" s="22"/>
      <c r="AF446" s="24"/>
    </row>
    <row r="447" spans="23:32" x14ac:dyDescent="0.25">
      <c r="W447" s="21"/>
      <c r="X447" s="21"/>
      <c r="Y447" s="24"/>
      <c r="Z447" s="24"/>
      <c r="AA447" s="24"/>
      <c r="AD447" s="22"/>
      <c r="AE447" s="22"/>
      <c r="AF447" s="24"/>
    </row>
    <row r="448" spans="23:32" x14ac:dyDescent="0.25">
      <c r="W448" s="21"/>
      <c r="X448" s="21"/>
      <c r="Y448" s="24"/>
      <c r="Z448" s="24"/>
      <c r="AA448" s="24"/>
      <c r="AD448" s="22"/>
      <c r="AE448" s="22"/>
      <c r="AF448" s="24"/>
    </row>
    <row r="449" spans="23:32" x14ac:dyDescent="0.25">
      <c r="W449" s="21"/>
      <c r="X449" s="21"/>
      <c r="Y449" s="24"/>
      <c r="Z449" s="24"/>
      <c r="AA449" s="24"/>
      <c r="AD449" s="22"/>
      <c r="AE449" s="22"/>
      <c r="AF449" s="24"/>
    </row>
    <row r="450" spans="23:32" x14ac:dyDescent="0.25">
      <c r="W450" s="21"/>
      <c r="X450" s="21"/>
      <c r="Y450" s="24"/>
      <c r="Z450" s="24"/>
      <c r="AA450" s="24"/>
      <c r="AD450" s="22"/>
      <c r="AE450" s="22"/>
      <c r="AF450" s="24"/>
    </row>
    <row r="451" spans="23:32" x14ac:dyDescent="0.25">
      <c r="W451" s="21"/>
      <c r="X451" s="21"/>
      <c r="Y451" s="24"/>
      <c r="Z451" s="24"/>
      <c r="AA451" s="24"/>
      <c r="AD451" s="22"/>
      <c r="AE451" s="22"/>
      <c r="AF451" s="24"/>
    </row>
    <row r="452" spans="23:32" x14ac:dyDescent="0.25">
      <c r="W452" s="21"/>
      <c r="X452" s="21"/>
      <c r="Y452" s="24"/>
      <c r="Z452" s="24"/>
      <c r="AA452" s="24"/>
      <c r="AD452" s="22"/>
      <c r="AE452" s="22"/>
      <c r="AF452" s="24"/>
    </row>
    <row r="453" spans="23:32" x14ac:dyDescent="0.25">
      <c r="W453" s="21"/>
      <c r="X453" s="21"/>
      <c r="Y453" s="24"/>
      <c r="Z453" s="24"/>
      <c r="AA453" s="24"/>
      <c r="AD453" s="22"/>
      <c r="AE453" s="22"/>
      <c r="AF453" s="24"/>
    </row>
    <row r="454" spans="23:32" x14ac:dyDescent="0.25">
      <c r="W454" s="21"/>
      <c r="X454" s="21"/>
      <c r="Y454" s="24"/>
      <c r="Z454" s="24"/>
      <c r="AA454" s="24"/>
      <c r="AD454" s="22"/>
      <c r="AE454" s="22"/>
      <c r="AF454" s="24"/>
    </row>
    <row r="455" spans="23:32" x14ac:dyDescent="0.25">
      <c r="W455" s="21"/>
      <c r="X455" s="21"/>
      <c r="Y455" s="24"/>
      <c r="Z455" s="24"/>
      <c r="AA455" s="24"/>
      <c r="AD455" s="22"/>
      <c r="AE455" s="22"/>
      <c r="AF455" s="24"/>
    </row>
    <row r="456" spans="23:32" x14ac:dyDescent="0.25">
      <c r="W456" s="21"/>
      <c r="X456" s="21"/>
      <c r="Y456" s="24"/>
      <c r="Z456" s="24"/>
      <c r="AA456" s="24"/>
      <c r="AD456" s="22"/>
      <c r="AE456" s="22"/>
      <c r="AF456" s="24"/>
    </row>
    <row r="457" spans="23:32" x14ac:dyDescent="0.25">
      <c r="W457" s="21"/>
      <c r="X457" s="21"/>
      <c r="Y457" s="24"/>
      <c r="Z457" s="24"/>
      <c r="AA457" s="24"/>
      <c r="AD457" s="22"/>
      <c r="AE457" s="22"/>
      <c r="AF457" s="24"/>
    </row>
    <row r="458" spans="23:32" x14ac:dyDescent="0.25">
      <c r="W458" s="21"/>
      <c r="X458" s="21"/>
      <c r="Y458" s="24"/>
      <c r="Z458" s="24"/>
      <c r="AA458" s="24"/>
      <c r="AD458" s="22"/>
      <c r="AE458" s="22"/>
      <c r="AF458" s="24"/>
    </row>
    <row r="459" spans="23:32" x14ac:dyDescent="0.25">
      <c r="W459" s="21"/>
      <c r="X459" s="21"/>
      <c r="Y459" s="24"/>
      <c r="Z459" s="24"/>
      <c r="AA459" s="24"/>
      <c r="AD459" s="22"/>
      <c r="AE459" s="22"/>
      <c r="AF459" s="24"/>
    </row>
    <row r="460" spans="23:32" x14ac:dyDescent="0.25">
      <c r="W460" s="21"/>
      <c r="X460" s="21"/>
      <c r="Y460" s="24"/>
      <c r="Z460" s="24"/>
      <c r="AA460" s="24"/>
      <c r="AD460" s="22"/>
      <c r="AE460" s="22"/>
      <c r="AF460" s="24"/>
    </row>
    <row r="461" spans="23:32" x14ac:dyDescent="0.25">
      <c r="W461" s="21"/>
      <c r="X461" s="21"/>
      <c r="Y461" s="24"/>
      <c r="Z461" s="24"/>
      <c r="AA461" s="24"/>
      <c r="AD461" s="22"/>
      <c r="AE461" s="22"/>
      <c r="AF461" s="24"/>
    </row>
    <row r="462" spans="23:32" x14ac:dyDescent="0.25">
      <c r="W462" s="21"/>
      <c r="X462" s="21"/>
      <c r="Y462" s="24"/>
      <c r="Z462" s="24"/>
      <c r="AA462" s="24"/>
      <c r="AD462" s="22"/>
      <c r="AE462" s="22"/>
      <c r="AF462" s="24"/>
    </row>
    <row r="463" spans="23:32" x14ac:dyDescent="0.25">
      <c r="W463" s="21"/>
      <c r="X463" s="21"/>
      <c r="Y463" s="24"/>
      <c r="Z463" s="24"/>
      <c r="AA463" s="24"/>
      <c r="AD463" s="22"/>
      <c r="AE463" s="22"/>
      <c r="AF463" s="24"/>
    </row>
    <row r="464" spans="23:32" x14ac:dyDescent="0.25">
      <c r="W464" s="21"/>
      <c r="X464" s="21"/>
      <c r="Y464" s="24"/>
      <c r="Z464" s="24"/>
      <c r="AA464" s="24"/>
      <c r="AD464" s="22"/>
      <c r="AE464" s="22"/>
      <c r="AF464" s="24"/>
    </row>
    <row r="465" spans="23:32" x14ac:dyDescent="0.25">
      <c r="W465" s="21"/>
      <c r="X465" s="21"/>
      <c r="Y465" s="24"/>
      <c r="Z465" s="24"/>
      <c r="AA465" s="24"/>
      <c r="AD465" s="22"/>
      <c r="AE465" s="22"/>
      <c r="AF465" s="24"/>
    </row>
    <row r="466" spans="23:32" x14ac:dyDescent="0.25">
      <c r="W466" s="21"/>
      <c r="X466" s="21"/>
      <c r="Y466" s="24"/>
      <c r="Z466" s="24"/>
      <c r="AA466" s="24"/>
      <c r="AD466" s="22"/>
      <c r="AE466" s="22"/>
      <c r="AF466" s="24"/>
    </row>
    <row r="467" spans="23:32" x14ac:dyDescent="0.25">
      <c r="W467" s="21"/>
      <c r="X467" s="21"/>
      <c r="Y467" s="24"/>
      <c r="Z467" s="24"/>
      <c r="AA467" s="24"/>
      <c r="AD467" s="22"/>
      <c r="AE467" s="22"/>
      <c r="AF467" s="24"/>
    </row>
    <row r="468" spans="23:32" x14ac:dyDescent="0.25">
      <c r="W468" s="21"/>
      <c r="X468" s="21"/>
      <c r="Y468" s="24"/>
      <c r="Z468" s="24"/>
      <c r="AA468" s="24"/>
      <c r="AD468" s="22"/>
      <c r="AE468" s="22"/>
      <c r="AF468" s="24"/>
    </row>
    <row r="469" spans="23:32" x14ac:dyDescent="0.25">
      <c r="W469" s="21"/>
      <c r="X469" s="21"/>
      <c r="Y469" s="24"/>
      <c r="Z469" s="24"/>
      <c r="AA469" s="24"/>
      <c r="AD469" s="22"/>
      <c r="AE469" s="22"/>
      <c r="AF469" s="24"/>
    </row>
    <row r="470" spans="23:32" x14ac:dyDescent="0.25">
      <c r="W470" s="21"/>
      <c r="X470" s="21"/>
      <c r="Y470" s="24"/>
      <c r="Z470" s="24"/>
      <c r="AA470" s="24"/>
      <c r="AD470" s="22"/>
      <c r="AE470" s="22"/>
      <c r="AF470" s="24"/>
    </row>
    <row r="471" spans="23:32" x14ac:dyDescent="0.25">
      <c r="W471" s="21"/>
      <c r="X471" s="21"/>
      <c r="Y471" s="24"/>
      <c r="Z471" s="24"/>
      <c r="AA471" s="24"/>
      <c r="AD471" s="22"/>
      <c r="AE471" s="22"/>
      <c r="AF471" s="24"/>
    </row>
    <row r="472" spans="23:32" x14ac:dyDescent="0.25">
      <c r="W472" s="21"/>
      <c r="X472" s="21"/>
      <c r="Y472" s="24"/>
      <c r="Z472" s="24"/>
      <c r="AA472" s="24"/>
      <c r="AD472" s="22"/>
      <c r="AE472" s="22"/>
      <c r="AF472" s="24"/>
    </row>
    <row r="473" spans="23:32" x14ac:dyDescent="0.25">
      <c r="W473" s="21"/>
      <c r="X473" s="21"/>
      <c r="Y473" s="24"/>
      <c r="Z473" s="24"/>
      <c r="AA473" s="24"/>
      <c r="AD473" s="22"/>
      <c r="AE473" s="22"/>
      <c r="AF473" s="24"/>
    </row>
    <row r="474" spans="23:32" x14ac:dyDescent="0.25">
      <c r="W474" s="21"/>
      <c r="X474" s="21"/>
      <c r="Y474" s="24"/>
      <c r="Z474" s="24"/>
      <c r="AA474" s="24"/>
      <c r="AD474" s="22"/>
      <c r="AE474" s="22"/>
      <c r="AF474" s="24"/>
    </row>
    <row r="475" spans="23:32" x14ac:dyDescent="0.25">
      <c r="W475" s="21"/>
      <c r="X475" s="21"/>
      <c r="Y475" s="24"/>
      <c r="Z475" s="24"/>
      <c r="AA475" s="24"/>
      <c r="AD475" s="22"/>
      <c r="AE475" s="22"/>
      <c r="AF475" s="24"/>
    </row>
    <row r="476" spans="23:32" x14ac:dyDescent="0.25">
      <c r="W476" s="21"/>
      <c r="X476" s="21"/>
      <c r="Y476" s="24"/>
      <c r="Z476" s="24"/>
      <c r="AA476" s="24"/>
      <c r="AD476" s="22"/>
      <c r="AE476" s="22"/>
      <c r="AF476" s="24"/>
    </row>
    <row r="477" spans="23:32" x14ac:dyDescent="0.25">
      <c r="W477" s="21"/>
      <c r="X477" s="21"/>
      <c r="Y477" s="24"/>
      <c r="Z477" s="24"/>
      <c r="AA477" s="24"/>
      <c r="AD477" s="22"/>
      <c r="AE477" s="22"/>
      <c r="AF477" s="24"/>
    </row>
    <row r="478" spans="23:32" x14ac:dyDescent="0.25">
      <c r="W478" s="21"/>
      <c r="X478" s="21"/>
      <c r="Y478" s="24"/>
      <c r="Z478" s="24"/>
      <c r="AA478" s="24"/>
      <c r="AD478" s="22"/>
      <c r="AE478" s="22"/>
      <c r="AF478" s="24"/>
    </row>
    <row r="479" spans="23:32" x14ac:dyDescent="0.25">
      <c r="W479" s="21"/>
      <c r="X479" s="21"/>
      <c r="Y479" s="24"/>
      <c r="Z479" s="24"/>
      <c r="AA479" s="24"/>
      <c r="AD479" s="22"/>
      <c r="AE479" s="22"/>
      <c r="AF479" s="24"/>
    </row>
    <row r="480" spans="23:32" x14ac:dyDescent="0.25">
      <c r="W480" s="21"/>
      <c r="X480" s="21"/>
      <c r="Y480" s="24"/>
      <c r="Z480" s="24"/>
      <c r="AA480" s="24"/>
      <c r="AD480" s="22"/>
      <c r="AE480" s="22"/>
      <c r="AF480" s="24"/>
    </row>
    <row r="481" spans="23:32" x14ac:dyDescent="0.25">
      <c r="W481" s="21"/>
      <c r="X481" s="21"/>
      <c r="Y481" s="24"/>
      <c r="Z481" s="24"/>
      <c r="AA481" s="24"/>
      <c r="AD481" s="22"/>
      <c r="AE481" s="22"/>
      <c r="AF481" s="24"/>
    </row>
    <row r="482" spans="23:32" x14ac:dyDescent="0.25">
      <c r="W482" s="21"/>
      <c r="X482" s="21"/>
      <c r="Y482" s="24"/>
      <c r="Z482" s="24"/>
      <c r="AA482" s="24"/>
      <c r="AD482" s="22"/>
      <c r="AE482" s="22"/>
      <c r="AF482" s="24"/>
    </row>
    <row r="483" spans="23:32" x14ac:dyDescent="0.25">
      <c r="W483" s="21"/>
      <c r="X483" s="21"/>
      <c r="Y483" s="24"/>
      <c r="Z483" s="24"/>
      <c r="AA483" s="24"/>
      <c r="AD483" s="22"/>
      <c r="AE483" s="22"/>
      <c r="AF483" s="24"/>
    </row>
    <row r="484" spans="23:32" x14ac:dyDescent="0.25">
      <c r="W484" s="21"/>
      <c r="X484" s="21"/>
      <c r="Y484" s="24"/>
      <c r="Z484" s="24"/>
      <c r="AA484" s="24"/>
      <c r="AD484" s="22"/>
      <c r="AE484" s="22"/>
      <c r="AF484" s="24"/>
    </row>
    <row r="485" spans="23:32" x14ac:dyDescent="0.25">
      <c r="W485" s="21"/>
      <c r="X485" s="21"/>
      <c r="Y485" s="24"/>
      <c r="Z485" s="24"/>
      <c r="AA485" s="24"/>
      <c r="AD485" s="22"/>
      <c r="AE485" s="22"/>
      <c r="AF485" s="24"/>
    </row>
    <row r="486" spans="23:32" x14ac:dyDescent="0.25">
      <c r="W486" s="21"/>
      <c r="X486" s="21"/>
      <c r="Y486" s="24"/>
      <c r="Z486" s="24"/>
      <c r="AA486" s="24"/>
      <c r="AD486" s="22"/>
      <c r="AE486" s="22"/>
      <c r="AF486" s="24"/>
    </row>
    <row r="487" spans="23:32" x14ac:dyDescent="0.25">
      <c r="W487" s="21"/>
      <c r="X487" s="21"/>
      <c r="Y487" s="24"/>
      <c r="Z487" s="24"/>
      <c r="AA487" s="24"/>
      <c r="AD487" s="22"/>
      <c r="AE487" s="22"/>
      <c r="AF487" s="24"/>
    </row>
    <row r="488" spans="23:32" x14ac:dyDescent="0.25">
      <c r="W488" s="21"/>
      <c r="X488" s="21"/>
      <c r="Y488" s="24"/>
      <c r="Z488" s="24"/>
      <c r="AA488" s="24"/>
      <c r="AD488" s="22"/>
      <c r="AE488" s="22"/>
      <c r="AF488" s="24"/>
    </row>
    <row r="489" spans="23:32" x14ac:dyDescent="0.25">
      <c r="W489" s="21"/>
      <c r="X489" s="21"/>
      <c r="Y489" s="24"/>
      <c r="Z489" s="24"/>
      <c r="AA489" s="24"/>
      <c r="AD489" s="22"/>
      <c r="AE489" s="22"/>
      <c r="AF489" s="24"/>
    </row>
    <row r="490" spans="23:32" x14ac:dyDescent="0.25">
      <c r="W490" s="21"/>
      <c r="X490" s="21"/>
      <c r="Y490" s="24"/>
      <c r="Z490" s="24"/>
      <c r="AA490" s="24"/>
      <c r="AD490" s="22"/>
      <c r="AE490" s="22"/>
      <c r="AF490" s="24"/>
    </row>
    <row r="491" spans="23:32" x14ac:dyDescent="0.25">
      <c r="W491" s="21"/>
      <c r="X491" s="21"/>
      <c r="Y491" s="24"/>
      <c r="Z491" s="24"/>
      <c r="AA491" s="24"/>
      <c r="AD491" s="22"/>
      <c r="AE491" s="22"/>
      <c r="AF491" s="24"/>
    </row>
    <row r="492" spans="23:32" x14ac:dyDescent="0.25">
      <c r="W492" s="21"/>
      <c r="X492" s="21"/>
      <c r="Y492" s="24"/>
      <c r="Z492" s="24"/>
      <c r="AA492" s="24"/>
      <c r="AD492" s="22"/>
      <c r="AE492" s="22"/>
      <c r="AF492" s="24"/>
    </row>
    <row r="493" spans="23:32" x14ac:dyDescent="0.25">
      <c r="W493" s="21"/>
      <c r="X493" s="21"/>
      <c r="Y493" s="24"/>
      <c r="Z493" s="24"/>
      <c r="AA493" s="24"/>
      <c r="AD493" s="22"/>
      <c r="AE493" s="22"/>
      <c r="AF493" s="24"/>
    </row>
    <row r="494" spans="23:32" x14ac:dyDescent="0.25">
      <c r="W494" s="21"/>
      <c r="X494" s="21"/>
      <c r="Y494" s="24"/>
      <c r="Z494" s="24"/>
      <c r="AA494" s="24"/>
      <c r="AD494" s="22"/>
      <c r="AE494" s="22"/>
      <c r="AF494" s="24"/>
    </row>
    <row r="495" spans="23:32" x14ac:dyDescent="0.25">
      <c r="W495" s="21"/>
      <c r="X495" s="21"/>
      <c r="Y495" s="24"/>
      <c r="Z495" s="24"/>
      <c r="AA495" s="24"/>
      <c r="AD495" s="22"/>
      <c r="AE495" s="22"/>
      <c r="AF495" s="24"/>
    </row>
    <row r="496" spans="23:32" x14ac:dyDescent="0.25">
      <c r="W496" s="21"/>
      <c r="X496" s="21"/>
      <c r="Y496" s="24"/>
      <c r="Z496" s="24"/>
      <c r="AA496" s="24"/>
      <c r="AD496" s="22"/>
      <c r="AE496" s="22"/>
      <c r="AF496" s="24"/>
    </row>
    <row r="497" spans="23:32" x14ac:dyDescent="0.25">
      <c r="W497" s="21"/>
      <c r="X497" s="21"/>
      <c r="Y497" s="24"/>
      <c r="Z497" s="24"/>
      <c r="AA497" s="24"/>
      <c r="AD497" s="22"/>
      <c r="AE497" s="22"/>
      <c r="AF497" s="24"/>
    </row>
    <row r="498" spans="23:32" x14ac:dyDescent="0.25">
      <c r="W498" s="21"/>
      <c r="X498" s="21"/>
      <c r="Y498" s="24"/>
      <c r="Z498" s="24"/>
      <c r="AA498" s="24"/>
      <c r="AD498" s="22"/>
      <c r="AE498" s="22"/>
      <c r="AF498" s="24"/>
    </row>
    <row r="499" spans="23:32" x14ac:dyDescent="0.25">
      <c r="W499" s="21"/>
      <c r="X499" s="21"/>
      <c r="Y499" s="24"/>
      <c r="Z499" s="24"/>
      <c r="AA499" s="24"/>
      <c r="AD499" s="22"/>
      <c r="AE499" s="22"/>
      <c r="AF499" s="24"/>
    </row>
    <row r="500" spans="23:32" x14ac:dyDescent="0.25">
      <c r="W500" s="21"/>
      <c r="X500" s="21"/>
      <c r="Y500" s="24"/>
      <c r="Z500" s="24"/>
      <c r="AA500" s="24"/>
      <c r="AD500" s="22"/>
      <c r="AE500" s="22"/>
      <c r="AF500" s="24"/>
    </row>
    <row r="501" spans="23:32" x14ac:dyDescent="0.25">
      <c r="W501" s="21"/>
      <c r="X501" s="21"/>
      <c r="Y501" s="24"/>
      <c r="Z501" s="24"/>
      <c r="AA501" s="24"/>
      <c r="AD501" s="22"/>
      <c r="AE501" s="22"/>
      <c r="AF501" s="24"/>
    </row>
    <row r="502" spans="23:32" x14ac:dyDescent="0.25">
      <c r="W502" s="21"/>
      <c r="X502" s="21"/>
      <c r="Y502" s="24"/>
      <c r="Z502" s="24"/>
      <c r="AA502" s="24"/>
      <c r="AD502" s="22"/>
      <c r="AE502" s="22"/>
      <c r="AF502" s="24"/>
    </row>
    <row r="503" spans="23:32" x14ac:dyDescent="0.25">
      <c r="W503" s="21"/>
      <c r="X503" s="21"/>
      <c r="Y503" s="24"/>
      <c r="Z503" s="24"/>
      <c r="AA503" s="24"/>
      <c r="AD503" s="22"/>
      <c r="AE503" s="22"/>
      <c r="AF503" s="24"/>
    </row>
    <row r="504" spans="23:32" x14ac:dyDescent="0.25">
      <c r="W504" s="21"/>
      <c r="X504" s="21"/>
      <c r="Y504" s="24"/>
      <c r="Z504" s="24"/>
      <c r="AA504" s="24"/>
      <c r="AD504" s="22"/>
      <c r="AE504" s="22"/>
      <c r="AF504" s="24"/>
    </row>
    <row r="505" spans="23:32" x14ac:dyDescent="0.25">
      <c r="W505" s="21"/>
      <c r="X505" s="21"/>
      <c r="Y505" s="24"/>
      <c r="Z505" s="24"/>
      <c r="AA505" s="24"/>
      <c r="AD505" s="22"/>
      <c r="AE505" s="22"/>
      <c r="AF505" s="24"/>
    </row>
    <row r="506" spans="23:32" x14ac:dyDescent="0.25">
      <c r="W506" s="21"/>
      <c r="X506" s="21"/>
      <c r="Y506" s="24"/>
      <c r="Z506" s="24"/>
      <c r="AA506" s="24"/>
      <c r="AD506" s="22"/>
      <c r="AE506" s="22"/>
      <c r="AF506" s="24"/>
    </row>
    <row r="507" spans="23:32" x14ac:dyDescent="0.25">
      <c r="W507" s="21"/>
      <c r="X507" s="21"/>
      <c r="Y507" s="24"/>
      <c r="Z507" s="24"/>
      <c r="AA507" s="24"/>
      <c r="AD507" s="22"/>
      <c r="AE507" s="22"/>
      <c r="AF507" s="24"/>
    </row>
    <row r="508" spans="23:32" x14ac:dyDescent="0.25">
      <c r="W508" s="21"/>
      <c r="X508" s="21"/>
      <c r="Y508" s="24"/>
      <c r="Z508" s="24"/>
      <c r="AA508" s="24"/>
      <c r="AD508" s="22"/>
      <c r="AE508" s="22"/>
      <c r="AF508" s="24"/>
    </row>
    <row r="509" spans="23:32" x14ac:dyDescent="0.25">
      <c r="W509" s="21"/>
      <c r="X509" s="21"/>
      <c r="Y509" s="24"/>
      <c r="Z509" s="24"/>
      <c r="AA509" s="24"/>
      <c r="AD509" s="22"/>
      <c r="AE509" s="22"/>
      <c r="AF509" s="24"/>
    </row>
    <row r="510" spans="23:32" x14ac:dyDescent="0.25">
      <c r="W510" s="21"/>
      <c r="X510" s="21"/>
      <c r="Y510" s="24"/>
      <c r="Z510" s="24"/>
      <c r="AA510" s="24"/>
      <c r="AD510" s="22"/>
      <c r="AE510" s="22"/>
      <c r="AF510" s="24"/>
    </row>
    <row r="511" spans="23:32" x14ac:dyDescent="0.25">
      <c r="W511" s="21"/>
      <c r="X511" s="21"/>
      <c r="Y511" s="24"/>
      <c r="Z511" s="24"/>
      <c r="AA511" s="24"/>
      <c r="AD511" s="22"/>
      <c r="AE511" s="22"/>
      <c r="AF511" s="24"/>
    </row>
    <row r="512" spans="23:32" x14ac:dyDescent="0.25">
      <c r="W512" s="21"/>
      <c r="X512" s="21"/>
      <c r="Y512" s="24"/>
      <c r="Z512" s="24"/>
      <c r="AA512" s="24"/>
      <c r="AD512" s="22"/>
      <c r="AE512" s="22"/>
      <c r="AF512" s="24"/>
    </row>
    <row r="513" spans="23:32" x14ac:dyDescent="0.25">
      <c r="W513" s="21"/>
      <c r="X513" s="21"/>
      <c r="Y513" s="24"/>
      <c r="Z513" s="24"/>
      <c r="AA513" s="24"/>
      <c r="AD513" s="22"/>
      <c r="AE513" s="22"/>
      <c r="AF513" s="24"/>
    </row>
    <row r="514" spans="23:32" x14ac:dyDescent="0.25">
      <c r="W514" s="21"/>
      <c r="X514" s="21"/>
      <c r="Y514" s="24"/>
      <c r="Z514" s="24"/>
      <c r="AA514" s="24"/>
      <c r="AD514" s="22"/>
      <c r="AE514" s="22"/>
      <c r="AF514" s="24"/>
    </row>
    <row r="515" spans="23:32" x14ac:dyDescent="0.25">
      <c r="W515" s="21"/>
      <c r="X515" s="21"/>
      <c r="Y515" s="24"/>
      <c r="Z515" s="24"/>
      <c r="AA515" s="24"/>
      <c r="AD515" s="22"/>
      <c r="AE515" s="22"/>
      <c r="AF515" s="24"/>
    </row>
    <row r="516" spans="23:32" x14ac:dyDescent="0.25">
      <c r="W516" s="21"/>
      <c r="X516" s="21"/>
      <c r="Y516" s="24"/>
      <c r="Z516" s="24"/>
      <c r="AA516" s="24"/>
      <c r="AD516" s="22"/>
      <c r="AE516" s="22"/>
      <c r="AF516" s="24"/>
    </row>
    <row r="517" spans="23:32" x14ac:dyDescent="0.25">
      <c r="W517" s="21"/>
      <c r="X517" s="21"/>
      <c r="Y517" s="24"/>
      <c r="Z517" s="24"/>
      <c r="AA517" s="24"/>
      <c r="AD517" s="22"/>
      <c r="AE517" s="22"/>
      <c r="AF517" s="24"/>
    </row>
    <row r="518" spans="23:32" x14ac:dyDescent="0.25">
      <c r="W518" s="21"/>
      <c r="X518" s="21"/>
      <c r="Y518" s="24"/>
      <c r="Z518" s="24"/>
      <c r="AA518" s="24"/>
      <c r="AD518" s="22"/>
      <c r="AE518" s="22"/>
      <c r="AF518" s="24"/>
    </row>
    <row r="519" spans="23:32" x14ac:dyDescent="0.25">
      <c r="W519" s="21"/>
      <c r="X519" s="21"/>
      <c r="Y519" s="24"/>
      <c r="Z519" s="24"/>
      <c r="AA519" s="24"/>
      <c r="AD519" s="22"/>
      <c r="AE519" s="22"/>
      <c r="AF519" s="24"/>
    </row>
    <row r="520" spans="23:32" x14ac:dyDescent="0.25">
      <c r="W520" s="21"/>
      <c r="X520" s="21"/>
      <c r="Y520" s="24"/>
      <c r="Z520" s="24"/>
      <c r="AA520" s="24"/>
      <c r="AD520" s="22"/>
      <c r="AE520" s="22"/>
      <c r="AF520" s="24"/>
    </row>
    <row r="521" spans="23:32" x14ac:dyDescent="0.25">
      <c r="W521" s="21"/>
      <c r="X521" s="21"/>
      <c r="Y521" s="24"/>
      <c r="Z521" s="24"/>
      <c r="AA521" s="24"/>
      <c r="AD521" s="22"/>
      <c r="AE521" s="22"/>
      <c r="AF521" s="24"/>
    </row>
    <row r="522" spans="23:32" x14ac:dyDescent="0.25">
      <c r="W522" s="21"/>
      <c r="X522" s="21"/>
      <c r="Y522" s="24"/>
      <c r="Z522" s="24"/>
      <c r="AA522" s="24"/>
      <c r="AD522" s="22"/>
      <c r="AE522" s="22"/>
      <c r="AF522" s="24"/>
    </row>
    <row r="523" spans="23:32" x14ac:dyDescent="0.25">
      <c r="W523" s="21"/>
      <c r="X523" s="21"/>
      <c r="Y523" s="24"/>
      <c r="Z523" s="24"/>
      <c r="AA523" s="24"/>
      <c r="AD523" s="22"/>
      <c r="AE523" s="22"/>
      <c r="AF523" s="24"/>
    </row>
    <row r="524" spans="23:32" x14ac:dyDescent="0.25">
      <c r="W524" s="21"/>
      <c r="X524" s="21"/>
      <c r="Y524" s="24"/>
      <c r="Z524" s="24"/>
      <c r="AA524" s="24"/>
      <c r="AD524" s="22"/>
      <c r="AE524" s="22"/>
      <c r="AF524" s="24"/>
    </row>
    <row r="525" spans="23:32" x14ac:dyDescent="0.25">
      <c r="W525" s="21"/>
      <c r="X525" s="21"/>
      <c r="Y525" s="24"/>
      <c r="Z525" s="24"/>
      <c r="AA525" s="24"/>
      <c r="AD525" s="22"/>
      <c r="AE525" s="22"/>
      <c r="AF525" s="24"/>
    </row>
    <row r="526" spans="23:32" x14ac:dyDescent="0.25">
      <c r="W526" s="21"/>
      <c r="X526" s="21"/>
      <c r="Y526" s="24"/>
      <c r="Z526" s="24"/>
      <c r="AA526" s="24"/>
      <c r="AD526" s="22"/>
      <c r="AE526" s="22"/>
      <c r="AF526" s="24"/>
    </row>
    <row r="527" spans="23:32" x14ac:dyDescent="0.25">
      <c r="W527" s="21"/>
      <c r="X527" s="21"/>
      <c r="Y527" s="24"/>
      <c r="Z527" s="24"/>
      <c r="AA527" s="24"/>
      <c r="AD527" s="22"/>
      <c r="AE527" s="22"/>
      <c r="AF527" s="24"/>
    </row>
    <row r="528" spans="23:32" x14ac:dyDescent="0.25">
      <c r="W528" s="21"/>
      <c r="X528" s="21"/>
      <c r="Y528" s="24"/>
      <c r="Z528" s="24"/>
      <c r="AA528" s="24"/>
      <c r="AD528" s="22"/>
      <c r="AE528" s="22"/>
      <c r="AF528" s="24"/>
    </row>
    <row r="529" spans="23:32" x14ac:dyDescent="0.25">
      <c r="W529" s="21"/>
      <c r="X529" s="21"/>
      <c r="Y529" s="24"/>
      <c r="Z529" s="24"/>
      <c r="AA529" s="24"/>
      <c r="AD529" s="22"/>
      <c r="AE529" s="22"/>
      <c r="AF529" s="24"/>
    </row>
    <row r="530" spans="23:32" x14ac:dyDescent="0.25">
      <c r="W530" s="21"/>
      <c r="X530" s="21"/>
      <c r="Y530" s="24"/>
      <c r="Z530" s="24"/>
      <c r="AA530" s="24"/>
      <c r="AD530" s="22"/>
      <c r="AE530" s="22"/>
      <c r="AF530" s="24"/>
    </row>
    <row r="531" spans="23:32" x14ac:dyDescent="0.25">
      <c r="W531" s="21"/>
      <c r="X531" s="21"/>
      <c r="Y531" s="24"/>
      <c r="Z531" s="24"/>
      <c r="AA531" s="24"/>
      <c r="AD531" s="22"/>
      <c r="AE531" s="22"/>
      <c r="AF531" s="24"/>
    </row>
    <row r="532" spans="23:32" x14ac:dyDescent="0.25">
      <c r="W532" s="21"/>
      <c r="X532" s="21"/>
      <c r="Y532" s="24"/>
      <c r="Z532" s="24"/>
      <c r="AA532" s="24"/>
      <c r="AD532" s="22"/>
      <c r="AE532" s="22"/>
      <c r="AF532" s="24"/>
    </row>
    <row r="533" spans="23:32" x14ac:dyDescent="0.25">
      <c r="W533" s="21"/>
      <c r="X533" s="21"/>
      <c r="Y533" s="24"/>
      <c r="Z533" s="24"/>
      <c r="AA533" s="24"/>
      <c r="AD533" s="22"/>
      <c r="AE533" s="22"/>
      <c r="AF533" s="24"/>
    </row>
    <row r="534" spans="23:32" x14ac:dyDescent="0.25">
      <c r="W534" s="21"/>
      <c r="X534" s="21"/>
      <c r="Y534" s="24"/>
      <c r="Z534" s="24"/>
      <c r="AA534" s="24"/>
      <c r="AD534" s="22"/>
      <c r="AE534" s="22"/>
      <c r="AF534" s="24"/>
    </row>
    <row r="535" spans="23:32" x14ac:dyDescent="0.25">
      <c r="W535" s="21"/>
      <c r="X535" s="21"/>
      <c r="Y535" s="24"/>
      <c r="Z535" s="24"/>
      <c r="AA535" s="24"/>
      <c r="AD535" s="22"/>
      <c r="AE535" s="22"/>
      <c r="AF535" s="24"/>
    </row>
    <row r="536" spans="23:32" x14ac:dyDescent="0.25">
      <c r="W536" s="21"/>
      <c r="X536" s="21"/>
      <c r="Y536" s="24"/>
      <c r="Z536" s="24"/>
      <c r="AA536" s="24"/>
      <c r="AD536" s="22"/>
      <c r="AE536" s="22"/>
      <c r="AF536" s="24"/>
    </row>
    <row r="537" spans="23:32" x14ac:dyDescent="0.25">
      <c r="W537" s="21"/>
      <c r="X537" s="21"/>
      <c r="Y537" s="24"/>
      <c r="Z537" s="24"/>
      <c r="AA537" s="24"/>
      <c r="AD537" s="22"/>
      <c r="AE537" s="22"/>
      <c r="AF537" s="24"/>
    </row>
    <row r="538" spans="23:32" x14ac:dyDescent="0.25">
      <c r="W538" s="21"/>
      <c r="X538" s="21"/>
      <c r="Y538" s="24"/>
      <c r="Z538" s="24"/>
      <c r="AA538" s="24"/>
      <c r="AD538" s="22"/>
      <c r="AE538" s="22"/>
      <c r="AF538" s="24"/>
    </row>
    <row r="539" spans="23:32" x14ac:dyDescent="0.25">
      <c r="W539" s="21"/>
      <c r="X539" s="21"/>
      <c r="Y539" s="24"/>
      <c r="Z539" s="24"/>
      <c r="AA539" s="24"/>
      <c r="AD539" s="22"/>
      <c r="AE539" s="22"/>
      <c r="AF539" s="24"/>
    </row>
    <row r="540" spans="23:32" x14ac:dyDescent="0.25">
      <c r="W540" s="21"/>
      <c r="X540" s="21"/>
      <c r="Y540" s="24"/>
      <c r="Z540" s="24"/>
      <c r="AA540" s="24"/>
      <c r="AD540" s="22"/>
      <c r="AE540" s="22"/>
      <c r="AF540" s="24"/>
    </row>
    <row r="541" spans="23:32" x14ac:dyDescent="0.25">
      <c r="W541" s="21"/>
      <c r="X541" s="21"/>
      <c r="Y541" s="24"/>
      <c r="Z541" s="24"/>
      <c r="AA541" s="24"/>
      <c r="AD541" s="22"/>
      <c r="AE541" s="22"/>
      <c r="AF541" s="24"/>
    </row>
    <row r="542" spans="23:32" x14ac:dyDescent="0.25">
      <c r="W542" s="21"/>
      <c r="X542" s="21"/>
      <c r="Y542" s="24"/>
      <c r="Z542" s="24"/>
      <c r="AA542" s="24"/>
      <c r="AD542" s="22"/>
      <c r="AE542" s="22"/>
      <c r="AF542" s="24"/>
    </row>
    <row r="543" spans="23:32" x14ac:dyDescent="0.25">
      <c r="W543" s="21"/>
      <c r="X543" s="21"/>
      <c r="Y543" s="24"/>
      <c r="Z543" s="24"/>
      <c r="AA543" s="24"/>
      <c r="AD543" s="22"/>
      <c r="AE543" s="22"/>
      <c r="AF543" s="24"/>
    </row>
    <row r="544" spans="23:32" x14ac:dyDescent="0.25">
      <c r="W544" s="21"/>
      <c r="X544" s="21"/>
      <c r="Y544" s="24"/>
      <c r="Z544" s="24"/>
      <c r="AA544" s="24"/>
      <c r="AD544" s="22"/>
      <c r="AE544" s="22"/>
      <c r="AF544" s="24"/>
    </row>
    <row r="545" spans="23:32" x14ac:dyDescent="0.25">
      <c r="W545" s="21"/>
      <c r="X545" s="21"/>
      <c r="Y545" s="24"/>
      <c r="Z545" s="24"/>
      <c r="AA545" s="24"/>
      <c r="AD545" s="22"/>
      <c r="AE545" s="22"/>
      <c r="AF545" s="24"/>
    </row>
    <row r="546" spans="23:32" x14ac:dyDescent="0.25">
      <c r="W546" s="21"/>
      <c r="X546" s="21"/>
      <c r="Y546" s="24"/>
      <c r="Z546" s="24"/>
      <c r="AA546" s="24"/>
      <c r="AD546" s="22"/>
      <c r="AE546" s="22"/>
      <c r="AF546" s="24"/>
    </row>
    <row r="547" spans="23:32" x14ac:dyDescent="0.25">
      <c r="W547" s="21"/>
      <c r="X547" s="21"/>
      <c r="Y547" s="24"/>
      <c r="Z547" s="24"/>
      <c r="AA547" s="24"/>
      <c r="AD547" s="22"/>
      <c r="AE547" s="22"/>
      <c r="AF547" s="24"/>
    </row>
    <row r="548" spans="23:32" x14ac:dyDescent="0.25">
      <c r="W548" s="21"/>
      <c r="X548" s="21"/>
      <c r="Y548" s="24"/>
      <c r="Z548" s="24"/>
      <c r="AA548" s="24"/>
      <c r="AD548" s="22"/>
      <c r="AE548" s="22"/>
      <c r="AF548" s="24"/>
    </row>
    <row r="549" spans="23:32" x14ac:dyDescent="0.25">
      <c r="W549" s="21"/>
      <c r="X549" s="21"/>
      <c r="Y549" s="24"/>
      <c r="Z549" s="24"/>
      <c r="AA549" s="24"/>
      <c r="AD549" s="22"/>
      <c r="AE549" s="22"/>
      <c r="AF549" s="24"/>
    </row>
    <row r="550" spans="23:32" x14ac:dyDescent="0.25">
      <c r="W550" s="21"/>
      <c r="X550" s="21"/>
      <c r="Y550" s="24"/>
      <c r="Z550" s="24"/>
      <c r="AA550" s="24"/>
      <c r="AD550" s="22"/>
      <c r="AE550" s="22"/>
      <c r="AF550" s="24"/>
    </row>
    <row r="551" spans="23:32" x14ac:dyDescent="0.25">
      <c r="W551" s="21"/>
      <c r="X551" s="21"/>
      <c r="Y551" s="24"/>
      <c r="Z551" s="24"/>
      <c r="AA551" s="24"/>
      <c r="AD551" s="22"/>
      <c r="AE551" s="22"/>
      <c r="AF551" s="24"/>
    </row>
    <row r="552" spans="23:32" x14ac:dyDescent="0.25">
      <c r="W552" s="21"/>
      <c r="X552" s="21"/>
      <c r="Y552" s="24"/>
      <c r="Z552" s="24"/>
      <c r="AA552" s="24"/>
      <c r="AD552" s="22"/>
      <c r="AE552" s="22"/>
      <c r="AF552" s="24"/>
    </row>
    <row r="553" spans="23:32" x14ac:dyDescent="0.25">
      <c r="W553" s="21"/>
      <c r="X553" s="21"/>
      <c r="Y553" s="24"/>
      <c r="Z553" s="24"/>
      <c r="AA553" s="24"/>
      <c r="AD553" s="22"/>
      <c r="AE553" s="22"/>
      <c r="AF553" s="24"/>
    </row>
    <row r="554" spans="23:32" x14ac:dyDescent="0.25">
      <c r="W554" s="21"/>
      <c r="X554" s="21"/>
      <c r="Y554" s="24"/>
      <c r="Z554" s="24"/>
      <c r="AA554" s="24"/>
      <c r="AD554" s="22"/>
      <c r="AE554" s="22"/>
      <c r="AF554" s="24"/>
    </row>
    <row r="555" spans="23:32" x14ac:dyDescent="0.25">
      <c r="W555" s="21"/>
      <c r="X555" s="21"/>
      <c r="Y555" s="24"/>
      <c r="Z555" s="24"/>
      <c r="AA555" s="24"/>
      <c r="AD555" s="22"/>
      <c r="AE555" s="22"/>
      <c r="AF555" s="24"/>
    </row>
    <row r="556" spans="23:32" x14ac:dyDescent="0.25">
      <c r="W556" s="21"/>
      <c r="X556" s="21"/>
      <c r="Y556" s="24"/>
      <c r="Z556" s="24"/>
      <c r="AA556" s="24"/>
      <c r="AD556" s="22"/>
      <c r="AE556" s="22"/>
      <c r="AF556" s="24"/>
    </row>
    <row r="557" spans="23:32" x14ac:dyDescent="0.25">
      <c r="W557" s="21"/>
      <c r="X557" s="21"/>
      <c r="Y557" s="24"/>
      <c r="Z557" s="24"/>
      <c r="AA557" s="24"/>
      <c r="AD557" s="22"/>
      <c r="AE557" s="22"/>
      <c r="AF557" s="24"/>
    </row>
    <row r="558" spans="23:32" x14ac:dyDescent="0.25">
      <c r="W558" s="21"/>
      <c r="X558" s="21"/>
      <c r="Y558" s="24"/>
      <c r="Z558" s="24"/>
      <c r="AA558" s="24"/>
      <c r="AD558" s="22"/>
      <c r="AE558" s="22"/>
      <c r="AF558" s="24"/>
    </row>
    <row r="559" spans="23:32" x14ac:dyDescent="0.25">
      <c r="W559" s="21"/>
      <c r="X559" s="21"/>
      <c r="Y559" s="24"/>
      <c r="Z559" s="24"/>
      <c r="AA559" s="24"/>
      <c r="AD559" s="22"/>
      <c r="AE559" s="22"/>
      <c r="AF559" s="24"/>
    </row>
    <row r="560" spans="23:32" x14ac:dyDescent="0.25">
      <c r="W560" s="21"/>
      <c r="X560" s="21"/>
      <c r="Y560" s="24"/>
      <c r="Z560" s="24"/>
      <c r="AA560" s="24"/>
      <c r="AD560" s="22"/>
      <c r="AE560" s="22"/>
      <c r="AF560" s="24"/>
    </row>
    <row r="561" spans="23:32" x14ac:dyDescent="0.25">
      <c r="W561" s="21"/>
      <c r="X561" s="21"/>
      <c r="Y561" s="24"/>
      <c r="Z561" s="24"/>
      <c r="AA561" s="24"/>
      <c r="AD561" s="22"/>
      <c r="AE561" s="22"/>
      <c r="AF561" s="24"/>
    </row>
    <row r="562" spans="23:32" x14ac:dyDescent="0.25">
      <c r="W562" s="21"/>
      <c r="X562" s="21"/>
      <c r="Y562" s="24"/>
      <c r="Z562" s="24"/>
      <c r="AA562" s="24"/>
      <c r="AD562" s="22"/>
      <c r="AE562" s="22"/>
      <c r="AF562" s="24"/>
    </row>
    <row r="563" spans="23:32" x14ac:dyDescent="0.25">
      <c r="W563" s="21"/>
      <c r="X563" s="21"/>
      <c r="Y563" s="24"/>
      <c r="Z563" s="24"/>
      <c r="AA563" s="24"/>
      <c r="AD563" s="22"/>
      <c r="AE563" s="22"/>
      <c r="AF563" s="24"/>
    </row>
    <row r="564" spans="23:32" x14ac:dyDescent="0.25">
      <c r="W564" s="21"/>
      <c r="X564" s="21"/>
      <c r="Y564" s="24"/>
      <c r="Z564" s="24"/>
      <c r="AA564" s="24"/>
      <c r="AD564" s="22"/>
      <c r="AE564" s="22"/>
      <c r="AF564" s="24"/>
    </row>
    <row r="565" spans="23:32" x14ac:dyDescent="0.25">
      <c r="W565" s="21"/>
      <c r="X565" s="21"/>
      <c r="Y565" s="24"/>
      <c r="Z565" s="24"/>
      <c r="AA565" s="24"/>
      <c r="AD565" s="22"/>
      <c r="AE565" s="22"/>
      <c r="AF565" s="24"/>
    </row>
    <row r="566" spans="23:32" x14ac:dyDescent="0.25">
      <c r="W566" s="21"/>
      <c r="X566" s="21"/>
      <c r="Y566" s="24"/>
      <c r="Z566" s="24"/>
      <c r="AA566" s="24"/>
      <c r="AD566" s="22"/>
      <c r="AE566" s="22"/>
      <c r="AF566" s="24"/>
    </row>
    <row r="567" spans="23:32" x14ac:dyDescent="0.25">
      <c r="W567" s="21"/>
      <c r="X567" s="21"/>
      <c r="Y567" s="24"/>
      <c r="Z567" s="24"/>
      <c r="AA567" s="24"/>
      <c r="AD567" s="22"/>
      <c r="AE567" s="22"/>
      <c r="AF567" s="24"/>
    </row>
    <row r="568" spans="23:32" x14ac:dyDescent="0.25">
      <c r="W568" s="21"/>
      <c r="X568" s="21"/>
      <c r="Y568" s="24"/>
      <c r="Z568" s="24"/>
      <c r="AA568" s="24"/>
      <c r="AD568" s="22"/>
      <c r="AE568" s="22"/>
      <c r="AF568" s="24"/>
    </row>
    <row r="569" spans="23:32" x14ac:dyDescent="0.25">
      <c r="W569" s="21"/>
      <c r="X569" s="21"/>
      <c r="Y569" s="24"/>
      <c r="Z569" s="24"/>
      <c r="AA569" s="24"/>
      <c r="AD569" s="22"/>
      <c r="AE569" s="22"/>
      <c r="AF569" s="24"/>
    </row>
    <row r="570" spans="23:32" x14ac:dyDescent="0.25">
      <c r="W570" s="21"/>
      <c r="X570" s="21"/>
      <c r="Y570" s="24"/>
      <c r="Z570" s="24"/>
      <c r="AA570" s="24"/>
      <c r="AD570" s="22"/>
      <c r="AE570" s="22"/>
      <c r="AF570" s="24"/>
    </row>
    <row r="571" spans="23:32" x14ac:dyDescent="0.25">
      <c r="W571" s="21"/>
      <c r="X571" s="21"/>
      <c r="Y571" s="24"/>
      <c r="Z571" s="24"/>
      <c r="AA571" s="24"/>
      <c r="AD571" s="22"/>
      <c r="AE571" s="22"/>
      <c r="AF571" s="24"/>
    </row>
    <row r="572" spans="23:32" x14ac:dyDescent="0.25">
      <c r="W572" s="21"/>
      <c r="X572" s="21"/>
      <c r="Y572" s="24"/>
      <c r="Z572" s="24"/>
      <c r="AA572" s="24"/>
      <c r="AD572" s="22"/>
      <c r="AE572" s="22"/>
      <c r="AF572" s="24"/>
    </row>
    <row r="573" spans="23:32" x14ac:dyDescent="0.25">
      <c r="W573" s="21"/>
      <c r="X573" s="21"/>
      <c r="Y573" s="24"/>
      <c r="Z573" s="24"/>
      <c r="AA573" s="24"/>
      <c r="AD573" s="22"/>
      <c r="AE573" s="22"/>
      <c r="AF573" s="24"/>
    </row>
    <row r="574" spans="23:32" x14ac:dyDescent="0.25">
      <c r="W574" s="21"/>
      <c r="X574" s="21"/>
      <c r="Y574" s="24"/>
      <c r="Z574" s="24"/>
      <c r="AA574" s="24"/>
      <c r="AD574" s="22"/>
      <c r="AE574" s="22"/>
      <c r="AF574" s="24"/>
    </row>
    <row r="575" spans="23:32" x14ac:dyDescent="0.25">
      <c r="W575" s="21"/>
      <c r="X575" s="21"/>
      <c r="Y575" s="24"/>
      <c r="Z575" s="24"/>
      <c r="AA575" s="24"/>
      <c r="AD575" s="22"/>
      <c r="AE575" s="22"/>
      <c r="AF575" s="24"/>
    </row>
    <row r="576" spans="23:32" x14ac:dyDescent="0.25">
      <c r="W576" s="21"/>
      <c r="X576" s="21"/>
      <c r="Y576" s="24"/>
      <c r="Z576" s="24"/>
      <c r="AA576" s="24"/>
      <c r="AD576" s="22"/>
      <c r="AE576" s="22"/>
      <c r="AF576" s="24"/>
    </row>
    <row r="577" spans="23:32" x14ac:dyDescent="0.25">
      <c r="W577" s="21"/>
      <c r="X577" s="21"/>
      <c r="Y577" s="24"/>
      <c r="Z577" s="24"/>
      <c r="AA577" s="24"/>
      <c r="AD577" s="22"/>
      <c r="AE577" s="22"/>
      <c r="AF577" s="24"/>
    </row>
    <row r="578" spans="23:32" x14ac:dyDescent="0.25">
      <c r="W578" s="21"/>
      <c r="X578" s="21"/>
      <c r="Y578" s="24"/>
      <c r="Z578" s="24"/>
      <c r="AA578" s="24"/>
      <c r="AD578" s="22"/>
      <c r="AE578" s="22"/>
      <c r="AF578" s="24"/>
    </row>
    <row r="579" spans="23:32" x14ac:dyDescent="0.25">
      <c r="W579" s="21"/>
      <c r="X579" s="21"/>
      <c r="Y579" s="24"/>
      <c r="Z579" s="24"/>
      <c r="AA579" s="24"/>
      <c r="AD579" s="22"/>
      <c r="AE579" s="22"/>
      <c r="AF579" s="24"/>
    </row>
    <row r="580" spans="23:32" x14ac:dyDescent="0.25">
      <c r="W580" s="21"/>
      <c r="X580" s="21"/>
      <c r="Y580" s="24"/>
      <c r="Z580" s="24"/>
      <c r="AA580" s="24"/>
      <c r="AD580" s="22"/>
      <c r="AE580" s="22"/>
      <c r="AF580" s="24"/>
    </row>
    <row r="581" spans="23:32" x14ac:dyDescent="0.25">
      <c r="W581" s="21"/>
      <c r="X581" s="21"/>
      <c r="Y581" s="24"/>
      <c r="Z581" s="24"/>
      <c r="AA581" s="24"/>
      <c r="AD581" s="22"/>
      <c r="AE581" s="22"/>
      <c r="AF581" s="24"/>
    </row>
    <row r="582" spans="23:32" x14ac:dyDescent="0.25">
      <c r="W582" s="21"/>
      <c r="X582" s="21"/>
      <c r="Y582" s="24"/>
      <c r="Z582" s="24"/>
      <c r="AA582" s="24"/>
      <c r="AD582" s="22"/>
      <c r="AE582" s="22"/>
      <c r="AF582" s="24"/>
    </row>
    <row r="583" spans="23:32" x14ac:dyDescent="0.25">
      <c r="W583" s="21"/>
      <c r="X583" s="21"/>
      <c r="Y583" s="24"/>
      <c r="Z583" s="24"/>
      <c r="AA583" s="24"/>
      <c r="AD583" s="22"/>
      <c r="AE583" s="22"/>
      <c r="AF583" s="24"/>
    </row>
    <row r="584" spans="23:32" x14ac:dyDescent="0.25">
      <c r="W584" s="21"/>
      <c r="X584" s="21"/>
      <c r="Y584" s="24"/>
      <c r="Z584" s="24"/>
      <c r="AA584" s="24"/>
      <c r="AD584" s="22"/>
      <c r="AE584" s="22"/>
      <c r="AF584" s="24"/>
    </row>
    <row r="585" spans="23:32" x14ac:dyDescent="0.25">
      <c r="W585" s="21"/>
      <c r="X585" s="21"/>
      <c r="Y585" s="24"/>
      <c r="Z585" s="24"/>
      <c r="AA585" s="24"/>
      <c r="AD585" s="22"/>
      <c r="AE585" s="22"/>
      <c r="AF585" s="24"/>
    </row>
    <row r="586" spans="23:32" x14ac:dyDescent="0.25">
      <c r="W586" s="21"/>
      <c r="X586" s="21"/>
      <c r="Y586" s="24"/>
      <c r="Z586" s="24"/>
      <c r="AA586" s="24"/>
      <c r="AD586" s="22"/>
      <c r="AE586" s="22"/>
      <c r="AF586" s="24"/>
    </row>
    <row r="587" spans="23:32" x14ac:dyDescent="0.25">
      <c r="W587" s="21"/>
      <c r="X587" s="21"/>
      <c r="Y587" s="24"/>
      <c r="Z587" s="24"/>
      <c r="AA587" s="24"/>
      <c r="AD587" s="22"/>
      <c r="AE587" s="22"/>
      <c r="AF587" s="24"/>
    </row>
    <row r="588" spans="23:32" x14ac:dyDescent="0.25">
      <c r="W588" s="21"/>
      <c r="X588" s="21"/>
      <c r="Y588" s="24"/>
      <c r="Z588" s="24"/>
      <c r="AA588" s="24"/>
      <c r="AD588" s="22"/>
      <c r="AE588" s="22"/>
      <c r="AF588" s="24"/>
    </row>
    <row r="589" spans="23:32" x14ac:dyDescent="0.25">
      <c r="W589" s="21"/>
      <c r="X589" s="21"/>
      <c r="Y589" s="24"/>
      <c r="Z589" s="24"/>
      <c r="AA589" s="24"/>
      <c r="AD589" s="22"/>
      <c r="AE589" s="22"/>
      <c r="AF589" s="24"/>
    </row>
    <row r="590" spans="23:32" x14ac:dyDescent="0.25">
      <c r="W590" s="21"/>
      <c r="X590" s="21"/>
      <c r="Y590" s="24"/>
      <c r="Z590" s="24"/>
      <c r="AA590" s="24"/>
      <c r="AD590" s="22"/>
      <c r="AE590" s="22"/>
      <c r="AF590" s="24"/>
    </row>
    <row r="591" spans="23:32" x14ac:dyDescent="0.25">
      <c r="W591" s="21"/>
      <c r="X591" s="21"/>
      <c r="Y591" s="24"/>
      <c r="Z591" s="24"/>
      <c r="AA591" s="24"/>
      <c r="AD591" s="22"/>
      <c r="AE591" s="22"/>
      <c r="AF591" s="24"/>
    </row>
    <row r="592" spans="23:32" x14ac:dyDescent="0.25">
      <c r="W592" s="21"/>
      <c r="X592" s="21"/>
      <c r="Y592" s="24"/>
      <c r="Z592" s="24"/>
      <c r="AA592" s="24"/>
      <c r="AD592" s="22"/>
      <c r="AE592" s="22"/>
      <c r="AF592" s="24"/>
    </row>
    <row r="593" spans="23:32" x14ac:dyDescent="0.25">
      <c r="W593" s="21"/>
      <c r="X593" s="21"/>
      <c r="Y593" s="24"/>
      <c r="Z593" s="24"/>
      <c r="AA593" s="24"/>
      <c r="AD593" s="22"/>
      <c r="AE593" s="22"/>
      <c r="AF593" s="24"/>
    </row>
    <row r="594" spans="23:32" x14ac:dyDescent="0.25">
      <c r="W594" s="21"/>
      <c r="X594" s="21"/>
      <c r="Y594" s="24"/>
      <c r="Z594" s="24"/>
      <c r="AA594" s="24"/>
      <c r="AD594" s="22"/>
      <c r="AE594" s="22"/>
      <c r="AF594" s="24"/>
    </row>
    <row r="595" spans="23:32" x14ac:dyDescent="0.25">
      <c r="W595" s="21"/>
      <c r="X595" s="21"/>
      <c r="Y595" s="24"/>
      <c r="Z595" s="24"/>
      <c r="AA595" s="24"/>
      <c r="AD595" s="22"/>
      <c r="AE595" s="22"/>
      <c r="AF595" s="24"/>
    </row>
    <row r="596" spans="23:32" x14ac:dyDescent="0.25">
      <c r="W596" s="21"/>
      <c r="X596" s="21"/>
      <c r="Y596" s="24"/>
      <c r="Z596" s="24"/>
      <c r="AA596" s="24"/>
      <c r="AD596" s="22"/>
      <c r="AE596" s="22"/>
      <c r="AF596" s="24"/>
    </row>
    <row r="597" spans="23:32" x14ac:dyDescent="0.25">
      <c r="W597" s="21"/>
      <c r="X597" s="21"/>
      <c r="Y597" s="24"/>
      <c r="Z597" s="24"/>
      <c r="AA597" s="24"/>
      <c r="AD597" s="22"/>
      <c r="AE597" s="22"/>
      <c r="AF597" s="24"/>
    </row>
    <row r="598" spans="23:32" x14ac:dyDescent="0.25">
      <c r="W598" s="21"/>
      <c r="X598" s="21"/>
      <c r="Y598" s="24"/>
      <c r="Z598" s="24"/>
      <c r="AA598" s="24"/>
      <c r="AD598" s="22"/>
      <c r="AE598" s="22"/>
      <c r="AF598" s="24"/>
    </row>
    <row r="599" spans="23:32" x14ac:dyDescent="0.25">
      <c r="W599" s="21"/>
      <c r="X599" s="21"/>
      <c r="Y599" s="24"/>
      <c r="Z599" s="24"/>
      <c r="AA599" s="24"/>
      <c r="AD599" s="22"/>
      <c r="AE599" s="22"/>
      <c r="AF599" s="24"/>
    </row>
    <row r="600" spans="23:32" x14ac:dyDescent="0.25">
      <c r="W600" s="21"/>
      <c r="X600" s="21"/>
      <c r="Y600" s="24"/>
      <c r="Z600" s="24"/>
      <c r="AA600" s="24"/>
      <c r="AD600" s="22"/>
      <c r="AE600" s="22"/>
      <c r="AF600" s="24"/>
    </row>
    <row r="601" spans="23:32" x14ac:dyDescent="0.25">
      <c r="W601" s="21"/>
      <c r="X601" s="21"/>
      <c r="Y601" s="24"/>
      <c r="Z601" s="24"/>
      <c r="AA601" s="24"/>
      <c r="AD601" s="22"/>
      <c r="AE601" s="22"/>
      <c r="AF601" s="24"/>
    </row>
    <row r="602" spans="23:32" x14ac:dyDescent="0.25">
      <c r="W602" s="21"/>
      <c r="X602" s="21"/>
      <c r="Y602" s="24"/>
      <c r="Z602" s="24"/>
      <c r="AA602" s="24"/>
      <c r="AD602" s="22"/>
      <c r="AE602" s="22"/>
      <c r="AF602" s="24"/>
    </row>
    <row r="603" spans="23:32" x14ac:dyDescent="0.25">
      <c r="W603" s="21"/>
      <c r="X603" s="21"/>
      <c r="Y603" s="24"/>
      <c r="Z603" s="24"/>
      <c r="AA603" s="24"/>
      <c r="AD603" s="22"/>
      <c r="AE603" s="22"/>
      <c r="AF603" s="24"/>
    </row>
    <row r="604" spans="23:32" x14ac:dyDescent="0.25">
      <c r="W604" s="21"/>
      <c r="X604" s="21"/>
      <c r="Y604" s="24"/>
      <c r="Z604" s="24"/>
      <c r="AA604" s="24"/>
      <c r="AD604" s="22"/>
      <c r="AE604" s="22"/>
      <c r="AF604" s="24"/>
    </row>
    <row r="605" spans="23:32" x14ac:dyDescent="0.25">
      <c r="W605" s="21"/>
      <c r="X605" s="21"/>
      <c r="Y605" s="24"/>
      <c r="Z605" s="24"/>
      <c r="AA605" s="24"/>
      <c r="AD605" s="22"/>
      <c r="AE605" s="22"/>
      <c r="AF605" s="24"/>
    </row>
    <row r="606" spans="23:32" x14ac:dyDescent="0.25">
      <c r="W606" s="21"/>
      <c r="X606" s="21"/>
      <c r="Y606" s="24"/>
      <c r="Z606" s="24"/>
      <c r="AA606" s="24"/>
      <c r="AD606" s="22"/>
      <c r="AE606" s="22"/>
      <c r="AF606" s="24"/>
    </row>
    <row r="607" spans="23:32" x14ac:dyDescent="0.25">
      <c r="W607" s="21"/>
      <c r="X607" s="21"/>
      <c r="Y607" s="24"/>
      <c r="Z607" s="24"/>
      <c r="AA607" s="24"/>
      <c r="AD607" s="22"/>
      <c r="AE607" s="22"/>
      <c r="AF607" s="24"/>
    </row>
    <row r="608" spans="23:32" x14ac:dyDescent="0.25">
      <c r="W608" s="21"/>
      <c r="X608" s="21"/>
      <c r="Y608" s="24"/>
      <c r="Z608" s="24"/>
      <c r="AA608" s="24"/>
      <c r="AD608" s="22"/>
      <c r="AE608" s="22"/>
      <c r="AF608" s="24"/>
    </row>
    <row r="609" spans="22:32" x14ac:dyDescent="0.25">
      <c r="W609" s="21"/>
      <c r="X609" s="21"/>
      <c r="Y609" s="24"/>
      <c r="Z609" s="24"/>
      <c r="AA609" s="24"/>
      <c r="AD609" s="22"/>
      <c r="AE609" s="22"/>
      <c r="AF609" s="24"/>
    </row>
    <row r="610" spans="22:32" x14ac:dyDescent="0.25">
      <c r="W610" s="21"/>
      <c r="X610" s="21"/>
      <c r="Y610" s="24"/>
      <c r="Z610" s="24"/>
      <c r="AA610" s="24"/>
      <c r="AD610" s="22"/>
      <c r="AE610" s="22"/>
      <c r="AF610" s="24"/>
    </row>
    <row r="611" spans="22:32" x14ac:dyDescent="0.25">
      <c r="V611"/>
      <c r="W611"/>
      <c r="X611"/>
      <c r="Y611"/>
      <c r="Z611"/>
      <c r="AA611"/>
      <c r="AB611"/>
      <c r="AC611"/>
      <c r="AD611"/>
      <c r="AE611"/>
      <c r="AF611"/>
    </row>
    <row r="612" spans="22:32" x14ac:dyDescent="0.25">
      <c r="V612"/>
      <c r="W612"/>
      <c r="X612"/>
      <c r="Y612"/>
      <c r="Z612"/>
      <c r="AA612"/>
      <c r="AB612"/>
      <c r="AC612"/>
      <c r="AD612"/>
      <c r="AE612"/>
      <c r="AF612"/>
    </row>
    <row r="613" spans="22:32" x14ac:dyDescent="0.25">
      <c r="V613"/>
      <c r="W613"/>
      <c r="X613"/>
      <c r="Y613"/>
      <c r="Z613"/>
      <c r="AA613"/>
      <c r="AB613"/>
      <c r="AC613"/>
      <c r="AD613"/>
      <c r="AE613"/>
      <c r="AF613"/>
    </row>
    <row r="614" spans="22:32" x14ac:dyDescent="0.25">
      <c r="V614"/>
      <c r="W614"/>
      <c r="X614"/>
      <c r="Y614"/>
      <c r="Z614"/>
      <c r="AA614"/>
      <c r="AB614"/>
      <c r="AC614"/>
      <c r="AD614"/>
      <c r="AE614"/>
      <c r="AF614"/>
    </row>
    <row r="615" spans="22:32" x14ac:dyDescent="0.25">
      <c r="V615"/>
      <c r="W615"/>
      <c r="X615"/>
      <c r="Y615"/>
      <c r="Z615"/>
      <c r="AA615"/>
      <c r="AB615"/>
      <c r="AC615"/>
      <c r="AD615"/>
      <c r="AE615"/>
      <c r="AF615"/>
    </row>
    <row r="616" spans="22:32" x14ac:dyDescent="0.25">
      <c r="V616"/>
      <c r="W616"/>
      <c r="X616"/>
      <c r="Y616"/>
      <c r="Z616"/>
      <c r="AA616"/>
      <c r="AB616"/>
      <c r="AC616"/>
      <c r="AD616"/>
      <c r="AE616"/>
      <c r="AF616"/>
    </row>
    <row r="617" spans="22:32" x14ac:dyDescent="0.25">
      <c r="V617"/>
      <c r="W617"/>
      <c r="X617"/>
      <c r="Y617"/>
      <c r="Z617"/>
      <c r="AA617"/>
      <c r="AB617"/>
      <c r="AC617"/>
      <c r="AD617"/>
      <c r="AE617"/>
      <c r="AF617"/>
    </row>
    <row r="618" spans="22:32" x14ac:dyDescent="0.25">
      <c r="V618"/>
      <c r="W618"/>
      <c r="X618"/>
      <c r="Y618"/>
      <c r="Z618"/>
      <c r="AA618"/>
      <c r="AB618"/>
      <c r="AC618"/>
      <c r="AD618"/>
      <c r="AE618"/>
      <c r="AF618"/>
    </row>
    <row r="619" spans="22:32" x14ac:dyDescent="0.25">
      <c r="V619"/>
      <c r="W619"/>
      <c r="X619"/>
      <c r="Y619"/>
      <c r="Z619"/>
      <c r="AA619"/>
      <c r="AB619"/>
      <c r="AC619"/>
      <c r="AD619"/>
      <c r="AE619"/>
      <c r="AF619"/>
    </row>
    <row r="620" spans="22:32" x14ac:dyDescent="0.25">
      <c r="V620"/>
      <c r="W620"/>
      <c r="X620"/>
      <c r="Y620"/>
      <c r="Z620"/>
      <c r="AA620"/>
      <c r="AB620"/>
      <c r="AC620"/>
      <c r="AD620"/>
      <c r="AE620"/>
      <c r="AF620"/>
    </row>
    <row r="621" spans="22:32" x14ac:dyDescent="0.25">
      <c r="V621"/>
      <c r="W621"/>
      <c r="X621"/>
      <c r="Y621"/>
      <c r="Z621"/>
      <c r="AA621"/>
      <c r="AB621"/>
      <c r="AC621"/>
      <c r="AD621"/>
      <c r="AE621"/>
      <c r="AF621"/>
    </row>
    <row r="622" spans="22:32" x14ac:dyDescent="0.25">
      <c r="V622"/>
      <c r="W622"/>
      <c r="X622"/>
      <c r="Y622"/>
      <c r="Z622"/>
      <c r="AA622"/>
      <c r="AB622"/>
      <c r="AC622"/>
      <c r="AD622"/>
      <c r="AE622"/>
      <c r="AF622"/>
    </row>
    <row r="623" spans="22:32" x14ac:dyDescent="0.25">
      <c r="V623"/>
      <c r="W623"/>
      <c r="X623"/>
      <c r="Y623"/>
      <c r="Z623"/>
      <c r="AA623"/>
      <c r="AB623"/>
      <c r="AC623"/>
      <c r="AD623"/>
      <c r="AE623"/>
      <c r="AF623"/>
    </row>
    <row r="624" spans="22:32" x14ac:dyDescent="0.25">
      <c r="V624"/>
      <c r="W624"/>
      <c r="X624"/>
      <c r="Y624"/>
      <c r="Z624"/>
      <c r="AA624"/>
      <c r="AB624"/>
      <c r="AC624"/>
      <c r="AD624"/>
      <c r="AE624"/>
      <c r="AF624"/>
    </row>
    <row r="625" spans="22:32" x14ac:dyDescent="0.25">
      <c r="V625"/>
      <c r="W625"/>
      <c r="X625"/>
      <c r="Y625"/>
      <c r="Z625"/>
      <c r="AA625"/>
      <c r="AB625"/>
      <c r="AC625"/>
      <c r="AD625"/>
      <c r="AE625"/>
      <c r="AF625"/>
    </row>
    <row r="626" spans="22:32" x14ac:dyDescent="0.25">
      <c r="V626"/>
      <c r="W626"/>
      <c r="X626"/>
      <c r="Y626"/>
      <c r="Z626"/>
      <c r="AA626"/>
      <c r="AB626"/>
      <c r="AC626"/>
      <c r="AD626"/>
      <c r="AE626"/>
      <c r="AF626"/>
    </row>
    <row r="627" spans="22:32" x14ac:dyDescent="0.25">
      <c r="V627"/>
      <c r="W627"/>
      <c r="X627"/>
      <c r="Y627"/>
      <c r="Z627"/>
      <c r="AA627"/>
      <c r="AB627"/>
      <c r="AC627"/>
      <c r="AD627"/>
      <c r="AE627"/>
      <c r="AF627"/>
    </row>
    <row r="628" spans="22:32" x14ac:dyDescent="0.25">
      <c r="V628"/>
      <c r="W628"/>
      <c r="X628"/>
      <c r="Y628"/>
      <c r="Z628"/>
      <c r="AA628"/>
      <c r="AB628"/>
      <c r="AC628"/>
      <c r="AD628"/>
      <c r="AE628"/>
      <c r="AF628"/>
    </row>
    <row r="629" spans="22:32" x14ac:dyDescent="0.25">
      <c r="V629"/>
      <c r="W629"/>
      <c r="X629"/>
      <c r="Y629"/>
      <c r="Z629"/>
      <c r="AA629"/>
      <c r="AB629"/>
      <c r="AC629"/>
      <c r="AD629"/>
      <c r="AE629"/>
      <c r="AF629"/>
    </row>
    <row r="630" spans="22:32" x14ac:dyDescent="0.25">
      <c r="V630"/>
      <c r="W630"/>
      <c r="X630"/>
      <c r="Y630"/>
      <c r="Z630"/>
      <c r="AA630"/>
      <c r="AB630"/>
      <c r="AC630"/>
      <c r="AD630"/>
      <c r="AE630"/>
      <c r="AF630"/>
    </row>
    <row r="631" spans="22:32" x14ac:dyDescent="0.25">
      <c r="V631"/>
      <c r="W631"/>
      <c r="X631"/>
      <c r="Y631"/>
      <c r="Z631"/>
      <c r="AA631"/>
      <c r="AB631"/>
      <c r="AC631"/>
      <c r="AD631"/>
      <c r="AE631"/>
      <c r="AF631"/>
    </row>
    <row r="632" spans="22:32" x14ac:dyDescent="0.25">
      <c r="V632"/>
      <c r="W632"/>
      <c r="X632"/>
      <c r="Y632"/>
      <c r="Z632"/>
      <c r="AA632"/>
      <c r="AB632"/>
      <c r="AC632"/>
      <c r="AD632"/>
      <c r="AE632"/>
      <c r="AF632"/>
    </row>
    <row r="633" spans="22:32" x14ac:dyDescent="0.25">
      <c r="V633"/>
      <c r="W633"/>
      <c r="X633"/>
      <c r="Y633"/>
      <c r="Z633"/>
      <c r="AA633"/>
      <c r="AB633"/>
      <c r="AC633"/>
      <c r="AD633"/>
      <c r="AE633"/>
      <c r="AF633"/>
    </row>
    <row r="634" spans="22:32" x14ac:dyDescent="0.25">
      <c r="V634"/>
      <c r="W634"/>
      <c r="X634"/>
      <c r="Y634"/>
      <c r="Z634"/>
      <c r="AA634"/>
      <c r="AB634"/>
      <c r="AC634"/>
      <c r="AD634"/>
      <c r="AE634"/>
      <c r="AF634"/>
    </row>
    <row r="635" spans="22:32" x14ac:dyDescent="0.25">
      <c r="V635"/>
      <c r="W635"/>
      <c r="X635"/>
      <c r="Y635"/>
      <c r="Z635"/>
      <c r="AA635"/>
      <c r="AB635"/>
      <c r="AC635"/>
      <c r="AD635"/>
      <c r="AE635"/>
      <c r="AF635"/>
    </row>
    <row r="636" spans="22:32" x14ac:dyDescent="0.25">
      <c r="V636"/>
      <c r="W636"/>
      <c r="X636"/>
      <c r="Y636"/>
      <c r="Z636"/>
      <c r="AA636"/>
      <c r="AB636"/>
      <c r="AC636"/>
      <c r="AD636"/>
      <c r="AE636"/>
      <c r="AF636"/>
    </row>
    <row r="637" spans="22:32" x14ac:dyDescent="0.25">
      <c r="V637"/>
      <c r="W637"/>
      <c r="X637"/>
      <c r="Y637"/>
      <c r="Z637"/>
      <c r="AA637"/>
      <c r="AB637"/>
      <c r="AC637"/>
      <c r="AD637"/>
      <c r="AE637"/>
      <c r="AF637"/>
    </row>
    <row r="638" spans="22:32" x14ac:dyDescent="0.25">
      <c r="V638"/>
      <c r="W638"/>
      <c r="X638"/>
      <c r="Y638"/>
      <c r="Z638"/>
      <c r="AA638"/>
      <c r="AB638"/>
      <c r="AC638"/>
      <c r="AD638"/>
      <c r="AE638"/>
      <c r="AF638"/>
    </row>
    <row r="639" spans="22:32" x14ac:dyDescent="0.25">
      <c r="V639"/>
      <c r="W639"/>
      <c r="X639"/>
      <c r="Y639"/>
      <c r="Z639"/>
      <c r="AA639"/>
      <c r="AB639"/>
      <c r="AC639"/>
      <c r="AD639"/>
      <c r="AE639"/>
      <c r="AF639"/>
    </row>
    <row r="640" spans="22:32" x14ac:dyDescent="0.25">
      <c r="V640"/>
      <c r="W640"/>
      <c r="X640"/>
      <c r="Y640"/>
      <c r="Z640"/>
      <c r="AA640"/>
      <c r="AB640"/>
      <c r="AC640"/>
      <c r="AD640"/>
      <c r="AE640"/>
      <c r="AF640"/>
    </row>
    <row r="641" spans="22:32" x14ac:dyDescent="0.25">
      <c r="V641"/>
      <c r="W641"/>
      <c r="X641"/>
      <c r="Y641"/>
      <c r="Z641"/>
      <c r="AA641"/>
      <c r="AB641"/>
      <c r="AC641"/>
      <c r="AD641"/>
      <c r="AE641"/>
      <c r="AF641"/>
    </row>
    <row r="642" spans="22:32" x14ac:dyDescent="0.25">
      <c r="V642"/>
      <c r="W642"/>
      <c r="X642"/>
      <c r="Y642"/>
      <c r="Z642"/>
      <c r="AA642"/>
      <c r="AB642"/>
      <c r="AC642"/>
      <c r="AD642"/>
      <c r="AE642"/>
      <c r="AF642"/>
    </row>
    <row r="643" spans="22:32" x14ac:dyDescent="0.25">
      <c r="V643"/>
      <c r="W643"/>
      <c r="X643"/>
      <c r="Y643"/>
      <c r="Z643"/>
      <c r="AA643"/>
      <c r="AB643"/>
      <c r="AC643"/>
      <c r="AD643"/>
      <c r="AE643"/>
      <c r="AF643"/>
    </row>
    <row r="644" spans="22:32" x14ac:dyDescent="0.25">
      <c r="V644"/>
      <c r="W644"/>
      <c r="X644"/>
      <c r="Y644"/>
      <c r="Z644"/>
      <c r="AA644"/>
      <c r="AB644"/>
      <c r="AC644"/>
      <c r="AD644"/>
      <c r="AE644"/>
      <c r="AF644"/>
    </row>
    <row r="645" spans="22:32" x14ac:dyDescent="0.25">
      <c r="V645"/>
      <c r="W645"/>
      <c r="X645"/>
      <c r="Y645"/>
      <c r="Z645"/>
      <c r="AA645"/>
      <c r="AB645"/>
      <c r="AC645"/>
      <c r="AD645"/>
      <c r="AE645"/>
      <c r="AF645"/>
    </row>
    <row r="646" spans="22:32" x14ac:dyDescent="0.25">
      <c r="V646"/>
      <c r="W646"/>
      <c r="X646"/>
      <c r="Y646"/>
      <c r="Z646"/>
      <c r="AA646"/>
      <c r="AB646"/>
      <c r="AC646"/>
      <c r="AD646"/>
      <c r="AE646"/>
      <c r="AF646"/>
    </row>
    <row r="647" spans="22:32" x14ac:dyDescent="0.25">
      <c r="V647"/>
      <c r="W647"/>
      <c r="X647"/>
      <c r="Y647"/>
      <c r="Z647"/>
      <c r="AA647"/>
      <c r="AB647"/>
      <c r="AC647"/>
      <c r="AD647"/>
      <c r="AE647"/>
      <c r="AF647"/>
    </row>
    <row r="648" spans="22:32" x14ac:dyDescent="0.25">
      <c r="V648"/>
      <c r="W648"/>
      <c r="X648"/>
      <c r="Y648"/>
      <c r="Z648"/>
      <c r="AA648"/>
      <c r="AB648"/>
      <c r="AC648"/>
      <c r="AD648"/>
      <c r="AE648"/>
      <c r="AF648"/>
    </row>
    <row r="649" spans="22:32" x14ac:dyDescent="0.25">
      <c r="V649"/>
      <c r="W649"/>
      <c r="X649"/>
      <c r="Y649"/>
      <c r="Z649"/>
      <c r="AA649"/>
      <c r="AB649"/>
      <c r="AC649"/>
      <c r="AD649"/>
      <c r="AE649"/>
      <c r="AF649"/>
    </row>
    <row r="650" spans="22:32" x14ac:dyDescent="0.25">
      <c r="V650"/>
      <c r="W650"/>
      <c r="X650"/>
      <c r="Y650"/>
      <c r="Z650"/>
      <c r="AA650"/>
      <c r="AB650"/>
      <c r="AC650"/>
      <c r="AD650"/>
      <c r="AE650"/>
      <c r="AF650"/>
    </row>
    <row r="651" spans="22:32" x14ac:dyDescent="0.25">
      <c r="V651"/>
      <c r="W651"/>
      <c r="X651"/>
      <c r="Y651"/>
      <c r="Z651"/>
      <c r="AA651"/>
      <c r="AB651"/>
      <c r="AC651"/>
      <c r="AD651"/>
      <c r="AE651"/>
      <c r="AF651"/>
    </row>
    <row r="652" spans="22:32" x14ac:dyDescent="0.25">
      <c r="V652"/>
      <c r="W652"/>
      <c r="X652"/>
      <c r="Y652"/>
      <c r="Z652"/>
      <c r="AA652"/>
      <c r="AB652"/>
      <c r="AC652"/>
      <c r="AD652"/>
      <c r="AE652"/>
      <c r="AF652"/>
    </row>
    <row r="653" spans="22:32" x14ac:dyDescent="0.25">
      <c r="V653"/>
      <c r="W653"/>
      <c r="X653"/>
      <c r="Y653"/>
      <c r="Z653"/>
      <c r="AA653"/>
      <c r="AB653"/>
      <c r="AC653"/>
      <c r="AD653"/>
      <c r="AE653"/>
      <c r="AF653"/>
    </row>
    <row r="654" spans="22:32" x14ac:dyDescent="0.25">
      <c r="V654"/>
      <c r="W654"/>
      <c r="X654"/>
      <c r="Y654"/>
      <c r="Z654"/>
      <c r="AA654"/>
      <c r="AB654"/>
      <c r="AC654"/>
      <c r="AD654"/>
      <c r="AE654"/>
      <c r="AF654"/>
    </row>
    <row r="655" spans="22:32" x14ac:dyDescent="0.25">
      <c r="V655"/>
      <c r="W655"/>
      <c r="X655"/>
      <c r="Y655"/>
      <c r="Z655"/>
      <c r="AA655"/>
      <c r="AB655"/>
      <c r="AC655"/>
      <c r="AD655"/>
      <c r="AE655"/>
      <c r="AF655"/>
    </row>
    <row r="656" spans="22:32" x14ac:dyDescent="0.25">
      <c r="V656"/>
      <c r="W656"/>
      <c r="X656"/>
      <c r="Y656"/>
      <c r="Z656"/>
      <c r="AA656"/>
      <c r="AB656"/>
      <c r="AC656"/>
      <c r="AD656"/>
      <c r="AE656"/>
      <c r="AF656"/>
    </row>
    <row r="657" spans="22:32" x14ac:dyDescent="0.25">
      <c r="V657"/>
      <c r="W657"/>
      <c r="X657"/>
      <c r="Y657"/>
      <c r="Z657"/>
      <c r="AA657"/>
      <c r="AB657"/>
      <c r="AC657"/>
      <c r="AD657"/>
      <c r="AE657"/>
      <c r="AF657"/>
    </row>
    <row r="658" spans="22:32" x14ac:dyDescent="0.25">
      <c r="V658"/>
      <c r="W658"/>
      <c r="X658"/>
      <c r="Y658"/>
      <c r="Z658"/>
      <c r="AA658"/>
      <c r="AB658"/>
      <c r="AC658"/>
      <c r="AD658"/>
      <c r="AE658"/>
      <c r="AF658"/>
    </row>
    <row r="659" spans="22:32" x14ac:dyDescent="0.25">
      <c r="V659"/>
      <c r="W659"/>
      <c r="X659"/>
      <c r="Y659"/>
      <c r="Z659"/>
      <c r="AA659"/>
      <c r="AB659"/>
      <c r="AC659"/>
      <c r="AD659"/>
      <c r="AE659"/>
      <c r="AF659"/>
    </row>
    <row r="660" spans="22:32" x14ac:dyDescent="0.25">
      <c r="V660"/>
      <c r="W660"/>
      <c r="X660"/>
      <c r="Y660"/>
      <c r="Z660"/>
      <c r="AA660"/>
      <c r="AB660"/>
      <c r="AC660"/>
      <c r="AD660"/>
      <c r="AE660"/>
      <c r="AF660"/>
    </row>
    <row r="661" spans="22:32" x14ac:dyDescent="0.25">
      <c r="V661"/>
      <c r="W661"/>
      <c r="X661"/>
      <c r="Y661"/>
      <c r="Z661"/>
      <c r="AA661"/>
      <c r="AB661"/>
      <c r="AC661"/>
      <c r="AD661"/>
      <c r="AE661"/>
      <c r="AF661"/>
    </row>
    <row r="662" spans="22:32" x14ac:dyDescent="0.25">
      <c r="V662"/>
      <c r="W662"/>
      <c r="X662"/>
      <c r="Y662"/>
      <c r="Z662"/>
      <c r="AA662"/>
      <c r="AB662"/>
      <c r="AC662"/>
      <c r="AD662"/>
      <c r="AE662"/>
      <c r="AF662"/>
    </row>
    <row r="663" spans="22:32" x14ac:dyDescent="0.25">
      <c r="V663"/>
      <c r="W663"/>
      <c r="X663"/>
      <c r="Y663"/>
      <c r="Z663"/>
      <c r="AA663"/>
      <c r="AB663"/>
      <c r="AC663"/>
      <c r="AD663"/>
      <c r="AE663"/>
      <c r="AF663"/>
    </row>
    <row r="664" spans="22:32" x14ac:dyDescent="0.25">
      <c r="V664"/>
      <c r="W664"/>
      <c r="X664"/>
      <c r="Y664"/>
      <c r="Z664"/>
      <c r="AA664"/>
      <c r="AB664"/>
      <c r="AC664"/>
      <c r="AD664"/>
      <c r="AE664"/>
      <c r="AF664"/>
    </row>
    <row r="665" spans="22:32" x14ac:dyDescent="0.25">
      <c r="V665"/>
      <c r="W665"/>
      <c r="X665"/>
      <c r="Y665"/>
      <c r="Z665"/>
      <c r="AA665"/>
      <c r="AB665"/>
      <c r="AC665"/>
      <c r="AD665"/>
      <c r="AE665"/>
      <c r="AF665"/>
    </row>
    <row r="666" spans="22:32" x14ac:dyDescent="0.25">
      <c r="V666"/>
      <c r="W666"/>
      <c r="X666"/>
      <c r="Y666"/>
      <c r="Z666"/>
      <c r="AA666"/>
      <c r="AB666"/>
      <c r="AC666"/>
      <c r="AD666"/>
      <c r="AE666"/>
      <c r="AF666"/>
    </row>
    <row r="667" spans="22:32" x14ac:dyDescent="0.25">
      <c r="V667"/>
      <c r="W667"/>
      <c r="X667"/>
      <c r="Y667"/>
      <c r="Z667"/>
      <c r="AA667"/>
      <c r="AB667"/>
      <c r="AC667"/>
      <c r="AD667"/>
      <c r="AE667"/>
      <c r="AF667"/>
    </row>
    <row r="668" spans="22:32" x14ac:dyDescent="0.25">
      <c r="V668"/>
      <c r="W668"/>
      <c r="X668"/>
      <c r="Y668"/>
      <c r="Z668"/>
      <c r="AA668"/>
      <c r="AB668"/>
      <c r="AC668"/>
      <c r="AD668"/>
      <c r="AE668"/>
      <c r="AF668"/>
    </row>
    <row r="669" spans="22:32" x14ac:dyDescent="0.25">
      <c r="V669"/>
      <c r="W669"/>
      <c r="X669"/>
      <c r="Y669"/>
      <c r="Z669"/>
      <c r="AA669"/>
      <c r="AB669"/>
      <c r="AC669"/>
      <c r="AD669"/>
      <c r="AE669"/>
      <c r="AF669"/>
    </row>
    <row r="670" spans="22:32" x14ac:dyDescent="0.25">
      <c r="V670"/>
      <c r="W670"/>
      <c r="X670"/>
      <c r="Y670"/>
      <c r="Z670"/>
      <c r="AA670"/>
      <c r="AB670"/>
      <c r="AC670"/>
      <c r="AD670"/>
      <c r="AE670"/>
      <c r="AF670"/>
    </row>
    <row r="671" spans="22:32" x14ac:dyDescent="0.25">
      <c r="V671"/>
      <c r="W671"/>
      <c r="X671"/>
      <c r="Y671"/>
      <c r="Z671"/>
      <c r="AA671"/>
      <c r="AB671"/>
      <c r="AC671"/>
      <c r="AD671"/>
      <c r="AE671"/>
      <c r="AF671"/>
    </row>
    <row r="672" spans="22:32" x14ac:dyDescent="0.25">
      <c r="V672"/>
      <c r="W672"/>
      <c r="X672"/>
      <c r="Y672"/>
      <c r="Z672"/>
      <c r="AA672"/>
      <c r="AB672"/>
      <c r="AC672"/>
      <c r="AD672"/>
      <c r="AE672"/>
      <c r="AF672"/>
    </row>
    <row r="673" spans="22:32" x14ac:dyDescent="0.25">
      <c r="V673"/>
      <c r="W673"/>
      <c r="X673"/>
      <c r="Y673"/>
      <c r="Z673"/>
      <c r="AA673"/>
      <c r="AB673"/>
      <c r="AC673"/>
      <c r="AD673"/>
      <c r="AE673"/>
      <c r="AF673"/>
    </row>
    <row r="674" spans="22:32" x14ac:dyDescent="0.25">
      <c r="V674"/>
      <c r="W674"/>
      <c r="X674"/>
      <c r="Y674"/>
      <c r="Z674"/>
      <c r="AA674"/>
      <c r="AB674"/>
      <c r="AC674"/>
      <c r="AD674"/>
      <c r="AE674"/>
      <c r="AF674"/>
    </row>
    <row r="675" spans="22:32" x14ac:dyDescent="0.25">
      <c r="V675"/>
      <c r="W675"/>
      <c r="X675"/>
      <c r="Y675"/>
      <c r="Z675"/>
      <c r="AA675"/>
      <c r="AB675"/>
      <c r="AC675"/>
      <c r="AD675"/>
      <c r="AE675"/>
      <c r="AF675"/>
    </row>
    <row r="676" spans="22:32" x14ac:dyDescent="0.25">
      <c r="V676"/>
      <c r="W676"/>
      <c r="X676"/>
      <c r="Y676"/>
      <c r="Z676"/>
      <c r="AA676"/>
      <c r="AB676"/>
      <c r="AC676"/>
      <c r="AD676"/>
      <c r="AE676"/>
      <c r="AF676"/>
    </row>
    <row r="677" spans="22:32" x14ac:dyDescent="0.25">
      <c r="V677"/>
      <c r="W677"/>
      <c r="X677"/>
      <c r="Y677"/>
      <c r="Z677"/>
      <c r="AA677"/>
      <c r="AB677"/>
      <c r="AC677"/>
      <c r="AD677"/>
      <c r="AE677"/>
      <c r="AF677"/>
    </row>
    <row r="678" spans="22:32" x14ac:dyDescent="0.25">
      <c r="V678"/>
      <c r="W678"/>
      <c r="X678"/>
      <c r="Y678"/>
      <c r="Z678"/>
      <c r="AA678"/>
      <c r="AB678"/>
      <c r="AC678"/>
      <c r="AD678"/>
      <c r="AE678"/>
      <c r="AF678"/>
    </row>
    <row r="679" spans="22:32" x14ac:dyDescent="0.25">
      <c r="V679"/>
      <c r="W679"/>
      <c r="X679"/>
      <c r="Y679"/>
      <c r="Z679"/>
      <c r="AA679"/>
      <c r="AB679"/>
      <c r="AC679"/>
      <c r="AD679"/>
      <c r="AE679"/>
      <c r="AF679"/>
    </row>
    <row r="680" spans="22:32" x14ac:dyDescent="0.25">
      <c r="V680"/>
      <c r="W680"/>
      <c r="X680"/>
      <c r="Y680"/>
      <c r="Z680"/>
      <c r="AA680"/>
      <c r="AB680"/>
      <c r="AC680"/>
      <c r="AD680"/>
      <c r="AE680"/>
      <c r="AF680"/>
    </row>
    <row r="681" spans="22:32" x14ac:dyDescent="0.25">
      <c r="V681"/>
      <c r="W681"/>
      <c r="X681"/>
      <c r="Y681"/>
      <c r="Z681"/>
      <c r="AA681"/>
      <c r="AB681"/>
      <c r="AC681"/>
      <c r="AD681"/>
      <c r="AE681"/>
      <c r="AF681"/>
    </row>
    <row r="682" spans="22:32" x14ac:dyDescent="0.25">
      <c r="V682"/>
      <c r="W682"/>
      <c r="X682"/>
      <c r="Y682"/>
      <c r="Z682"/>
      <c r="AA682"/>
      <c r="AB682"/>
      <c r="AC682"/>
      <c r="AD682"/>
      <c r="AE682"/>
      <c r="AF682"/>
    </row>
    <row r="683" spans="22:32" x14ac:dyDescent="0.25">
      <c r="V683"/>
      <c r="W683"/>
      <c r="X683"/>
      <c r="Y683"/>
      <c r="Z683"/>
      <c r="AA683"/>
      <c r="AB683"/>
      <c r="AC683"/>
      <c r="AD683"/>
      <c r="AE683"/>
      <c r="AF683"/>
    </row>
    <row r="684" spans="22:32" x14ac:dyDescent="0.25">
      <c r="V684"/>
      <c r="W684"/>
      <c r="X684"/>
      <c r="Y684"/>
      <c r="Z684"/>
      <c r="AA684"/>
      <c r="AB684"/>
      <c r="AC684"/>
      <c r="AD684"/>
      <c r="AE684"/>
      <c r="AF684"/>
    </row>
    <row r="685" spans="22:32" x14ac:dyDescent="0.25">
      <c r="V685"/>
      <c r="W685"/>
      <c r="X685"/>
      <c r="Y685"/>
      <c r="Z685"/>
      <c r="AA685"/>
      <c r="AB685"/>
      <c r="AC685"/>
      <c r="AD685"/>
      <c r="AE685"/>
      <c r="AF685"/>
    </row>
    <row r="686" spans="22:32" x14ac:dyDescent="0.25">
      <c r="V686"/>
      <c r="W686"/>
      <c r="X686"/>
      <c r="Y686"/>
      <c r="Z686"/>
      <c r="AA686"/>
      <c r="AB686"/>
      <c r="AC686"/>
      <c r="AD686"/>
      <c r="AE686"/>
      <c r="AF686"/>
    </row>
    <row r="687" spans="22:32" x14ac:dyDescent="0.25">
      <c r="V687"/>
      <c r="W687"/>
      <c r="X687"/>
      <c r="Y687"/>
      <c r="Z687"/>
      <c r="AA687"/>
      <c r="AB687"/>
      <c r="AC687"/>
      <c r="AD687"/>
      <c r="AE687"/>
      <c r="AF687"/>
    </row>
    <row r="688" spans="22:32" x14ac:dyDescent="0.25">
      <c r="V688"/>
      <c r="W688"/>
      <c r="X688"/>
      <c r="Y688"/>
      <c r="Z688"/>
      <c r="AA688"/>
      <c r="AB688"/>
      <c r="AC688"/>
      <c r="AD688"/>
      <c r="AE688"/>
      <c r="AF688"/>
    </row>
    <row r="689" spans="22:32" x14ac:dyDescent="0.25">
      <c r="V689"/>
      <c r="W689"/>
      <c r="X689"/>
      <c r="Y689"/>
      <c r="Z689"/>
      <c r="AA689"/>
      <c r="AB689"/>
      <c r="AC689"/>
      <c r="AD689"/>
      <c r="AE689"/>
      <c r="AF689"/>
    </row>
    <row r="690" spans="22:32" x14ac:dyDescent="0.25">
      <c r="V690"/>
      <c r="W690"/>
      <c r="X690"/>
      <c r="Y690"/>
      <c r="Z690"/>
      <c r="AA690"/>
      <c r="AB690"/>
      <c r="AC690"/>
      <c r="AD690"/>
      <c r="AE690"/>
      <c r="AF690"/>
    </row>
    <row r="691" spans="22:32" x14ac:dyDescent="0.25">
      <c r="V691"/>
      <c r="W691"/>
      <c r="X691"/>
      <c r="Y691"/>
      <c r="Z691"/>
      <c r="AA691"/>
      <c r="AB691"/>
      <c r="AC691"/>
      <c r="AD691"/>
      <c r="AE691"/>
      <c r="AF691"/>
    </row>
    <row r="692" spans="22:32" x14ac:dyDescent="0.25">
      <c r="V692"/>
      <c r="W692"/>
      <c r="X692"/>
      <c r="Y692"/>
      <c r="Z692"/>
      <c r="AA692"/>
      <c r="AB692"/>
      <c r="AC692"/>
      <c r="AD692"/>
      <c r="AE692"/>
      <c r="AF692"/>
    </row>
    <row r="693" spans="22:32" x14ac:dyDescent="0.25">
      <c r="V693"/>
      <c r="W693"/>
      <c r="X693"/>
      <c r="Y693"/>
      <c r="Z693"/>
      <c r="AA693"/>
      <c r="AB693"/>
      <c r="AC693"/>
      <c r="AD693"/>
      <c r="AE693"/>
      <c r="AF693"/>
    </row>
    <row r="694" spans="22:32" x14ac:dyDescent="0.25">
      <c r="V694"/>
      <c r="W694"/>
      <c r="X694"/>
      <c r="Y694"/>
      <c r="Z694"/>
      <c r="AA694"/>
      <c r="AB694"/>
      <c r="AC694"/>
      <c r="AD694"/>
      <c r="AE694"/>
      <c r="AF694"/>
    </row>
    <row r="695" spans="22:32" x14ac:dyDescent="0.25">
      <c r="V695"/>
      <c r="W695"/>
      <c r="X695"/>
      <c r="Y695"/>
      <c r="Z695"/>
      <c r="AA695"/>
      <c r="AB695"/>
      <c r="AC695"/>
      <c r="AD695"/>
      <c r="AE695"/>
      <c r="AF695"/>
    </row>
    <row r="696" spans="22:32" x14ac:dyDescent="0.25">
      <c r="V696"/>
      <c r="W696"/>
      <c r="X696"/>
      <c r="Y696"/>
      <c r="Z696"/>
      <c r="AA696"/>
      <c r="AB696"/>
      <c r="AC696"/>
      <c r="AD696"/>
      <c r="AE696"/>
      <c r="AF696"/>
    </row>
    <row r="697" spans="22:32" x14ac:dyDescent="0.25">
      <c r="V697"/>
      <c r="W697"/>
      <c r="X697"/>
      <c r="Y697"/>
      <c r="Z697"/>
      <c r="AA697"/>
      <c r="AB697"/>
      <c r="AC697"/>
      <c r="AD697"/>
      <c r="AE697"/>
      <c r="AF697"/>
    </row>
    <row r="698" spans="22:32" x14ac:dyDescent="0.25">
      <c r="V698"/>
      <c r="W698"/>
      <c r="X698"/>
      <c r="Y698"/>
      <c r="Z698"/>
      <c r="AA698"/>
      <c r="AB698"/>
      <c r="AC698"/>
      <c r="AD698"/>
      <c r="AE698"/>
      <c r="AF698"/>
    </row>
    <row r="699" spans="22:32" x14ac:dyDescent="0.25">
      <c r="V699"/>
      <c r="W699"/>
      <c r="X699"/>
      <c r="Y699"/>
      <c r="Z699"/>
      <c r="AA699"/>
      <c r="AB699"/>
      <c r="AC699"/>
      <c r="AD699"/>
      <c r="AE699"/>
      <c r="AF699"/>
    </row>
    <row r="700" spans="22:32" x14ac:dyDescent="0.25">
      <c r="V700"/>
      <c r="W700"/>
      <c r="X700"/>
      <c r="Y700"/>
      <c r="Z700"/>
      <c r="AA700"/>
      <c r="AB700"/>
      <c r="AC700"/>
      <c r="AD700"/>
      <c r="AE700"/>
      <c r="AF700"/>
    </row>
    <row r="701" spans="22:32" x14ac:dyDescent="0.25">
      <c r="V701"/>
      <c r="W701"/>
      <c r="X701"/>
      <c r="Y701"/>
      <c r="Z701"/>
      <c r="AA701"/>
      <c r="AB701"/>
      <c r="AC701"/>
      <c r="AD701"/>
      <c r="AE701"/>
      <c r="AF701"/>
    </row>
    <row r="702" spans="22:32" x14ac:dyDescent="0.25">
      <c r="V702"/>
      <c r="W702"/>
      <c r="X702"/>
      <c r="Y702"/>
      <c r="Z702"/>
      <c r="AA702"/>
      <c r="AB702"/>
      <c r="AC702"/>
      <c r="AD702"/>
      <c r="AE702"/>
      <c r="AF702"/>
    </row>
    <row r="703" spans="22:32" x14ac:dyDescent="0.25">
      <c r="V703"/>
      <c r="W703"/>
      <c r="X703"/>
      <c r="Y703"/>
      <c r="Z703"/>
      <c r="AA703"/>
      <c r="AB703"/>
      <c r="AC703"/>
      <c r="AD703"/>
      <c r="AE703"/>
      <c r="AF703"/>
    </row>
    <row r="704" spans="22:32" x14ac:dyDescent="0.25">
      <c r="V704"/>
      <c r="W704"/>
      <c r="X704"/>
      <c r="Y704"/>
      <c r="Z704"/>
      <c r="AA704"/>
      <c r="AB704"/>
      <c r="AC704"/>
      <c r="AD704"/>
      <c r="AE704"/>
      <c r="AF704"/>
    </row>
    <row r="705" spans="22:32" x14ac:dyDescent="0.25">
      <c r="V705"/>
      <c r="W705"/>
      <c r="X705"/>
      <c r="Y705"/>
      <c r="Z705"/>
      <c r="AA705"/>
      <c r="AB705"/>
      <c r="AC705"/>
      <c r="AD705"/>
      <c r="AE705"/>
      <c r="AF705"/>
    </row>
    <row r="706" spans="22:32" x14ac:dyDescent="0.25">
      <c r="V706"/>
      <c r="W706"/>
      <c r="X706"/>
      <c r="Y706"/>
      <c r="Z706"/>
      <c r="AA706"/>
      <c r="AB706"/>
      <c r="AC706"/>
      <c r="AD706"/>
      <c r="AE706"/>
      <c r="AF706"/>
    </row>
    <row r="707" spans="22:32" x14ac:dyDescent="0.25">
      <c r="V707"/>
      <c r="W707"/>
      <c r="X707"/>
      <c r="Y707"/>
      <c r="Z707"/>
      <c r="AA707"/>
      <c r="AB707"/>
      <c r="AC707"/>
      <c r="AD707"/>
      <c r="AE707"/>
      <c r="AF707"/>
    </row>
  </sheetData>
  <sortState ref="W8:AF15">
    <sortCondition ref="W8"/>
  </sortState>
  <mergeCells count="65">
    <mergeCell ref="I5:J6"/>
    <mergeCell ref="I7:J8"/>
    <mergeCell ref="F5:H6"/>
    <mergeCell ref="F7:H8"/>
    <mergeCell ref="I9:J10"/>
    <mergeCell ref="A33:E34"/>
    <mergeCell ref="A5:E6"/>
    <mergeCell ref="A7:E8"/>
    <mergeCell ref="A9:E10"/>
    <mergeCell ref="F9:H10"/>
    <mergeCell ref="I23:J24"/>
    <mergeCell ref="A43:E44"/>
    <mergeCell ref="F43:H44"/>
    <mergeCell ref="F17:H18"/>
    <mergeCell ref="F19:H20"/>
    <mergeCell ref="F33:H34"/>
    <mergeCell ref="F35:H36"/>
    <mergeCell ref="F37:H38"/>
    <mergeCell ref="A41:E42"/>
    <mergeCell ref="A27:E28"/>
    <mergeCell ref="A29:E30"/>
    <mergeCell ref="F31:H32"/>
    <mergeCell ref="A21:E22"/>
    <mergeCell ref="F21:H22"/>
    <mergeCell ref="A25:E26"/>
    <mergeCell ref="A31:E32"/>
    <mergeCell ref="F39:H40"/>
    <mergeCell ref="F41:H42"/>
    <mergeCell ref="A11:E12"/>
    <mergeCell ref="A13:E14"/>
    <mergeCell ref="A15:E16"/>
    <mergeCell ref="A17:E18"/>
    <mergeCell ref="A19:E20"/>
    <mergeCell ref="F13:H14"/>
    <mergeCell ref="F15:H16"/>
    <mergeCell ref="F11:H12"/>
    <mergeCell ref="A35:E36"/>
    <mergeCell ref="A23:E24"/>
    <mergeCell ref="A37:E38"/>
    <mergeCell ref="A39:E40"/>
    <mergeCell ref="F23:H24"/>
    <mergeCell ref="F25:H26"/>
    <mergeCell ref="I43:J44"/>
    <mergeCell ref="I31:J32"/>
    <mergeCell ref="I33:J34"/>
    <mergeCell ref="I35:J36"/>
    <mergeCell ref="I37:J38"/>
    <mergeCell ref="I39:J40"/>
    <mergeCell ref="I41:J42"/>
    <mergeCell ref="F27:H28"/>
    <mergeCell ref="F29:H30"/>
    <mergeCell ref="I25:J26"/>
    <mergeCell ref="A1:Q2"/>
    <mergeCell ref="A3:Q3"/>
    <mergeCell ref="A4:E4"/>
    <mergeCell ref="F4:H4"/>
    <mergeCell ref="I4:J4"/>
    <mergeCell ref="I27:J28"/>
    <mergeCell ref="I29:J30"/>
    <mergeCell ref="I11:J12"/>
    <mergeCell ref="I13:J14"/>
    <mergeCell ref="I15:J16"/>
    <mergeCell ref="I17:J18"/>
    <mergeCell ref="I19:J20"/>
    <mergeCell ref="I21:J22"/>
  </mergeCell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9" r:id="rId4" name="ComboBox1">
          <controlPr defaultSize="0" autoLine="0" listFillRange="CONFIGS!C2:C15" r:id="rId5">
            <anchor moveWithCells="1">
              <from>
                <xdr:col>22</xdr:col>
                <xdr:colOff>819150</xdr:colOff>
                <xdr:row>6</xdr:row>
                <xdr:rowOff>0</xdr:rowOff>
              </from>
              <to>
                <xdr:col>31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0249" r:id="rId4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rgb="FF92D050"/>
  </sheetPr>
  <dimension ref="A1:AF607"/>
  <sheetViews>
    <sheetView view="pageLayout" topLeftCell="A6" zoomScaleNormal="100" workbookViewId="0">
      <selection activeCell="A7" sqref="A7"/>
    </sheetView>
  </sheetViews>
  <sheetFormatPr defaultColWidth="9.140625" defaultRowHeight="15" x14ac:dyDescent="0.25"/>
  <cols>
    <col min="1" max="1" width="6.7109375" customWidth="1"/>
    <col min="2" max="2" width="25.85546875" customWidth="1"/>
    <col min="3" max="3" width="16.28515625" customWidth="1"/>
    <col min="4" max="4" width="10.28515625" customWidth="1"/>
    <col min="8" max="8" width="7.140625" customWidth="1"/>
    <col min="9" max="10" width="10" customWidth="1"/>
    <col min="11" max="11" width="12.7109375" customWidth="1"/>
    <col min="12" max="12" width="9.140625" style="1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2" ht="26.25" customHeight="1" x14ac:dyDescent="0.25">
      <c r="A2" s="19"/>
      <c r="B2" s="19"/>
      <c r="C2" s="120" t="s">
        <v>412</v>
      </c>
      <c r="D2" s="120"/>
      <c r="E2" s="122">
        <f>SUBTOTAL(109,K$1:K$30)</f>
        <v>2855.6800000000003</v>
      </c>
      <c r="F2" s="122"/>
      <c r="G2" s="122"/>
      <c r="H2" s="122"/>
      <c r="I2" s="19"/>
      <c r="J2" s="19"/>
      <c r="K2" s="19"/>
    </row>
    <row r="3" spans="1:12" ht="26.25" customHeight="1" x14ac:dyDescent="0.25">
      <c r="A3" s="19"/>
      <c r="B3" s="19"/>
      <c r="C3" s="120"/>
      <c r="D3" s="120"/>
      <c r="E3" s="122"/>
      <c r="F3" s="122"/>
      <c r="G3" s="122"/>
      <c r="H3" s="122"/>
      <c r="I3" s="19"/>
      <c r="J3" s="19"/>
      <c r="K3" s="19"/>
    </row>
    <row r="4" spans="1:12" ht="15" customHeight="1" x14ac:dyDescent="0.25">
      <c r="A4" s="115" t="str">
        <f>"DIZIMISTAS REFERENTE AO MÊS DE "&amp;ENTRADAS!$A$4</f>
        <v>DIZIMISTAS REFERENTE AO MÊS DE OUTUBRO / 2017</v>
      </c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</row>
    <row r="5" spans="1:12" ht="15" customHeight="1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</row>
    <row r="6" spans="1:12" ht="18.75" x14ac:dyDescent="0.25">
      <c r="A6" s="121" t="s">
        <v>81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</row>
    <row r="7" spans="1:12" ht="29.25" customHeight="1" x14ac:dyDescent="0.25">
      <c r="A7" s="27" t="s">
        <v>13</v>
      </c>
      <c r="B7" s="28" t="s">
        <v>10</v>
      </c>
      <c r="C7" s="28" t="s">
        <v>3</v>
      </c>
      <c r="D7" s="29" t="s">
        <v>4</v>
      </c>
      <c r="E7" s="29" t="s">
        <v>5</v>
      </c>
      <c r="F7" s="29" t="s">
        <v>82</v>
      </c>
      <c r="G7" s="28" t="s">
        <v>7</v>
      </c>
      <c r="H7" s="28" t="s">
        <v>11</v>
      </c>
      <c r="I7" s="30" t="s">
        <v>83</v>
      </c>
      <c r="J7" s="30" t="s">
        <v>84</v>
      </c>
      <c r="K7" s="31" t="s">
        <v>9</v>
      </c>
      <c r="L7" s="31" t="s">
        <v>405</v>
      </c>
    </row>
    <row r="8" spans="1:12" x14ac:dyDescent="0.25">
      <c r="A8" s="19">
        <v>1</v>
      </c>
      <c r="B8" s="21" t="s">
        <v>66</v>
      </c>
      <c r="C8" s="21" t="s">
        <v>58</v>
      </c>
      <c r="D8" s="20">
        <v>36.56</v>
      </c>
      <c r="E8" s="20">
        <v>89.85</v>
      </c>
      <c r="F8" s="20">
        <v>12</v>
      </c>
      <c r="G8" s="19" t="s">
        <v>4</v>
      </c>
      <c r="H8" s="19">
        <v>8532</v>
      </c>
      <c r="I8" s="22">
        <v>42986</v>
      </c>
      <c r="J8" s="22">
        <v>42986</v>
      </c>
      <c r="K8" s="20">
        <v>138.41</v>
      </c>
      <c r="L8" s="19" t="s">
        <v>406</v>
      </c>
    </row>
    <row r="9" spans="1:12" x14ac:dyDescent="0.25">
      <c r="A9" s="19">
        <v>2</v>
      </c>
      <c r="B9" s="21" t="s">
        <v>95</v>
      </c>
      <c r="C9" s="21" t="s">
        <v>56</v>
      </c>
      <c r="D9" s="20">
        <v>32.340000000000003</v>
      </c>
      <c r="E9" s="20">
        <v>0</v>
      </c>
      <c r="F9" s="20">
        <v>0</v>
      </c>
      <c r="G9" s="19" t="s">
        <v>4</v>
      </c>
      <c r="H9" s="19"/>
      <c r="I9" s="23">
        <v>42835</v>
      </c>
      <c r="J9" s="23">
        <v>42835</v>
      </c>
      <c r="K9" s="20">
        <v>32.340000000000003</v>
      </c>
      <c r="L9" s="19" t="s">
        <v>406</v>
      </c>
    </row>
    <row r="10" spans="1:12" x14ac:dyDescent="0.25">
      <c r="A10" s="19">
        <v>3</v>
      </c>
      <c r="B10" s="21" t="s">
        <v>95</v>
      </c>
      <c r="C10" s="21" t="s">
        <v>56</v>
      </c>
      <c r="D10" s="20"/>
      <c r="E10" s="20"/>
      <c r="F10" s="20"/>
      <c r="G10" s="19"/>
      <c r="H10" s="19"/>
      <c r="I10" s="23"/>
      <c r="J10" s="23"/>
      <c r="K10" s="20">
        <v>0</v>
      </c>
      <c r="L10" s="19" t="s">
        <v>406</v>
      </c>
    </row>
    <row r="11" spans="1:12" x14ac:dyDescent="0.25">
      <c r="A11" s="19">
        <v>4</v>
      </c>
      <c r="B11" s="21" t="s">
        <v>119</v>
      </c>
      <c r="C11" s="21" t="s">
        <v>58</v>
      </c>
      <c r="D11" s="20">
        <v>0</v>
      </c>
      <c r="E11" s="20">
        <v>0</v>
      </c>
      <c r="F11" s="20">
        <v>0</v>
      </c>
      <c r="G11" s="19" t="s">
        <v>4</v>
      </c>
      <c r="H11" s="19"/>
      <c r="I11" s="23">
        <v>42865</v>
      </c>
      <c r="J11" s="23">
        <v>42865</v>
      </c>
      <c r="K11" s="20">
        <v>0</v>
      </c>
      <c r="L11" s="19" t="s">
        <v>407</v>
      </c>
    </row>
    <row r="12" spans="1:12" x14ac:dyDescent="0.25">
      <c r="A12" s="19">
        <v>5</v>
      </c>
      <c r="B12" s="21" t="s">
        <v>76</v>
      </c>
      <c r="C12" s="21" t="s">
        <v>59</v>
      </c>
      <c r="D12" s="20">
        <v>60</v>
      </c>
      <c r="E12" s="20">
        <v>0</v>
      </c>
      <c r="F12" s="20">
        <v>0</v>
      </c>
      <c r="G12" s="19" t="s">
        <v>4</v>
      </c>
      <c r="H12" s="19">
        <v>2546</v>
      </c>
      <c r="I12" s="22">
        <v>42804</v>
      </c>
      <c r="J12" s="22">
        <v>42804</v>
      </c>
      <c r="K12" s="20">
        <v>60</v>
      </c>
      <c r="L12" s="19" t="s">
        <v>407</v>
      </c>
    </row>
    <row r="13" spans="1:12" x14ac:dyDescent="0.25">
      <c r="A13" s="19">
        <v>6</v>
      </c>
      <c r="B13" s="21" t="s">
        <v>76</v>
      </c>
      <c r="C13" s="21" t="s">
        <v>59</v>
      </c>
      <c r="D13" s="20">
        <v>12.23</v>
      </c>
      <c r="E13" s="20">
        <v>0</v>
      </c>
      <c r="F13" s="20">
        <v>0</v>
      </c>
      <c r="G13" s="19" t="s">
        <v>4</v>
      </c>
      <c r="H13" s="19"/>
      <c r="I13" s="22">
        <v>42804</v>
      </c>
      <c r="J13" s="22">
        <v>42804</v>
      </c>
      <c r="K13" s="20">
        <v>12.23</v>
      </c>
      <c r="L13" s="19" t="s">
        <v>406</v>
      </c>
    </row>
    <row r="14" spans="1:12" x14ac:dyDescent="0.25">
      <c r="A14" s="19">
        <v>7</v>
      </c>
      <c r="B14" s="21" t="s">
        <v>77</v>
      </c>
      <c r="C14" s="21" t="s">
        <v>59</v>
      </c>
      <c r="D14" s="20">
        <v>42.5</v>
      </c>
      <c r="E14" s="20">
        <v>0</v>
      </c>
      <c r="F14" s="20">
        <v>0</v>
      </c>
      <c r="G14" s="19" t="s">
        <v>4</v>
      </c>
      <c r="H14" s="19">
        <v>5654</v>
      </c>
      <c r="I14" s="22">
        <v>42804</v>
      </c>
      <c r="J14" s="22">
        <v>42804</v>
      </c>
      <c r="K14" s="20">
        <v>42.5</v>
      </c>
      <c r="L14" s="19" t="s">
        <v>406</v>
      </c>
    </row>
    <row r="15" spans="1:12" x14ac:dyDescent="0.25">
      <c r="A15" s="19">
        <v>8</v>
      </c>
      <c r="B15" s="21" t="s">
        <v>414</v>
      </c>
      <c r="C15" s="21" t="s">
        <v>91</v>
      </c>
      <c r="D15" s="20">
        <v>50</v>
      </c>
      <c r="E15" s="20">
        <v>0</v>
      </c>
      <c r="F15" s="20">
        <v>0</v>
      </c>
      <c r="G15" s="19" t="s">
        <v>4</v>
      </c>
      <c r="H15" s="19"/>
      <c r="I15" s="23">
        <v>42865</v>
      </c>
      <c r="J15" s="23">
        <v>42865</v>
      </c>
      <c r="K15" s="20">
        <v>50</v>
      </c>
      <c r="L15" s="19" t="s">
        <v>407</v>
      </c>
    </row>
    <row r="16" spans="1:12" x14ac:dyDescent="0.25">
      <c r="A16" s="19">
        <v>9</v>
      </c>
      <c r="B16" s="21" t="s">
        <v>78</v>
      </c>
      <c r="C16" s="21" t="s">
        <v>59</v>
      </c>
      <c r="D16" s="20">
        <v>456</v>
      </c>
      <c r="E16" s="20">
        <v>0</v>
      </c>
      <c r="F16" s="20">
        <v>0</v>
      </c>
      <c r="G16" s="19" t="s">
        <v>4</v>
      </c>
      <c r="H16" s="19"/>
      <c r="I16" s="23">
        <v>42804</v>
      </c>
      <c r="J16" s="23">
        <v>42804</v>
      </c>
      <c r="K16" s="20">
        <v>456</v>
      </c>
      <c r="L16" s="19" t="s">
        <v>407</v>
      </c>
    </row>
    <row r="17" spans="1:32" x14ac:dyDescent="0.25">
      <c r="A17" s="19">
        <v>10</v>
      </c>
      <c r="B17" s="21" t="s">
        <v>143</v>
      </c>
      <c r="C17" s="21" t="s">
        <v>90</v>
      </c>
      <c r="D17" s="20">
        <v>450.05</v>
      </c>
      <c r="E17" s="20">
        <v>54.56</v>
      </c>
      <c r="F17" s="20">
        <v>0</v>
      </c>
      <c r="G17" s="19" t="s">
        <v>4</v>
      </c>
      <c r="H17" s="19">
        <v>56598</v>
      </c>
      <c r="I17" s="23">
        <v>42865</v>
      </c>
      <c r="J17" s="23">
        <v>42865</v>
      </c>
      <c r="K17" s="20">
        <v>504.61</v>
      </c>
      <c r="L17" s="19" t="s">
        <v>406</v>
      </c>
    </row>
    <row r="18" spans="1:32" x14ac:dyDescent="0.25">
      <c r="A18" s="19">
        <v>11</v>
      </c>
      <c r="B18" s="21" t="s">
        <v>55</v>
      </c>
      <c r="C18" s="21" t="s">
        <v>56</v>
      </c>
      <c r="D18" s="20">
        <v>45.65</v>
      </c>
      <c r="E18" s="20">
        <v>1.2</v>
      </c>
      <c r="F18" s="20">
        <v>12.35</v>
      </c>
      <c r="G18" s="19" t="s">
        <v>4</v>
      </c>
      <c r="H18" s="19">
        <v>56545</v>
      </c>
      <c r="I18" s="22">
        <v>42955</v>
      </c>
      <c r="J18" s="22">
        <v>42955</v>
      </c>
      <c r="K18" s="20">
        <v>59.2</v>
      </c>
      <c r="L18" s="19" t="s">
        <v>407</v>
      </c>
    </row>
    <row r="19" spans="1:32" x14ac:dyDescent="0.25">
      <c r="A19" s="19">
        <v>12</v>
      </c>
      <c r="B19" s="21" t="s">
        <v>57</v>
      </c>
      <c r="C19" s="21" t="s">
        <v>58</v>
      </c>
      <c r="D19" s="20">
        <v>0</v>
      </c>
      <c r="E19" s="20">
        <v>0</v>
      </c>
      <c r="F19" s="20">
        <v>0</v>
      </c>
      <c r="G19" s="19" t="s">
        <v>4</v>
      </c>
      <c r="H19" s="19"/>
      <c r="I19" s="22">
        <v>42986</v>
      </c>
      <c r="J19" s="22">
        <v>42986</v>
      </c>
      <c r="K19" s="20">
        <v>0</v>
      </c>
      <c r="L19" s="19" t="s">
        <v>406</v>
      </c>
    </row>
    <row r="20" spans="1:32" x14ac:dyDescent="0.25">
      <c r="A20" s="19">
        <v>13</v>
      </c>
      <c r="B20" s="21" t="s">
        <v>385</v>
      </c>
      <c r="C20" s="21" t="s">
        <v>89</v>
      </c>
      <c r="D20" s="20">
        <v>45.55</v>
      </c>
      <c r="E20" s="20">
        <v>22</v>
      </c>
      <c r="F20" s="20">
        <v>5</v>
      </c>
      <c r="G20" s="19" t="s">
        <v>4</v>
      </c>
      <c r="H20" s="19">
        <v>21321</v>
      </c>
      <c r="I20" s="23">
        <v>42865</v>
      </c>
      <c r="J20" s="23">
        <v>42865</v>
      </c>
      <c r="K20" s="20">
        <v>72.55</v>
      </c>
      <c r="L20" s="19" t="s">
        <v>407</v>
      </c>
    </row>
    <row r="21" spans="1:32" x14ac:dyDescent="0.25">
      <c r="A21" s="19">
        <v>14</v>
      </c>
      <c r="B21" s="21" t="s">
        <v>101</v>
      </c>
      <c r="C21" s="21" t="s">
        <v>56</v>
      </c>
      <c r="D21" s="20">
        <v>0</v>
      </c>
      <c r="E21" s="20">
        <v>0</v>
      </c>
      <c r="F21" s="20">
        <v>0</v>
      </c>
      <c r="G21" s="19" t="s">
        <v>4</v>
      </c>
      <c r="H21" s="19"/>
      <c r="I21" s="23">
        <v>42835</v>
      </c>
      <c r="J21" s="23">
        <v>42835</v>
      </c>
      <c r="K21" s="20">
        <v>0</v>
      </c>
      <c r="L21" s="19" t="s">
        <v>406</v>
      </c>
    </row>
    <row r="22" spans="1:32" x14ac:dyDescent="0.25">
      <c r="A22" s="19"/>
      <c r="B22" s="21"/>
      <c r="C22" s="21"/>
      <c r="D22" s="20">
        <v>1230.8800000000001</v>
      </c>
      <c r="E22" s="20">
        <v>167.61</v>
      </c>
      <c r="F22" s="20">
        <v>29.35</v>
      </c>
      <c r="G22" s="19"/>
      <c r="H22" s="19"/>
      <c r="I22" s="23"/>
      <c r="J22" s="23"/>
      <c r="K22" s="20">
        <v>1427.84</v>
      </c>
      <c r="L22" s="19"/>
    </row>
    <row r="23" spans="1:32" x14ac:dyDescent="0.25">
      <c r="A23" s="19"/>
      <c r="B23" s="21"/>
      <c r="C23" s="21"/>
      <c r="D23" s="24"/>
      <c r="E23" s="24"/>
      <c r="F23" s="24"/>
      <c r="G23" s="19"/>
      <c r="H23" s="19"/>
      <c r="I23" s="22"/>
      <c r="J23" s="22"/>
      <c r="K23" s="24"/>
      <c r="L23" s="19"/>
    </row>
    <row r="24" spans="1:32" x14ac:dyDescent="0.25">
      <c r="A24" s="19"/>
      <c r="B24" s="21"/>
      <c r="C24" s="21"/>
      <c r="D24" s="24"/>
      <c r="E24" s="24"/>
      <c r="F24" s="24"/>
      <c r="G24" s="19"/>
      <c r="H24" s="19"/>
      <c r="I24" s="22"/>
      <c r="J24" s="22"/>
      <c r="K24" s="24"/>
      <c r="L24" s="19"/>
    </row>
    <row r="25" spans="1:32" x14ac:dyDescent="0.25">
      <c r="A25" s="19"/>
      <c r="B25" s="21"/>
      <c r="C25" s="21"/>
      <c r="D25" s="24"/>
      <c r="E25" s="24"/>
      <c r="F25" s="24"/>
      <c r="G25" s="19"/>
      <c r="H25" s="19"/>
      <c r="I25" s="22"/>
      <c r="J25" s="22"/>
      <c r="K25" s="24"/>
      <c r="L25" s="19"/>
    </row>
    <row r="26" spans="1:32" x14ac:dyDescent="0.25">
      <c r="A26" s="19"/>
      <c r="B26" s="21"/>
      <c r="C26" s="21"/>
      <c r="D26" s="24"/>
      <c r="E26" s="24"/>
      <c r="F26" s="24"/>
      <c r="G26" s="19"/>
      <c r="H26" s="19"/>
      <c r="I26" s="22"/>
      <c r="J26" s="22"/>
      <c r="K26" s="24"/>
      <c r="L26" s="19"/>
    </row>
    <row r="27" spans="1:32" x14ac:dyDescent="0.25">
      <c r="A27" s="19"/>
      <c r="B27" s="21"/>
      <c r="C27" s="21"/>
      <c r="D27" s="24"/>
      <c r="E27" s="24"/>
      <c r="F27" s="24"/>
      <c r="G27" s="19"/>
      <c r="H27" s="19"/>
      <c r="I27" s="22"/>
      <c r="J27" s="22"/>
      <c r="K27" s="24"/>
      <c r="L27" s="19"/>
      <c r="W27" s="21"/>
      <c r="X27" s="21"/>
      <c r="Y27" s="24"/>
      <c r="Z27" s="24"/>
      <c r="AA27" s="24"/>
      <c r="AB27" s="19"/>
      <c r="AC27" s="19"/>
      <c r="AD27" s="22"/>
      <c r="AE27" s="22"/>
      <c r="AF27" s="24"/>
    </row>
    <row r="28" spans="1:32" x14ac:dyDescent="0.25">
      <c r="A28" s="19"/>
      <c r="B28" s="21"/>
      <c r="C28" s="21"/>
      <c r="D28" s="24"/>
      <c r="E28" s="24"/>
      <c r="F28" s="24"/>
      <c r="G28" s="19"/>
      <c r="H28" s="19"/>
      <c r="I28" s="22"/>
      <c r="J28" s="22"/>
      <c r="K28" s="24"/>
      <c r="L28" s="19"/>
      <c r="W28" s="21"/>
      <c r="X28" s="21"/>
      <c r="Y28" s="24"/>
      <c r="Z28" s="24"/>
      <c r="AA28" s="24"/>
      <c r="AB28" s="19"/>
      <c r="AC28" s="19"/>
      <c r="AD28" s="22"/>
      <c r="AE28" s="22"/>
      <c r="AF28" s="24"/>
    </row>
    <row r="29" spans="1:32" x14ac:dyDescent="0.25">
      <c r="A29" s="19"/>
      <c r="B29" s="21"/>
      <c r="C29" s="21"/>
      <c r="D29" s="24"/>
      <c r="E29" s="24"/>
      <c r="F29" s="24"/>
      <c r="G29" s="19"/>
      <c r="H29" s="19"/>
      <c r="I29" s="22"/>
      <c r="J29" s="22"/>
      <c r="K29" s="24"/>
      <c r="L29" s="19"/>
      <c r="W29" s="21"/>
      <c r="X29" s="21"/>
      <c r="Y29" s="24"/>
      <c r="Z29" s="24"/>
      <c r="AA29" s="24"/>
      <c r="AB29" s="19"/>
      <c r="AC29" s="19"/>
      <c r="AD29" s="22"/>
      <c r="AE29" s="22"/>
      <c r="AF29" s="24"/>
    </row>
    <row r="30" spans="1:32" x14ac:dyDescent="0.25">
      <c r="A30" s="19"/>
      <c r="B30" s="21"/>
      <c r="C30" s="21"/>
      <c r="D30" s="24"/>
      <c r="E30" s="24"/>
      <c r="F30" s="24"/>
      <c r="G30" s="19"/>
      <c r="H30" s="19"/>
      <c r="I30" s="22"/>
      <c r="J30" s="22"/>
      <c r="K30" s="24"/>
      <c r="L30" s="19"/>
      <c r="W30" s="21"/>
      <c r="X30" s="21"/>
      <c r="Y30" s="24"/>
      <c r="Z30" s="24"/>
      <c r="AA30" s="24"/>
      <c r="AB30" s="19"/>
      <c r="AC30" s="19"/>
      <c r="AD30" s="22"/>
      <c r="AE30" s="22"/>
      <c r="AF30" s="24"/>
    </row>
    <row r="31" spans="1:32" x14ac:dyDescent="0.25">
      <c r="A31" s="19"/>
      <c r="B31" s="21"/>
      <c r="C31" s="21"/>
      <c r="D31" s="24"/>
      <c r="E31" s="24"/>
      <c r="F31" s="24"/>
      <c r="G31" s="19"/>
      <c r="H31" s="19"/>
      <c r="I31" s="22"/>
      <c r="J31" s="22"/>
      <c r="K31" s="24"/>
      <c r="L31" s="19"/>
      <c r="V31" s="19"/>
      <c r="W31" s="21"/>
      <c r="X31" s="21"/>
      <c r="Y31" s="24"/>
      <c r="Z31" s="24"/>
      <c r="AA31" s="24"/>
      <c r="AB31" s="19"/>
      <c r="AC31" s="19"/>
      <c r="AD31" s="22"/>
      <c r="AE31" s="22"/>
      <c r="AF31" s="24"/>
    </row>
    <row r="32" spans="1:32" x14ac:dyDescent="0.25">
      <c r="A32" s="19"/>
      <c r="B32" s="21"/>
      <c r="C32" s="21"/>
      <c r="D32" s="24"/>
      <c r="E32" s="24"/>
      <c r="F32" s="24"/>
      <c r="G32" s="19"/>
      <c r="H32" s="19"/>
      <c r="I32" s="22"/>
      <c r="J32" s="22"/>
      <c r="K32" s="24"/>
      <c r="L32" s="19"/>
      <c r="V32" s="19"/>
      <c r="W32" s="21"/>
      <c r="X32" s="21"/>
      <c r="Y32" s="24"/>
      <c r="Z32" s="24"/>
      <c r="AA32" s="24"/>
      <c r="AB32" s="19"/>
      <c r="AC32" s="19"/>
      <c r="AD32" s="22"/>
      <c r="AE32" s="22"/>
      <c r="AF32" s="24"/>
    </row>
    <row r="33" spans="1:32" x14ac:dyDescent="0.25">
      <c r="A33" s="19"/>
      <c r="B33" s="21"/>
      <c r="C33" s="21"/>
      <c r="D33" s="24"/>
      <c r="E33" s="24"/>
      <c r="F33" s="24"/>
      <c r="G33" s="19"/>
      <c r="H33" s="19"/>
      <c r="I33" s="22"/>
      <c r="J33" s="22"/>
      <c r="K33" s="24"/>
      <c r="L33" s="19"/>
      <c r="V33" s="19"/>
      <c r="W33" s="21"/>
      <c r="X33" s="21"/>
      <c r="Y33" s="24"/>
      <c r="Z33" s="24"/>
      <c r="AA33" s="24"/>
      <c r="AB33" s="19"/>
      <c r="AC33" s="19"/>
      <c r="AD33" s="22"/>
      <c r="AE33" s="22"/>
      <c r="AF33" s="24"/>
    </row>
    <row r="34" spans="1:32" x14ac:dyDescent="0.25">
      <c r="A34" s="19"/>
      <c r="B34" s="21"/>
      <c r="C34" s="21"/>
      <c r="D34" s="24"/>
      <c r="E34" s="24"/>
      <c r="F34" s="24"/>
      <c r="G34" s="19"/>
      <c r="H34" s="19"/>
      <c r="I34" s="22"/>
      <c r="J34" s="22"/>
      <c r="K34" s="24"/>
      <c r="L34" s="19"/>
      <c r="V34" s="19"/>
      <c r="W34" s="21"/>
      <c r="X34" s="21"/>
      <c r="Y34" s="24"/>
      <c r="Z34" s="24"/>
      <c r="AA34" s="24"/>
      <c r="AB34" s="19"/>
      <c r="AC34" s="19"/>
      <c r="AD34" s="22"/>
      <c r="AE34" s="22"/>
      <c r="AF34" s="24"/>
    </row>
    <row r="35" spans="1:32" x14ac:dyDescent="0.25">
      <c r="A35" s="19"/>
      <c r="B35" s="21"/>
      <c r="C35" s="21"/>
      <c r="D35" s="24"/>
      <c r="E35" s="24"/>
      <c r="F35" s="24"/>
      <c r="G35" s="19"/>
      <c r="H35" s="19"/>
      <c r="I35" s="22"/>
      <c r="J35" s="22"/>
      <c r="K35" s="24"/>
      <c r="L35" s="19"/>
      <c r="V35" s="19"/>
      <c r="W35" s="21"/>
      <c r="X35" s="21"/>
      <c r="Y35" s="24"/>
      <c r="Z35" s="24"/>
      <c r="AA35" s="24"/>
      <c r="AB35" s="19"/>
      <c r="AC35" s="19"/>
      <c r="AD35" s="22"/>
      <c r="AE35" s="22"/>
      <c r="AF35" s="24"/>
    </row>
    <row r="36" spans="1:32" x14ac:dyDescent="0.25">
      <c r="A36" s="19"/>
      <c r="B36" s="21"/>
      <c r="C36" s="21"/>
      <c r="D36" s="24"/>
      <c r="E36" s="24"/>
      <c r="F36" s="24"/>
      <c r="G36" s="19"/>
      <c r="H36" s="19"/>
      <c r="I36" s="22"/>
      <c r="J36" s="22"/>
      <c r="K36" s="24"/>
      <c r="L36" s="19"/>
      <c r="V36" s="19"/>
      <c r="W36" s="21"/>
      <c r="X36" s="21"/>
      <c r="Y36" s="24"/>
      <c r="Z36" s="24"/>
      <c r="AA36" s="24"/>
      <c r="AB36" s="19"/>
      <c r="AC36" s="19"/>
      <c r="AD36" s="22"/>
      <c r="AE36" s="22"/>
      <c r="AF36" s="24"/>
    </row>
    <row r="37" spans="1:32" x14ac:dyDescent="0.25">
      <c r="A37" s="19"/>
      <c r="B37" s="21"/>
      <c r="C37" s="21"/>
      <c r="D37" s="24"/>
      <c r="E37" s="24"/>
      <c r="F37" s="24"/>
      <c r="G37" s="19"/>
      <c r="H37" s="19"/>
      <c r="I37" s="22"/>
      <c r="J37" s="22"/>
      <c r="K37" s="24"/>
      <c r="L37" s="19"/>
      <c r="V37" s="19"/>
      <c r="W37" s="21"/>
      <c r="X37" s="21"/>
      <c r="Y37" s="24"/>
      <c r="Z37" s="24"/>
      <c r="AA37" s="24"/>
      <c r="AB37" s="19"/>
      <c r="AC37" s="19"/>
      <c r="AD37" s="22"/>
      <c r="AE37" s="22"/>
      <c r="AF37" s="24"/>
    </row>
    <row r="38" spans="1:32" x14ac:dyDescent="0.25">
      <c r="A38" s="19"/>
      <c r="B38" s="21"/>
      <c r="C38" s="21"/>
      <c r="D38" s="24"/>
      <c r="E38" s="24"/>
      <c r="F38" s="24"/>
      <c r="G38" s="19"/>
      <c r="H38" s="19"/>
      <c r="I38" s="22"/>
      <c r="J38" s="22"/>
      <c r="K38" s="24"/>
      <c r="L38" s="19"/>
      <c r="V38" s="19"/>
      <c r="W38" s="21"/>
      <c r="X38" s="21"/>
      <c r="Y38" s="24"/>
      <c r="Z38" s="24"/>
      <c r="AA38" s="24"/>
      <c r="AB38" s="19"/>
      <c r="AC38" s="19"/>
      <c r="AD38" s="22"/>
      <c r="AE38" s="22"/>
      <c r="AF38" s="24"/>
    </row>
    <row r="39" spans="1:32" x14ac:dyDescent="0.25">
      <c r="A39" s="19"/>
      <c r="B39" s="21"/>
      <c r="C39" s="21"/>
      <c r="D39" s="24"/>
      <c r="E39" s="24"/>
      <c r="F39" s="24"/>
      <c r="G39" s="19"/>
      <c r="H39" s="19"/>
      <c r="I39" s="22"/>
      <c r="J39" s="22"/>
      <c r="K39" s="24"/>
      <c r="L39" s="19"/>
      <c r="V39" s="19"/>
      <c r="W39" s="21"/>
      <c r="X39" s="21"/>
      <c r="Y39" s="24"/>
      <c r="Z39" s="24"/>
      <c r="AA39" s="24"/>
      <c r="AB39" s="19"/>
      <c r="AC39" s="19"/>
      <c r="AD39" s="22"/>
      <c r="AE39" s="22"/>
      <c r="AF39" s="24"/>
    </row>
    <row r="40" spans="1:32" x14ac:dyDescent="0.25">
      <c r="A40" s="19"/>
      <c r="B40" s="21"/>
      <c r="C40" s="21"/>
      <c r="D40" s="24"/>
      <c r="E40" s="24"/>
      <c r="F40" s="24"/>
      <c r="G40" s="19"/>
      <c r="H40" s="19"/>
      <c r="I40" s="22"/>
      <c r="J40" s="22"/>
      <c r="K40" s="24"/>
      <c r="L40" s="19"/>
      <c r="V40" s="19"/>
      <c r="W40" s="21"/>
      <c r="X40" s="21"/>
      <c r="Y40" s="24"/>
      <c r="Z40" s="24"/>
      <c r="AA40" s="24"/>
      <c r="AB40" s="19"/>
      <c r="AC40" s="19"/>
      <c r="AD40" s="22"/>
      <c r="AE40" s="22"/>
      <c r="AF40" s="24"/>
    </row>
    <row r="41" spans="1:32" x14ac:dyDescent="0.25">
      <c r="A41" s="19"/>
      <c r="B41" s="21"/>
      <c r="C41" s="21"/>
      <c r="D41" s="24"/>
      <c r="E41" s="24"/>
      <c r="F41" s="24"/>
      <c r="G41" s="19"/>
      <c r="H41" s="19"/>
      <c r="I41" s="22"/>
      <c r="J41" s="22"/>
      <c r="K41" s="24"/>
      <c r="L41" s="19"/>
      <c r="V41" s="19"/>
      <c r="W41" s="21"/>
      <c r="X41" s="21"/>
      <c r="Y41" s="24"/>
      <c r="Z41" s="24"/>
      <c r="AA41" s="24"/>
      <c r="AB41" s="19"/>
      <c r="AC41" s="19"/>
      <c r="AD41" s="22"/>
      <c r="AE41" s="22"/>
      <c r="AF41" s="24"/>
    </row>
    <row r="42" spans="1:32" x14ac:dyDescent="0.25">
      <c r="A42" s="19"/>
      <c r="B42" s="21"/>
      <c r="C42" s="21"/>
      <c r="D42" s="24"/>
      <c r="E42" s="24"/>
      <c r="F42" s="24"/>
      <c r="G42" s="19"/>
      <c r="H42" s="19"/>
      <c r="I42" s="22"/>
      <c r="J42" s="22"/>
      <c r="K42" s="24"/>
      <c r="L42" s="19"/>
      <c r="V42" s="19"/>
      <c r="W42" s="21"/>
      <c r="X42" s="21"/>
      <c r="Y42" s="24"/>
      <c r="Z42" s="24"/>
      <c r="AA42" s="24"/>
      <c r="AB42" s="19"/>
      <c r="AC42" s="19"/>
      <c r="AD42" s="22"/>
      <c r="AE42" s="22"/>
      <c r="AF42" s="24"/>
    </row>
    <row r="43" spans="1:32" x14ac:dyDescent="0.25">
      <c r="A43" s="19"/>
      <c r="B43" s="21"/>
      <c r="C43" s="21"/>
      <c r="D43" s="24"/>
      <c r="E43" s="24"/>
      <c r="F43" s="24"/>
      <c r="G43" s="19"/>
      <c r="H43" s="19"/>
      <c r="I43" s="22"/>
      <c r="J43" s="22"/>
      <c r="K43" s="24"/>
      <c r="L43" s="19"/>
      <c r="V43" s="19"/>
      <c r="W43" s="21"/>
      <c r="X43" s="21"/>
      <c r="Y43" s="24"/>
      <c r="Z43" s="24"/>
      <c r="AA43" s="24"/>
      <c r="AB43" s="19"/>
      <c r="AC43" s="19"/>
      <c r="AD43" s="22"/>
      <c r="AE43" s="22"/>
      <c r="AF43" s="24"/>
    </row>
    <row r="44" spans="1:32" x14ac:dyDescent="0.25">
      <c r="A44" s="19"/>
      <c r="B44" s="21"/>
      <c r="C44" s="21"/>
      <c r="D44" s="24"/>
      <c r="E44" s="24"/>
      <c r="F44" s="24"/>
      <c r="G44" s="19"/>
      <c r="H44" s="19"/>
      <c r="I44" s="22"/>
      <c r="J44" s="22"/>
      <c r="K44" s="24"/>
      <c r="L44" s="19"/>
      <c r="V44" s="19"/>
      <c r="W44" s="21"/>
      <c r="X44" s="21"/>
      <c r="Y44" s="24"/>
      <c r="Z44" s="24"/>
      <c r="AA44" s="24"/>
      <c r="AB44" s="19"/>
      <c r="AC44" s="19"/>
      <c r="AD44" s="22"/>
      <c r="AE44" s="22"/>
      <c r="AF44" s="24"/>
    </row>
    <row r="45" spans="1:32" x14ac:dyDescent="0.25">
      <c r="A45" s="19"/>
      <c r="B45" s="21"/>
      <c r="C45" s="21"/>
      <c r="D45" s="24"/>
      <c r="E45" s="24"/>
      <c r="F45" s="24"/>
      <c r="G45" s="19"/>
      <c r="H45" s="19"/>
      <c r="I45" s="22"/>
      <c r="J45" s="22"/>
      <c r="K45" s="24"/>
      <c r="L45" s="19"/>
      <c r="V45" s="19"/>
      <c r="W45" s="21"/>
      <c r="X45" s="21"/>
      <c r="Y45" s="24"/>
      <c r="Z45" s="24"/>
      <c r="AA45" s="24"/>
      <c r="AB45" s="19"/>
      <c r="AC45" s="19"/>
      <c r="AD45" s="22"/>
      <c r="AE45" s="22"/>
      <c r="AF45" s="24"/>
    </row>
    <row r="46" spans="1:32" x14ac:dyDescent="0.25">
      <c r="A46" s="19"/>
      <c r="B46" s="21"/>
      <c r="C46" s="21"/>
      <c r="D46" s="24"/>
      <c r="E46" s="24"/>
      <c r="F46" s="24"/>
      <c r="G46" s="19"/>
      <c r="H46" s="19"/>
      <c r="I46" s="22"/>
      <c r="J46" s="22"/>
      <c r="K46" s="24"/>
      <c r="L46" s="19"/>
      <c r="V46" s="19"/>
      <c r="W46" s="21"/>
      <c r="X46" s="21"/>
      <c r="Y46" s="24"/>
      <c r="Z46" s="24"/>
      <c r="AA46" s="24"/>
      <c r="AB46" s="19"/>
      <c r="AC46" s="19"/>
      <c r="AD46" s="22"/>
      <c r="AE46" s="22"/>
      <c r="AF46" s="24"/>
    </row>
    <row r="47" spans="1:32" x14ac:dyDescent="0.25">
      <c r="A47" s="19"/>
      <c r="B47" s="21"/>
      <c r="C47" s="21"/>
      <c r="D47" s="24"/>
      <c r="E47" s="24"/>
      <c r="F47" s="24"/>
      <c r="G47" s="19"/>
      <c r="H47" s="19"/>
      <c r="I47" s="22"/>
      <c r="J47" s="22"/>
      <c r="K47" s="24"/>
      <c r="L47" s="19"/>
      <c r="V47" s="19"/>
      <c r="W47" s="21"/>
      <c r="X47" s="21"/>
      <c r="Y47" s="24"/>
      <c r="Z47" s="24"/>
      <c r="AA47" s="24"/>
      <c r="AB47" s="19"/>
      <c r="AC47" s="19"/>
      <c r="AD47" s="22"/>
      <c r="AE47" s="22"/>
      <c r="AF47" s="24"/>
    </row>
    <row r="48" spans="1:32" x14ac:dyDescent="0.25">
      <c r="A48" s="19"/>
      <c r="B48" s="21"/>
      <c r="C48" s="21"/>
      <c r="D48" s="24"/>
      <c r="E48" s="24"/>
      <c r="F48" s="24"/>
      <c r="G48" s="19"/>
      <c r="H48" s="19"/>
      <c r="I48" s="22"/>
      <c r="J48" s="22"/>
      <c r="K48" s="24"/>
      <c r="L48" s="19"/>
      <c r="V48" s="19"/>
      <c r="W48" s="21"/>
      <c r="X48" s="21"/>
      <c r="Y48" s="24"/>
      <c r="Z48" s="24"/>
      <c r="AA48" s="24"/>
      <c r="AB48" s="19"/>
      <c r="AC48" s="19"/>
      <c r="AD48" s="22"/>
      <c r="AE48" s="22"/>
      <c r="AF48" s="24"/>
    </row>
    <row r="49" spans="1:32" x14ac:dyDescent="0.25">
      <c r="A49" s="19"/>
      <c r="B49" s="21"/>
      <c r="C49" s="21"/>
      <c r="D49" s="24"/>
      <c r="E49" s="24"/>
      <c r="F49" s="24"/>
      <c r="G49" s="19"/>
      <c r="H49" s="19"/>
      <c r="I49" s="22"/>
      <c r="J49" s="22"/>
      <c r="K49" s="24"/>
      <c r="L49" s="19"/>
      <c r="V49" s="19"/>
      <c r="W49" s="21"/>
      <c r="X49" s="21"/>
      <c r="Y49" s="24"/>
      <c r="Z49" s="24"/>
      <c r="AA49" s="24"/>
      <c r="AB49" s="19"/>
      <c r="AC49" s="19"/>
      <c r="AD49" s="22"/>
      <c r="AE49" s="22"/>
      <c r="AF49" s="24"/>
    </row>
    <row r="50" spans="1:32" x14ac:dyDescent="0.25">
      <c r="A50" s="19"/>
      <c r="B50" s="21"/>
      <c r="C50" s="21"/>
      <c r="D50" s="24"/>
      <c r="E50" s="24"/>
      <c r="F50" s="24"/>
      <c r="G50" s="19"/>
      <c r="H50" s="19"/>
      <c r="I50" s="22"/>
      <c r="J50" s="22"/>
      <c r="K50" s="24"/>
      <c r="L50" s="19"/>
      <c r="V50" s="19"/>
      <c r="W50" s="21"/>
      <c r="X50" s="21"/>
      <c r="Y50" s="24"/>
      <c r="Z50" s="24"/>
      <c r="AA50" s="24"/>
      <c r="AB50" s="19"/>
      <c r="AC50" s="19"/>
      <c r="AD50" s="22"/>
      <c r="AE50" s="22"/>
      <c r="AF50" s="24"/>
    </row>
    <row r="51" spans="1:32" x14ac:dyDescent="0.25">
      <c r="A51" s="19"/>
      <c r="B51" s="21"/>
      <c r="C51" s="21"/>
      <c r="D51" s="24"/>
      <c r="E51" s="24"/>
      <c r="F51" s="24"/>
      <c r="G51" s="19"/>
      <c r="H51" s="19"/>
      <c r="I51" s="22"/>
      <c r="J51" s="22"/>
      <c r="K51" s="24"/>
      <c r="L51" s="19"/>
      <c r="V51" s="19"/>
      <c r="W51" s="21"/>
      <c r="X51" s="21"/>
      <c r="Y51" s="24"/>
      <c r="Z51" s="24"/>
      <c r="AA51" s="24"/>
      <c r="AB51" s="19"/>
      <c r="AC51" s="19"/>
      <c r="AD51" s="22"/>
      <c r="AE51" s="22"/>
      <c r="AF51" s="24"/>
    </row>
    <row r="52" spans="1:32" x14ac:dyDescent="0.25">
      <c r="A52" s="19"/>
      <c r="B52" s="21"/>
      <c r="C52" s="21"/>
      <c r="D52" s="24"/>
      <c r="E52" s="24"/>
      <c r="F52" s="24"/>
      <c r="G52" s="19"/>
      <c r="H52" s="19"/>
      <c r="I52" s="22"/>
      <c r="J52" s="22"/>
      <c r="K52" s="24"/>
      <c r="L52" s="19"/>
      <c r="V52" s="19"/>
      <c r="W52" s="21"/>
      <c r="X52" s="21"/>
      <c r="Y52" s="24"/>
      <c r="Z52" s="24"/>
      <c r="AA52" s="24"/>
      <c r="AB52" s="19"/>
      <c r="AC52" s="19"/>
      <c r="AD52" s="22"/>
      <c r="AE52" s="22"/>
      <c r="AF52" s="24"/>
    </row>
    <row r="53" spans="1:32" x14ac:dyDescent="0.25">
      <c r="A53" s="19"/>
      <c r="B53" s="21"/>
      <c r="C53" s="21"/>
      <c r="D53" s="24"/>
      <c r="E53" s="24"/>
      <c r="F53" s="24"/>
      <c r="G53" s="19"/>
      <c r="H53" s="19"/>
      <c r="I53" s="22"/>
      <c r="J53" s="22"/>
      <c r="K53" s="24"/>
      <c r="L53" s="19"/>
      <c r="V53" s="19"/>
      <c r="W53" s="21"/>
      <c r="X53" s="21"/>
      <c r="Y53" s="24"/>
      <c r="Z53" s="24"/>
      <c r="AA53" s="24"/>
      <c r="AB53" s="19"/>
      <c r="AC53" s="19"/>
      <c r="AD53" s="22"/>
      <c r="AE53" s="22"/>
      <c r="AF53" s="24"/>
    </row>
    <row r="54" spans="1:32" x14ac:dyDescent="0.25">
      <c r="A54" s="19"/>
      <c r="B54" s="21"/>
      <c r="C54" s="21"/>
      <c r="D54" s="24"/>
      <c r="E54" s="24"/>
      <c r="F54" s="24"/>
      <c r="G54" s="19"/>
      <c r="H54" s="19"/>
      <c r="I54" s="22"/>
      <c r="J54" s="22"/>
      <c r="K54" s="24"/>
      <c r="L54" s="19"/>
      <c r="V54" s="19"/>
      <c r="W54" s="21"/>
      <c r="X54" s="21"/>
      <c r="Y54" s="24"/>
      <c r="Z54" s="24"/>
      <c r="AA54" s="24"/>
      <c r="AB54" s="19"/>
      <c r="AC54" s="19"/>
      <c r="AD54" s="22"/>
      <c r="AE54" s="22"/>
      <c r="AF54" s="24"/>
    </row>
    <row r="55" spans="1:32" x14ac:dyDescent="0.25">
      <c r="A55" s="19"/>
      <c r="B55" s="21"/>
      <c r="C55" s="21"/>
      <c r="D55" s="24"/>
      <c r="E55" s="24"/>
      <c r="F55" s="24"/>
      <c r="G55" s="19"/>
      <c r="H55" s="19"/>
      <c r="I55" s="22"/>
      <c r="J55" s="22"/>
      <c r="K55" s="24"/>
      <c r="L55" s="19"/>
      <c r="V55" s="19"/>
      <c r="W55" s="21"/>
      <c r="X55" s="21"/>
      <c r="Y55" s="24"/>
      <c r="Z55" s="24"/>
      <c r="AA55" s="24"/>
      <c r="AB55" s="19"/>
      <c r="AC55" s="19"/>
      <c r="AD55" s="22"/>
      <c r="AE55" s="22"/>
      <c r="AF55" s="24"/>
    </row>
    <row r="56" spans="1:32" x14ac:dyDescent="0.25">
      <c r="A56" s="19"/>
      <c r="B56" s="21"/>
      <c r="C56" s="21"/>
      <c r="D56" s="24"/>
      <c r="E56" s="24"/>
      <c r="F56" s="24"/>
      <c r="G56" s="19"/>
      <c r="H56" s="19"/>
      <c r="I56" s="22"/>
      <c r="J56" s="22"/>
      <c r="K56" s="24"/>
      <c r="L56" s="19"/>
      <c r="V56" s="19"/>
      <c r="W56" s="21"/>
      <c r="X56" s="21"/>
      <c r="Y56" s="24"/>
      <c r="Z56" s="24"/>
      <c r="AA56" s="24"/>
      <c r="AB56" s="19"/>
      <c r="AC56" s="19"/>
      <c r="AD56" s="22"/>
      <c r="AE56" s="22"/>
      <c r="AF56" s="24"/>
    </row>
    <row r="57" spans="1:32" x14ac:dyDescent="0.25">
      <c r="A57" s="19"/>
      <c r="B57" s="21"/>
      <c r="C57" s="21"/>
      <c r="D57" s="24"/>
      <c r="E57" s="24"/>
      <c r="F57" s="24"/>
      <c r="G57" s="19"/>
      <c r="H57" s="19"/>
      <c r="I57" s="22"/>
      <c r="J57" s="22"/>
      <c r="K57" s="24"/>
      <c r="L57" s="19"/>
      <c r="V57" s="19"/>
      <c r="W57" s="21"/>
      <c r="X57" s="21"/>
      <c r="Y57" s="24"/>
      <c r="Z57" s="24"/>
      <c r="AA57" s="24"/>
      <c r="AB57" s="19"/>
      <c r="AC57" s="19"/>
      <c r="AD57" s="22"/>
      <c r="AE57" s="22"/>
      <c r="AF57" s="24"/>
    </row>
    <row r="58" spans="1:32" x14ac:dyDescent="0.25">
      <c r="A58" s="19"/>
      <c r="B58" s="21"/>
      <c r="C58" s="21"/>
      <c r="D58" s="24"/>
      <c r="E58" s="24"/>
      <c r="F58" s="24"/>
      <c r="G58" s="19"/>
      <c r="H58" s="19"/>
      <c r="I58" s="22"/>
      <c r="J58" s="22"/>
      <c r="K58" s="24"/>
      <c r="L58" s="19"/>
      <c r="V58" s="19"/>
      <c r="W58" s="21"/>
      <c r="X58" s="21"/>
      <c r="Y58" s="24"/>
      <c r="Z58" s="24"/>
      <c r="AA58" s="24"/>
      <c r="AB58" s="19"/>
      <c r="AC58" s="19"/>
      <c r="AD58" s="22"/>
      <c r="AE58" s="22"/>
      <c r="AF58" s="24"/>
    </row>
    <row r="59" spans="1:32" x14ac:dyDescent="0.25">
      <c r="A59" s="19"/>
      <c r="B59" s="21"/>
      <c r="C59" s="21"/>
      <c r="D59" s="24"/>
      <c r="E59" s="24"/>
      <c r="F59" s="24"/>
      <c r="G59" s="19"/>
      <c r="H59" s="19"/>
      <c r="I59" s="22"/>
      <c r="J59" s="22"/>
      <c r="K59" s="24"/>
      <c r="L59" s="19"/>
      <c r="V59" s="19"/>
      <c r="W59" s="21"/>
      <c r="X59" s="21"/>
      <c r="Y59" s="24"/>
      <c r="Z59" s="24"/>
      <c r="AA59" s="24"/>
      <c r="AB59" s="19"/>
      <c r="AC59" s="19"/>
      <c r="AD59" s="22"/>
      <c r="AE59" s="22"/>
      <c r="AF59" s="24"/>
    </row>
    <row r="60" spans="1:32" x14ac:dyDescent="0.25">
      <c r="A60" s="19"/>
      <c r="B60" s="21"/>
      <c r="C60" s="21"/>
      <c r="D60" s="24"/>
      <c r="E60" s="24"/>
      <c r="F60" s="24"/>
      <c r="G60" s="19"/>
      <c r="H60" s="19"/>
      <c r="I60" s="22"/>
      <c r="J60" s="22"/>
      <c r="K60" s="24"/>
      <c r="L60" s="19"/>
      <c r="V60" s="19"/>
      <c r="W60" s="21"/>
      <c r="X60" s="21"/>
      <c r="Y60" s="24"/>
      <c r="Z60" s="24"/>
      <c r="AA60" s="24"/>
      <c r="AB60" s="19"/>
      <c r="AC60" s="19"/>
      <c r="AD60" s="22"/>
      <c r="AE60" s="22"/>
      <c r="AF60" s="24"/>
    </row>
    <row r="61" spans="1:32" x14ac:dyDescent="0.25">
      <c r="A61" s="19"/>
      <c r="B61" s="21"/>
      <c r="C61" s="21"/>
      <c r="D61" s="24"/>
      <c r="E61" s="24"/>
      <c r="F61" s="24"/>
      <c r="G61" s="19"/>
      <c r="H61" s="19"/>
      <c r="I61" s="22"/>
      <c r="J61" s="22"/>
      <c r="K61" s="24"/>
      <c r="L61" s="19"/>
      <c r="V61" s="19"/>
      <c r="W61" s="21"/>
      <c r="X61" s="21"/>
      <c r="Y61" s="24"/>
      <c r="Z61" s="24"/>
      <c r="AA61" s="24"/>
      <c r="AB61" s="19"/>
      <c r="AC61" s="19"/>
      <c r="AD61" s="22"/>
      <c r="AE61" s="22"/>
      <c r="AF61" s="24"/>
    </row>
    <row r="62" spans="1:32" x14ac:dyDescent="0.25">
      <c r="A62" s="19"/>
      <c r="B62" s="21"/>
      <c r="C62" s="21"/>
      <c r="D62" s="24"/>
      <c r="E62" s="24"/>
      <c r="F62" s="24"/>
      <c r="G62" s="19"/>
      <c r="H62" s="19"/>
      <c r="I62" s="22"/>
      <c r="J62" s="22"/>
      <c r="K62" s="24"/>
      <c r="L62" s="19"/>
      <c r="V62" s="19"/>
      <c r="W62" s="21"/>
      <c r="X62" s="21"/>
      <c r="Y62" s="24"/>
      <c r="Z62" s="24"/>
      <c r="AA62" s="24"/>
      <c r="AB62" s="19"/>
      <c r="AC62" s="19"/>
      <c r="AD62" s="22"/>
      <c r="AE62" s="22"/>
      <c r="AF62" s="24"/>
    </row>
    <row r="63" spans="1:32" x14ac:dyDescent="0.25">
      <c r="A63" s="19"/>
      <c r="B63" s="21"/>
      <c r="C63" s="21"/>
      <c r="D63" s="24"/>
      <c r="E63" s="24"/>
      <c r="F63" s="24"/>
      <c r="G63" s="19"/>
      <c r="H63" s="19"/>
      <c r="I63" s="22"/>
      <c r="J63" s="22"/>
      <c r="K63" s="24"/>
      <c r="L63" s="19"/>
      <c r="V63" s="19"/>
      <c r="W63" s="21"/>
      <c r="X63" s="21"/>
      <c r="Y63" s="24"/>
      <c r="Z63" s="24"/>
      <c r="AA63" s="24"/>
      <c r="AB63" s="19"/>
      <c r="AC63" s="19"/>
      <c r="AD63" s="22"/>
      <c r="AE63" s="22"/>
      <c r="AF63" s="24"/>
    </row>
    <row r="64" spans="1:32" x14ac:dyDescent="0.25">
      <c r="A64" s="19"/>
      <c r="B64" s="21"/>
      <c r="C64" s="21"/>
      <c r="D64" s="24"/>
      <c r="E64" s="24"/>
      <c r="F64" s="24"/>
      <c r="G64" s="19"/>
      <c r="H64" s="19"/>
      <c r="I64" s="22"/>
      <c r="J64" s="22"/>
      <c r="K64" s="24"/>
      <c r="L64" s="19"/>
      <c r="V64" s="19"/>
      <c r="W64" s="21"/>
      <c r="X64" s="21"/>
      <c r="Y64" s="24"/>
      <c r="Z64" s="24"/>
      <c r="AA64" s="24"/>
      <c r="AB64" s="19"/>
      <c r="AC64" s="19"/>
      <c r="AD64" s="22"/>
      <c r="AE64" s="22"/>
      <c r="AF64" s="24"/>
    </row>
    <row r="65" spans="1:32" x14ac:dyDescent="0.25">
      <c r="A65" s="19"/>
      <c r="B65" s="21"/>
      <c r="C65" s="21"/>
      <c r="D65" s="24"/>
      <c r="E65" s="24"/>
      <c r="F65" s="24"/>
      <c r="G65" s="19"/>
      <c r="H65" s="19"/>
      <c r="I65" s="22"/>
      <c r="J65" s="22"/>
      <c r="K65" s="24"/>
      <c r="L65" s="19"/>
      <c r="V65" s="19"/>
      <c r="W65" s="21"/>
      <c r="X65" s="21"/>
      <c r="Y65" s="24"/>
      <c r="Z65" s="24"/>
      <c r="AA65" s="24"/>
      <c r="AB65" s="19"/>
      <c r="AC65" s="19"/>
      <c r="AD65" s="22"/>
      <c r="AE65" s="22"/>
      <c r="AF65" s="24"/>
    </row>
    <row r="66" spans="1:32" x14ac:dyDescent="0.25">
      <c r="A66" s="19"/>
      <c r="B66" s="21"/>
      <c r="C66" s="21"/>
      <c r="D66" s="24"/>
      <c r="E66" s="24"/>
      <c r="F66" s="24"/>
      <c r="G66" s="19"/>
      <c r="H66" s="19"/>
      <c r="I66" s="22"/>
      <c r="J66" s="22"/>
      <c r="K66" s="24"/>
      <c r="L66" s="19"/>
      <c r="V66" s="19"/>
      <c r="W66" s="21"/>
      <c r="X66" s="21"/>
      <c r="Y66" s="24"/>
      <c r="Z66" s="24"/>
      <c r="AA66" s="24"/>
      <c r="AB66" s="19"/>
      <c r="AC66" s="19"/>
      <c r="AD66" s="22"/>
      <c r="AE66" s="22"/>
      <c r="AF66" s="24"/>
    </row>
    <row r="67" spans="1:32" x14ac:dyDescent="0.25">
      <c r="A67" s="19"/>
      <c r="B67" s="21"/>
      <c r="C67" s="21"/>
      <c r="D67" s="24"/>
      <c r="E67" s="24"/>
      <c r="F67" s="24"/>
      <c r="G67" s="19"/>
      <c r="H67" s="19"/>
      <c r="I67" s="22"/>
      <c r="J67" s="22"/>
      <c r="K67" s="24"/>
      <c r="L67" s="19"/>
      <c r="V67" s="19"/>
      <c r="W67" s="21"/>
      <c r="X67" s="21"/>
      <c r="Y67" s="24"/>
      <c r="Z67" s="24"/>
      <c r="AA67" s="24"/>
      <c r="AB67" s="19"/>
      <c r="AC67" s="19"/>
      <c r="AD67" s="22"/>
      <c r="AE67" s="22"/>
      <c r="AF67" s="24"/>
    </row>
    <row r="68" spans="1:32" x14ac:dyDescent="0.25">
      <c r="A68" s="19"/>
      <c r="B68" s="21"/>
      <c r="C68" s="21"/>
      <c r="D68" s="24"/>
      <c r="E68" s="24"/>
      <c r="F68" s="24"/>
      <c r="G68" s="19"/>
      <c r="H68" s="19"/>
      <c r="I68" s="22"/>
      <c r="J68" s="22"/>
      <c r="K68" s="24"/>
      <c r="L68" s="19"/>
      <c r="V68" s="19"/>
      <c r="W68" s="21"/>
      <c r="X68" s="21"/>
      <c r="Y68" s="24"/>
      <c r="Z68" s="24"/>
      <c r="AA68" s="24"/>
      <c r="AB68" s="19"/>
      <c r="AC68" s="19"/>
      <c r="AD68" s="22"/>
      <c r="AE68" s="22"/>
      <c r="AF68" s="24"/>
    </row>
    <row r="69" spans="1:32" x14ac:dyDescent="0.25">
      <c r="A69" s="19"/>
      <c r="B69" s="21"/>
      <c r="C69" s="21"/>
      <c r="D69" s="24"/>
      <c r="E69" s="24"/>
      <c r="F69" s="24"/>
      <c r="G69" s="19"/>
      <c r="H69" s="19"/>
      <c r="I69" s="22"/>
      <c r="J69" s="22"/>
      <c r="K69" s="24"/>
      <c r="L69" s="19"/>
      <c r="V69" s="19"/>
      <c r="W69" s="21"/>
      <c r="X69" s="21"/>
      <c r="Y69" s="24"/>
      <c r="Z69" s="24"/>
      <c r="AA69" s="24"/>
      <c r="AB69" s="19"/>
      <c r="AC69" s="19"/>
      <c r="AD69" s="22"/>
      <c r="AE69" s="22"/>
      <c r="AF69" s="24"/>
    </row>
    <row r="70" spans="1:32" x14ac:dyDescent="0.25">
      <c r="A70" s="19"/>
      <c r="B70" s="21"/>
      <c r="C70" s="21"/>
      <c r="D70" s="24"/>
      <c r="E70" s="24"/>
      <c r="F70" s="24"/>
      <c r="G70" s="19"/>
      <c r="H70" s="19"/>
      <c r="I70" s="22"/>
      <c r="J70" s="22"/>
      <c r="K70" s="24"/>
      <c r="L70" s="19"/>
      <c r="V70" s="19"/>
      <c r="W70" s="21"/>
      <c r="X70" s="21"/>
      <c r="Y70" s="24"/>
      <c r="Z70" s="24"/>
      <c r="AA70" s="24"/>
      <c r="AB70" s="19"/>
      <c r="AC70" s="19"/>
      <c r="AD70" s="22"/>
      <c r="AE70" s="22"/>
      <c r="AF70" s="24"/>
    </row>
    <row r="71" spans="1:32" x14ac:dyDescent="0.25">
      <c r="A71" s="19"/>
      <c r="B71" s="21"/>
      <c r="C71" s="21"/>
      <c r="D71" s="24"/>
      <c r="E71" s="24"/>
      <c r="F71" s="24"/>
      <c r="G71" s="19"/>
      <c r="H71" s="19"/>
      <c r="I71" s="22"/>
      <c r="J71" s="22"/>
      <c r="K71" s="24"/>
      <c r="L71" s="19"/>
      <c r="V71" s="19"/>
      <c r="W71" s="21"/>
      <c r="X71" s="21"/>
      <c r="Y71" s="24"/>
      <c r="Z71" s="24"/>
      <c r="AA71" s="24"/>
      <c r="AB71" s="19"/>
      <c r="AC71" s="19"/>
      <c r="AD71" s="22"/>
      <c r="AE71" s="22"/>
      <c r="AF71" s="24"/>
    </row>
    <row r="72" spans="1:32" x14ac:dyDescent="0.25">
      <c r="A72" s="19"/>
      <c r="B72" s="21"/>
      <c r="C72" s="21"/>
      <c r="D72" s="24"/>
      <c r="E72" s="24"/>
      <c r="F72" s="24"/>
      <c r="G72" s="19"/>
      <c r="H72" s="19"/>
      <c r="I72" s="22"/>
      <c r="J72" s="22"/>
      <c r="K72" s="24"/>
      <c r="L72" s="19"/>
      <c r="V72" s="19"/>
      <c r="W72" s="21"/>
      <c r="X72" s="21"/>
      <c r="Y72" s="24"/>
      <c r="Z72" s="24"/>
      <c r="AA72" s="24"/>
      <c r="AB72" s="19"/>
      <c r="AC72" s="19"/>
      <c r="AD72" s="22"/>
      <c r="AE72" s="22"/>
      <c r="AF72" s="24"/>
    </row>
    <row r="73" spans="1:32" x14ac:dyDescent="0.25">
      <c r="A73" s="19"/>
      <c r="B73" s="21"/>
      <c r="C73" s="21"/>
      <c r="D73" s="24"/>
      <c r="E73" s="24"/>
      <c r="F73" s="24"/>
      <c r="G73" s="19"/>
      <c r="H73" s="19"/>
      <c r="I73" s="22"/>
      <c r="J73" s="22"/>
      <c r="K73" s="24"/>
      <c r="L73" s="19"/>
      <c r="V73" s="19"/>
      <c r="W73" s="21"/>
      <c r="X73" s="21"/>
      <c r="Y73" s="24"/>
      <c r="Z73" s="24"/>
      <c r="AA73" s="24"/>
      <c r="AB73" s="19"/>
      <c r="AC73" s="19"/>
      <c r="AD73" s="22"/>
      <c r="AE73" s="22"/>
      <c r="AF73" s="24"/>
    </row>
    <row r="74" spans="1:32" x14ac:dyDescent="0.25">
      <c r="A74" s="19"/>
      <c r="B74" s="21"/>
      <c r="C74" s="21"/>
      <c r="D74" s="24"/>
      <c r="E74" s="24"/>
      <c r="F74" s="24"/>
      <c r="G74" s="19"/>
      <c r="H74" s="19"/>
      <c r="I74" s="22"/>
      <c r="J74" s="22"/>
      <c r="K74" s="24"/>
      <c r="L74" s="19"/>
      <c r="V74" s="19"/>
      <c r="W74" s="21"/>
      <c r="X74" s="21"/>
      <c r="Y74" s="24"/>
      <c r="Z74" s="24"/>
      <c r="AA74" s="24"/>
      <c r="AB74" s="19"/>
      <c r="AC74" s="19"/>
      <c r="AD74" s="22"/>
      <c r="AE74" s="22"/>
      <c r="AF74" s="24"/>
    </row>
    <row r="75" spans="1:32" x14ac:dyDescent="0.25">
      <c r="A75" s="19"/>
      <c r="B75" s="21"/>
      <c r="C75" s="21"/>
      <c r="D75" s="24"/>
      <c r="E75" s="24"/>
      <c r="F75" s="24"/>
      <c r="G75" s="19"/>
      <c r="H75" s="19"/>
      <c r="I75" s="22"/>
      <c r="J75" s="22"/>
      <c r="K75" s="24"/>
      <c r="L75" s="19"/>
      <c r="V75" s="19"/>
      <c r="W75" s="21"/>
      <c r="X75" s="21"/>
      <c r="Y75" s="24"/>
      <c r="Z75" s="24"/>
      <c r="AA75" s="24"/>
      <c r="AB75" s="19"/>
      <c r="AC75" s="19"/>
      <c r="AD75" s="22"/>
      <c r="AE75" s="22"/>
      <c r="AF75" s="24"/>
    </row>
    <row r="76" spans="1:32" x14ac:dyDescent="0.25">
      <c r="A76" s="19"/>
      <c r="B76" s="21"/>
      <c r="C76" s="21"/>
      <c r="D76" s="24"/>
      <c r="E76" s="24"/>
      <c r="F76" s="24"/>
      <c r="G76" s="19"/>
      <c r="H76" s="19"/>
      <c r="I76" s="22"/>
      <c r="J76" s="22"/>
      <c r="K76" s="24"/>
      <c r="L76" s="19"/>
      <c r="V76" s="19"/>
      <c r="W76" s="21"/>
      <c r="X76" s="21"/>
      <c r="Y76" s="24"/>
      <c r="Z76" s="24"/>
      <c r="AA76" s="24"/>
      <c r="AB76" s="19"/>
      <c r="AC76" s="19"/>
      <c r="AD76" s="22"/>
      <c r="AE76" s="22"/>
      <c r="AF76" s="24"/>
    </row>
    <row r="77" spans="1:32" x14ac:dyDescent="0.25">
      <c r="A77" s="19"/>
      <c r="B77" s="21"/>
      <c r="C77" s="21"/>
      <c r="D77" s="24"/>
      <c r="E77" s="24"/>
      <c r="F77" s="24"/>
      <c r="G77" s="19"/>
      <c r="H77" s="19"/>
      <c r="I77" s="22"/>
      <c r="J77" s="22"/>
      <c r="K77" s="24"/>
      <c r="L77" s="19"/>
      <c r="V77" s="19"/>
      <c r="W77" s="21"/>
      <c r="X77" s="21"/>
      <c r="Y77" s="24"/>
      <c r="Z77" s="24"/>
      <c r="AA77" s="24"/>
      <c r="AB77" s="19"/>
      <c r="AC77" s="19"/>
      <c r="AD77" s="22"/>
      <c r="AE77" s="22"/>
      <c r="AF77" s="24"/>
    </row>
    <row r="78" spans="1:32" x14ac:dyDescent="0.25">
      <c r="A78" s="19"/>
      <c r="B78" s="21"/>
      <c r="C78" s="21"/>
      <c r="D78" s="24"/>
      <c r="E78" s="24"/>
      <c r="F78" s="24"/>
      <c r="G78" s="19"/>
      <c r="H78" s="19"/>
      <c r="I78" s="22"/>
      <c r="J78" s="22"/>
      <c r="K78" s="24"/>
      <c r="L78" s="19"/>
      <c r="V78" s="19"/>
      <c r="W78" s="21"/>
      <c r="X78" s="21"/>
      <c r="Y78" s="24"/>
      <c r="Z78" s="24"/>
      <c r="AA78" s="24"/>
      <c r="AB78" s="19"/>
      <c r="AC78" s="19"/>
      <c r="AD78" s="22"/>
      <c r="AE78" s="22"/>
      <c r="AF78" s="24"/>
    </row>
    <row r="79" spans="1:32" x14ac:dyDescent="0.25">
      <c r="A79" s="19"/>
      <c r="B79" s="21"/>
      <c r="C79" s="21"/>
      <c r="D79" s="24"/>
      <c r="E79" s="24"/>
      <c r="F79" s="24"/>
      <c r="G79" s="19"/>
      <c r="H79" s="19"/>
      <c r="I79" s="22"/>
      <c r="J79" s="22"/>
      <c r="K79" s="24"/>
      <c r="L79" s="19"/>
      <c r="V79" s="19"/>
      <c r="W79" s="21"/>
      <c r="X79" s="21"/>
      <c r="Y79" s="24"/>
      <c r="Z79" s="24"/>
      <c r="AA79" s="24"/>
      <c r="AB79" s="19"/>
      <c r="AC79" s="19"/>
      <c r="AD79" s="22"/>
      <c r="AE79" s="22"/>
      <c r="AF79" s="24"/>
    </row>
    <row r="80" spans="1:32" x14ac:dyDescent="0.25">
      <c r="A80" s="19"/>
      <c r="B80" s="21"/>
      <c r="C80" s="21"/>
      <c r="D80" s="24"/>
      <c r="E80" s="24"/>
      <c r="F80" s="24"/>
      <c r="G80" s="19"/>
      <c r="H80" s="19"/>
      <c r="I80" s="22"/>
      <c r="J80" s="22"/>
      <c r="K80" s="24"/>
      <c r="L80" s="19"/>
      <c r="V80" s="19"/>
      <c r="W80" s="21"/>
      <c r="X80" s="21"/>
      <c r="Y80" s="24"/>
      <c r="Z80" s="24"/>
      <c r="AA80" s="24"/>
      <c r="AB80" s="19"/>
      <c r="AC80" s="19"/>
      <c r="AD80" s="22"/>
      <c r="AE80" s="22"/>
      <c r="AF80" s="24"/>
    </row>
    <row r="81" spans="1:32" x14ac:dyDescent="0.25">
      <c r="A81" s="19"/>
      <c r="B81" s="21"/>
      <c r="C81" s="21"/>
      <c r="D81" s="24"/>
      <c r="E81" s="24"/>
      <c r="F81" s="24"/>
      <c r="G81" s="19"/>
      <c r="H81" s="19"/>
      <c r="I81" s="22"/>
      <c r="J81" s="22"/>
      <c r="K81" s="24"/>
      <c r="L81" s="19"/>
      <c r="V81" s="19"/>
      <c r="W81" s="21"/>
      <c r="X81" s="21"/>
      <c r="Y81" s="24"/>
      <c r="Z81" s="24"/>
      <c r="AA81" s="24"/>
      <c r="AB81" s="19"/>
      <c r="AC81" s="19"/>
      <c r="AD81" s="22"/>
      <c r="AE81" s="22"/>
      <c r="AF81" s="24"/>
    </row>
    <row r="82" spans="1:32" x14ac:dyDescent="0.25">
      <c r="A82" s="19"/>
      <c r="B82" s="21"/>
      <c r="C82" s="21"/>
      <c r="D82" s="24"/>
      <c r="E82" s="24"/>
      <c r="F82" s="24"/>
      <c r="G82" s="19"/>
      <c r="H82" s="19"/>
      <c r="I82" s="22"/>
      <c r="J82" s="22"/>
      <c r="K82" s="24"/>
      <c r="L82" s="19"/>
      <c r="V82" s="19"/>
      <c r="W82" s="21"/>
      <c r="X82" s="21"/>
      <c r="Y82" s="24"/>
      <c r="Z82" s="24"/>
      <c r="AA82" s="24"/>
      <c r="AB82" s="19"/>
      <c r="AC82" s="19"/>
      <c r="AD82" s="22"/>
      <c r="AE82" s="22"/>
      <c r="AF82" s="24"/>
    </row>
    <row r="83" spans="1:32" x14ac:dyDescent="0.25">
      <c r="A83" s="19"/>
      <c r="B83" s="21"/>
      <c r="C83" s="21"/>
      <c r="D83" s="24"/>
      <c r="E83" s="24"/>
      <c r="F83" s="24"/>
      <c r="G83" s="19"/>
      <c r="H83" s="19"/>
      <c r="I83" s="22"/>
      <c r="J83" s="22"/>
      <c r="K83" s="24"/>
      <c r="L83" s="19"/>
      <c r="V83" s="19"/>
      <c r="W83" s="21"/>
      <c r="X83" s="21"/>
      <c r="Y83" s="24"/>
      <c r="Z83" s="24"/>
      <c r="AA83" s="24"/>
      <c r="AB83" s="19"/>
      <c r="AC83" s="19"/>
      <c r="AD83" s="22"/>
      <c r="AE83" s="22"/>
      <c r="AF83" s="24"/>
    </row>
    <row r="84" spans="1:32" x14ac:dyDescent="0.25">
      <c r="A84" s="19"/>
      <c r="B84" s="21"/>
      <c r="C84" s="21"/>
      <c r="D84" s="24"/>
      <c r="E84" s="24"/>
      <c r="F84" s="24"/>
      <c r="G84" s="19"/>
      <c r="H84" s="19"/>
      <c r="I84" s="22"/>
      <c r="J84" s="22"/>
      <c r="K84" s="24"/>
      <c r="L84" s="19"/>
      <c r="V84" s="19"/>
      <c r="W84" s="21"/>
      <c r="X84" s="21"/>
      <c r="Y84" s="24"/>
      <c r="Z84" s="24"/>
      <c r="AA84" s="24"/>
      <c r="AB84" s="19"/>
      <c r="AC84" s="19"/>
      <c r="AD84" s="22"/>
      <c r="AE84" s="22"/>
      <c r="AF84" s="24"/>
    </row>
    <row r="85" spans="1:32" x14ac:dyDescent="0.25">
      <c r="A85" s="19"/>
      <c r="B85" s="21"/>
      <c r="C85" s="21"/>
      <c r="D85" s="24"/>
      <c r="E85" s="24"/>
      <c r="F85" s="24"/>
      <c r="G85" s="19"/>
      <c r="H85" s="19"/>
      <c r="I85" s="22"/>
      <c r="J85" s="22"/>
      <c r="K85" s="24"/>
      <c r="L85" s="19"/>
      <c r="V85" s="19"/>
      <c r="W85" s="21"/>
      <c r="X85" s="21"/>
      <c r="Y85" s="24"/>
      <c r="Z85" s="24"/>
      <c r="AA85" s="24"/>
      <c r="AB85" s="19"/>
      <c r="AC85" s="19"/>
      <c r="AD85" s="22"/>
      <c r="AE85" s="22"/>
      <c r="AF85" s="24"/>
    </row>
    <row r="86" spans="1:32" x14ac:dyDescent="0.25">
      <c r="A86" s="19"/>
      <c r="B86" s="21"/>
      <c r="C86" s="21"/>
      <c r="D86" s="24"/>
      <c r="E86" s="24"/>
      <c r="F86" s="24"/>
      <c r="G86" s="19"/>
      <c r="H86" s="19"/>
      <c r="I86" s="22"/>
      <c r="J86" s="22"/>
      <c r="K86" s="24"/>
      <c r="L86" s="19"/>
      <c r="V86" s="19"/>
      <c r="W86" s="21"/>
      <c r="X86" s="21"/>
      <c r="Y86" s="24"/>
      <c r="Z86" s="24"/>
      <c r="AA86" s="24"/>
      <c r="AB86" s="19"/>
      <c r="AC86" s="19"/>
      <c r="AD86" s="22"/>
      <c r="AE86" s="22"/>
      <c r="AF86" s="24"/>
    </row>
    <row r="87" spans="1:32" x14ac:dyDescent="0.25">
      <c r="A87" s="19"/>
      <c r="B87" s="21"/>
      <c r="C87" s="21"/>
      <c r="D87" s="24"/>
      <c r="E87" s="24"/>
      <c r="F87" s="24"/>
      <c r="G87" s="19"/>
      <c r="H87" s="19"/>
      <c r="I87" s="22"/>
      <c r="J87" s="22"/>
      <c r="K87" s="24"/>
      <c r="L87" s="19"/>
      <c r="V87" s="19"/>
      <c r="W87" s="21"/>
      <c r="X87" s="21"/>
      <c r="Y87" s="24"/>
      <c r="Z87" s="24"/>
      <c r="AA87" s="24"/>
      <c r="AB87" s="19"/>
      <c r="AC87" s="19"/>
      <c r="AD87" s="22"/>
      <c r="AE87" s="22"/>
      <c r="AF87" s="24"/>
    </row>
    <row r="88" spans="1:32" x14ac:dyDescent="0.25">
      <c r="A88" s="19"/>
      <c r="B88" s="21"/>
      <c r="C88" s="21"/>
      <c r="D88" s="24"/>
      <c r="E88" s="24"/>
      <c r="F88" s="24"/>
      <c r="G88" s="19"/>
      <c r="H88" s="19"/>
      <c r="I88" s="22"/>
      <c r="J88" s="22"/>
      <c r="K88" s="24"/>
      <c r="L88" s="19"/>
      <c r="V88" s="19"/>
      <c r="W88" s="21"/>
      <c r="X88" s="21"/>
      <c r="Y88" s="24"/>
      <c r="Z88" s="24"/>
      <c r="AA88" s="24"/>
      <c r="AB88" s="19"/>
      <c r="AC88" s="19"/>
      <c r="AD88" s="22"/>
      <c r="AE88" s="22"/>
      <c r="AF88" s="24"/>
    </row>
    <row r="89" spans="1:32" x14ac:dyDescent="0.25">
      <c r="A89" s="19"/>
      <c r="B89" s="21"/>
      <c r="C89" s="21"/>
      <c r="D89" s="24"/>
      <c r="E89" s="24"/>
      <c r="F89" s="24"/>
      <c r="G89" s="19"/>
      <c r="H89" s="19"/>
      <c r="I89" s="22"/>
      <c r="J89" s="22"/>
      <c r="K89" s="24"/>
      <c r="L89" s="19"/>
      <c r="V89" s="19"/>
      <c r="W89" s="21"/>
      <c r="X89" s="21"/>
      <c r="Y89" s="24"/>
      <c r="Z89" s="24"/>
      <c r="AA89" s="24"/>
      <c r="AB89" s="19"/>
      <c r="AC89" s="19"/>
      <c r="AD89" s="22"/>
      <c r="AE89" s="22"/>
      <c r="AF89" s="24"/>
    </row>
    <row r="90" spans="1:32" x14ac:dyDescent="0.25">
      <c r="A90" s="19"/>
      <c r="B90" s="21"/>
      <c r="C90" s="21"/>
      <c r="D90" s="24"/>
      <c r="E90" s="24"/>
      <c r="F90" s="24"/>
      <c r="G90" s="19"/>
      <c r="H90" s="19"/>
      <c r="I90" s="22"/>
      <c r="J90" s="22"/>
      <c r="K90" s="24"/>
      <c r="L90" s="19"/>
      <c r="V90" s="19"/>
      <c r="W90" s="21"/>
      <c r="X90" s="21"/>
      <c r="Y90" s="24"/>
      <c r="Z90" s="24"/>
      <c r="AA90" s="24"/>
      <c r="AB90" s="19"/>
      <c r="AC90" s="19"/>
      <c r="AD90" s="22"/>
      <c r="AE90" s="22"/>
      <c r="AF90" s="24"/>
    </row>
    <row r="91" spans="1:32" x14ac:dyDescent="0.25">
      <c r="A91" s="19"/>
      <c r="B91" s="21"/>
      <c r="C91" s="21"/>
      <c r="D91" s="24"/>
      <c r="E91" s="24"/>
      <c r="F91" s="24"/>
      <c r="G91" s="19"/>
      <c r="H91" s="19"/>
      <c r="I91" s="22"/>
      <c r="J91" s="22"/>
      <c r="K91" s="24"/>
      <c r="L91" s="19"/>
      <c r="V91" s="19"/>
      <c r="W91" s="21"/>
      <c r="X91" s="21"/>
      <c r="Y91" s="24"/>
      <c r="Z91" s="24"/>
      <c r="AA91" s="24"/>
      <c r="AB91" s="19"/>
      <c r="AC91" s="19"/>
      <c r="AD91" s="22"/>
      <c r="AE91" s="22"/>
      <c r="AF91" s="24"/>
    </row>
    <row r="92" spans="1:32" x14ac:dyDescent="0.25">
      <c r="A92" s="19"/>
      <c r="B92" s="21"/>
      <c r="C92" s="21"/>
      <c r="D92" s="24"/>
      <c r="E92" s="24"/>
      <c r="F92" s="24"/>
      <c r="G92" s="19"/>
      <c r="H92" s="19"/>
      <c r="I92" s="22"/>
      <c r="J92" s="22"/>
      <c r="K92" s="24"/>
      <c r="L92" s="19"/>
      <c r="V92" s="19"/>
      <c r="W92" s="21"/>
      <c r="X92" s="21"/>
      <c r="Y92" s="24"/>
      <c r="Z92" s="24"/>
      <c r="AA92" s="24"/>
      <c r="AB92" s="19"/>
      <c r="AC92" s="19"/>
      <c r="AD92" s="22"/>
      <c r="AE92" s="22"/>
      <c r="AF92" s="24"/>
    </row>
    <row r="93" spans="1:32" x14ac:dyDescent="0.25">
      <c r="A93" s="19"/>
      <c r="B93" s="21"/>
      <c r="C93" s="21"/>
      <c r="D93" s="24"/>
      <c r="E93" s="24"/>
      <c r="F93" s="24"/>
      <c r="G93" s="19"/>
      <c r="H93" s="19"/>
      <c r="I93" s="22"/>
      <c r="J93" s="22"/>
      <c r="K93" s="24"/>
      <c r="L93" s="19"/>
      <c r="V93" s="19"/>
      <c r="W93" s="21"/>
      <c r="X93" s="21"/>
      <c r="Y93" s="24"/>
      <c r="Z93" s="24"/>
      <c r="AA93" s="24"/>
      <c r="AB93" s="19"/>
      <c r="AC93" s="19"/>
      <c r="AD93" s="22"/>
      <c r="AE93" s="22"/>
      <c r="AF93" s="24"/>
    </row>
    <row r="94" spans="1:32" x14ac:dyDescent="0.25">
      <c r="A94" s="19"/>
      <c r="B94" s="21"/>
      <c r="C94" s="21"/>
      <c r="D94" s="24"/>
      <c r="E94" s="24"/>
      <c r="F94" s="24"/>
      <c r="G94" s="19"/>
      <c r="H94" s="19"/>
      <c r="I94" s="22"/>
      <c r="J94" s="22"/>
      <c r="K94" s="24"/>
      <c r="L94" s="19"/>
      <c r="V94" s="19"/>
      <c r="W94" s="21"/>
      <c r="X94" s="21"/>
      <c r="Y94" s="24"/>
      <c r="Z94" s="24"/>
      <c r="AA94" s="24"/>
      <c r="AB94" s="19"/>
      <c r="AC94" s="19"/>
      <c r="AD94" s="22"/>
      <c r="AE94" s="22"/>
      <c r="AF94" s="24"/>
    </row>
    <row r="95" spans="1:32" x14ac:dyDescent="0.25">
      <c r="A95" s="19"/>
      <c r="B95" s="21"/>
      <c r="C95" s="21"/>
      <c r="D95" s="24"/>
      <c r="E95" s="24"/>
      <c r="F95" s="24"/>
      <c r="G95" s="19"/>
      <c r="H95" s="19"/>
      <c r="I95" s="22"/>
      <c r="J95" s="22"/>
      <c r="K95" s="24"/>
      <c r="L95" s="19"/>
      <c r="V95" s="19"/>
      <c r="W95" s="21"/>
      <c r="X95" s="21"/>
      <c r="Y95" s="24"/>
      <c r="Z95" s="24"/>
      <c r="AA95" s="24"/>
      <c r="AB95" s="19"/>
      <c r="AC95" s="19"/>
      <c r="AD95" s="22"/>
      <c r="AE95" s="22"/>
      <c r="AF95" s="24"/>
    </row>
    <row r="96" spans="1:32" x14ac:dyDescent="0.25">
      <c r="A96" s="19"/>
      <c r="B96" s="21"/>
      <c r="C96" s="21"/>
      <c r="D96" s="24"/>
      <c r="E96" s="24"/>
      <c r="F96" s="24"/>
      <c r="G96" s="19"/>
      <c r="H96" s="19"/>
      <c r="I96" s="22"/>
      <c r="J96" s="22"/>
      <c r="K96" s="24"/>
      <c r="L96" s="19"/>
      <c r="V96" s="19"/>
      <c r="W96" s="21"/>
      <c r="X96" s="21"/>
      <c r="Y96" s="24"/>
      <c r="Z96" s="24"/>
      <c r="AA96" s="24"/>
      <c r="AB96" s="19"/>
      <c r="AC96" s="19"/>
      <c r="AD96" s="22"/>
      <c r="AE96" s="22"/>
      <c r="AF96" s="24"/>
    </row>
    <row r="97" spans="1:32" x14ac:dyDescent="0.25">
      <c r="A97" s="19"/>
      <c r="B97" s="21"/>
      <c r="C97" s="21"/>
      <c r="D97" s="24"/>
      <c r="E97" s="24"/>
      <c r="F97" s="24"/>
      <c r="G97" s="19"/>
      <c r="H97" s="19"/>
      <c r="I97" s="22"/>
      <c r="J97" s="22"/>
      <c r="K97" s="24"/>
      <c r="L97" s="19"/>
      <c r="V97" s="19"/>
      <c r="W97" s="21"/>
      <c r="X97" s="21"/>
      <c r="Y97" s="24"/>
      <c r="Z97" s="24"/>
      <c r="AA97" s="24"/>
      <c r="AB97" s="19"/>
      <c r="AC97" s="19"/>
      <c r="AD97" s="22"/>
      <c r="AE97" s="22"/>
      <c r="AF97" s="24"/>
    </row>
    <row r="98" spans="1:32" x14ac:dyDescent="0.25">
      <c r="A98" s="19"/>
      <c r="B98" s="21"/>
      <c r="C98" s="21"/>
      <c r="D98" s="24"/>
      <c r="E98" s="24"/>
      <c r="F98" s="24"/>
      <c r="G98" s="19"/>
      <c r="H98" s="19"/>
      <c r="I98" s="22"/>
      <c r="J98" s="22"/>
      <c r="K98" s="24"/>
      <c r="L98" s="19"/>
      <c r="V98" s="19"/>
      <c r="W98" s="21"/>
      <c r="X98" s="21"/>
      <c r="Y98" s="24"/>
      <c r="Z98" s="24"/>
      <c r="AA98" s="24"/>
      <c r="AB98" s="19"/>
      <c r="AC98" s="19"/>
      <c r="AD98" s="22"/>
      <c r="AE98" s="22"/>
      <c r="AF98" s="24"/>
    </row>
    <row r="99" spans="1:32" x14ac:dyDescent="0.25">
      <c r="A99" s="19"/>
      <c r="B99" s="21"/>
      <c r="C99" s="21"/>
      <c r="D99" s="24"/>
      <c r="E99" s="24"/>
      <c r="F99" s="24"/>
      <c r="G99" s="19"/>
      <c r="H99" s="19"/>
      <c r="I99" s="22"/>
      <c r="J99" s="22"/>
      <c r="K99" s="24"/>
      <c r="L99" s="19"/>
      <c r="V99" s="19"/>
      <c r="W99" s="21"/>
      <c r="X99" s="21"/>
      <c r="Y99" s="24"/>
      <c r="Z99" s="24"/>
      <c r="AA99" s="24"/>
      <c r="AB99" s="19"/>
      <c r="AC99" s="19"/>
      <c r="AD99" s="22"/>
      <c r="AE99" s="22"/>
      <c r="AF99" s="24"/>
    </row>
    <row r="100" spans="1:32" x14ac:dyDescent="0.25">
      <c r="A100" s="19"/>
      <c r="B100" s="21"/>
      <c r="C100" s="21"/>
      <c r="D100" s="24"/>
      <c r="E100" s="24"/>
      <c r="F100" s="24"/>
      <c r="G100" s="19"/>
      <c r="H100" s="19"/>
      <c r="I100" s="22"/>
      <c r="J100" s="22"/>
      <c r="K100" s="24"/>
      <c r="L100" s="19"/>
      <c r="V100" s="19"/>
      <c r="W100" s="21"/>
      <c r="X100" s="21"/>
      <c r="Y100" s="24"/>
      <c r="Z100" s="24"/>
      <c r="AA100" s="24"/>
      <c r="AB100" s="19"/>
      <c r="AC100" s="19"/>
      <c r="AD100" s="22"/>
      <c r="AE100" s="22"/>
      <c r="AF100" s="24"/>
    </row>
    <row r="101" spans="1:32" x14ac:dyDescent="0.25">
      <c r="A101" s="19"/>
      <c r="B101" s="21"/>
      <c r="C101" s="21"/>
      <c r="D101" s="24"/>
      <c r="E101" s="24"/>
      <c r="F101" s="24"/>
      <c r="G101" s="19"/>
      <c r="H101" s="19"/>
      <c r="I101" s="22"/>
      <c r="J101" s="22"/>
      <c r="K101" s="24"/>
      <c r="L101" s="19"/>
      <c r="V101" s="19"/>
      <c r="W101" s="21"/>
      <c r="X101" s="21"/>
      <c r="Y101" s="24"/>
      <c r="Z101" s="24"/>
      <c r="AA101" s="24"/>
      <c r="AB101" s="19"/>
      <c r="AC101" s="19"/>
      <c r="AD101" s="22"/>
      <c r="AE101" s="22"/>
      <c r="AF101" s="24"/>
    </row>
    <row r="102" spans="1:32" x14ac:dyDescent="0.25">
      <c r="A102" s="19"/>
      <c r="B102" s="21"/>
      <c r="C102" s="21"/>
      <c r="D102" s="24"/>
      <c r="E102" s="24"/>
      <c r="F102" s="24"/>
      <c r="G102" s="19"/>
      <c r="H102" s="19"/>
      <c r="I102" s="22"/>
      <c r="J102" s="22"/>
      <c r="K102" s="24"/>
      <c r="L102" s="19"/>
      <c r="V102" s="19"/>
      <c r="W102" s="21"/>
      <c r="X102" s="21"/>
      <c r="Y102" s="24"/>
      <c r="Z102" s="24"/>
      <c r="AA102" s="24"/>
      <c r="AB102" s="19"/>
      <c r="AC102" s="19"/>
      <c r="AD102" s="22"/>
      <c r="AE102" s="22"/>
      <c r="AF102" s="24"/>
    </row>
    <row r="103" spans="1:32" x14ac:dyDescent="0.25">
      <c r="A103" s="19"/>
      <c r="B103" s="21"/>
      <c r="C103" s="21"/>
      <c r="D103" s="24"/>
      <c r="E103" s="24"/>
      <c r="F103" s="24"/>
      <c r="G103" s="19"/>
      <c r="H103" s="19"/>
      <c r="I103" s="22"/>
      <c r="J103" s="22"/>
      <c r="K103" s="24"/>
      <c r="L103" s="19"/>
      <c r="V103" s="19"/>
      <c r="W103" s="21"/>
      <c r="X103" s="21"/>
      <c r="Y103" s="24"/>
      <c r="Z103" s="24"/>
      <c r="AA103" s="24"/>
      <c r="AB103" s="19"/>
      <c r="AC103" s="19"/>
      <c r="AD103" s="22"/>
      <c r="AE103" s="22"/>
      <c r="AF103" s="24"/>
    </row>
    <row r="104" spans="1:32" x14ac:dyDescent="0.25">
      <c r="A104" s="19"/>
      <c r="B104" s="21"/>
      <c r="C104" s="21"/>
      <c r="D104" s="24"/>
      <c r="E104" s="24"/>
      <c r="F104" s="24"/>
      <c r="G104" s="19"/>
      <c r="H104" s="19"/>
      <c r="I104" s="22"/>
      <c r="J104" s="22"/>
      <c r="K104" s="24"/>
      <c r="L104" s="19"/>
      <c r="V104" s="19"/>
      <c r="W104" s="21"/>
      <c r="X104" s="21"/>
      <c r="Y104" s="24"/>
      <c r="Z104" s="24"/>
      <c r="AA104" s="24"/>
      <c r="AB104" s="19"/>
      <c r="AC104" s="19"/>
      <c r="AD104" s="22"/>
      <c r="AE104" s="22"/>
      <c r="AF104" s="24"/>
    </row>
    <row r="105" spans="1:32" x14ac:dyDescent="0.25">
      <c r="A105" s="19"/>
      <c r="B105" s="21"/>
      <c r="C105" s="21"/>
      <c r="D105" s="24"/>
      <c r="E105" s="24"/>
      <c r="F105" s="24"/>
      <c r="G105" s="19"/>
      <c r="H105" s="19"/>
      <c r="I105" s="22"/>
      <c r="J105" s="22"/>
      <c r="K105" s="24"/>
      <c r="L105" s="19"/>
      <c r="V105" s="19"/>
      <c r="W105" s="21"/>
      <c r="X105" s="21"/>
      <c r="Y105" s="24"/>
      <c r="Z105" s="24"/>
      <c r="AA105" s="24"/>
      <c r="AB105" s="19"/>
      <c r="AC105" s="19"/>
      <c r="AD105" s="22"/>
      <c r="AE105" s="22"/>
      <c r="AF105" s="24"/>
    </row>
    <row r="106" spans="1:32" x14ac:dyDescent="0.25">
      <c r="A106" s="19"/>
      <c r="B106" s="21"/>
      <c r="C106" s="21"/>
      <c r="D106" s="24"/>
      <c r="E106" s="24"/>
      <c r="F106" s="24"/>
      <c r="G106" s="19"/>
      <c r="H106" s="19"/>
      <c r="I106" s="22"/>
      <c r="J106" s="22"/>
      <c r="K106" s="24"/>
      <c r="L106" s="19"/>
      <c r="V106" s="19"/>
      <c r="W106" s="21"/>
      <c r="X106" s="21"/>
      <c r="Y106" s="24"/>
      <c r="Z106" s="24"/>
      <c r="AA106" s="24"/>
      <c r="AB106" s="19"/>
      <c r="AC106" s="19"/>
      <c r="AD106" s="22"/>
      <c r="AE106" s="22"/>
      <c r="AF106" s="24"/>
    </row>
    <row r="107" spans="1:32" x14ac:dyDescent="0.25">
      <c r="A107" s="19"/>
      <c r="B107" s="21"/>
      <c r="C107" s="21"/>
      <c r="D107" s="24"/>
      <c r="E107" s="24"/>
      <c r="F107" s="24"/>
      <c r="G107" s="19"/>
      <c r="H107" s="19"/>
      <c r="I107" s="22"/>
      <c r="J107" s="22"/>
      <c r="K107" s="24"/>
      <c r="L107" s="19"/>
      <c r="V107" s="19"/>
      <c r="W107" s="21"/>
      <c r="X107" s="21"/>
      <c r="Y107" s="24"/>
      <c r="Z107" s="24"/>
      <c r="AA107" s="24"/>
      <c r="AB107" s="19"/>
      <c r="AC107" s="19"/>
      <c r="AD107" s="22"/>
      <c r="AE107" s="22"/>
      <c r="AF107" s="24"/>
    </row>
    <row r="108" spans="1:32" x14ac:dyDescent="0.25">
      <c r="A108" s="19"/>
      <c r="B108" s="21"/>
      <c r="C108" s="21"/>
      <c r="D108" s="24"/>
      <c r="E108" s="24"/>
      <c r="F108" s="24"/>
      <c r="G108" s="19"/>
      <c r="H108" s="19"/>
      <c r="I108" s="22"/>
      <c r="J108" s="22"/>
      <c r="K108" s="24"/>
      <c r="L108" s="19"/>
      <c r="V108" s="19"/>
      <c r="W108" s="21"/>
      <c r="X108" s="21"/>
      <c r="Y108" s="24"/>
      <c r="Z108" s="24"/>
      <c r="AA108" s="24"/>
      <c r="AB108" s="19"/>
      <c r="AC108" s="19"/>
      <c r="AD108" s="22"/>
      <c r="AE108" s="22"/>
      <c r="AF108" s="24"/>
    </row>
    <row r="109" spans="1:32" x14ac:dyDescent="0.25">
      <c r="A109" s="19"/>
      <c r="B109" s="21"/>
      <c r="C109" s="21"/>
      <c r="D109" s="24"/>
      <c r="E109" s="24"/>
      <c r="F109" s="24"/>
      <c r="G109" s="19"/>
      <c r="H109" s="19"/>
      <c r="I109" s="22"/>
      <c r="J109" s="22"/>
      <c r="K109" s="24"/>
      <c r="L109" s="19"/>
      <c r="V109" s="19"/>
      <c r="W109" s="21"/>
      <c r="X109" s="21"/>
      <c r="Y109" s="24"/>
      <c r="Z109" s="24"/>
      <c r="AA109" s="24"/>
      <c r="AB109" s="19"/>
      <c r="AC109" s="19"/>
      <c r="AD109" s="22"/>
      <c r="AE109" s="22"/>
      <c r="AF109" s="24"/>
    </row>
    <row r="110" spans="1:32" x14ac:dyDescent="0.25">
      <c r="A110" s="19"/>
      <c r="B110" s="21"/>
      <c r="C110" s="21"/>
      <c r="D110" s="24"/>
      <c r="E110" s="24"/>
      <c r="F110" s="24"/>
      <c r="G110" s="19"/>
      <c r="H110" s="19"/>
      <c r="I110" s="22"/>
      <c r="J110" s="22"/>
      <c r="K110" s="24"/>
      <c r="L110" s="19"/>
      <c r="V110" s="19"/>
      <c r="W110" s="21"/>
      <c r="X110" s="21"/>
      <c r="Y110" s="24"/>
      <c r="Z110" s="24"/>
      <c r="AA110" s="24"/>
      <c r="AB110" s="19"/>
      <c r="AC110" s="19"/>
      <c r="AD110" s="22"/>
      <c r="AE110" s="22"/>
      <c r="AF110" s="24"/>
    </row>
    <row r="111" spans="1:32" x14ac:dyDescent="0.25">
      <c r="A111" s="19"/>
      <c r="B111" s="21"/>
      <c r="C111" s="21"/>
      <c r="D111" s="24"/>
      <c r="E111" s="24"/>
      <c r="F111" s="24"/>
      <c r="G111" s="19"/>
      <c r="H111" s="19"/>
      <c r="I111" s="22"/>
      <c r="J111" s="22"/>
      <c r="K111" s="24"/>
      <c r="L111" s="19"/>
      <c r="V111" s="19"/>
      <c r="W111" s="21"/>
      <c r="X111" s="21"/>
      <c r="Y111" s="24"/>
      <c r="Z111" s="24"/>
      <c r="AA111" s="24"/>
      <c r="AB111" s="19"/>
      <c r="AC111" s="19"/>
      <c r="AD111" s="22"/>
      <c r="AE111" s="22"/>
      <c r="AF111" s="24"/>
    </row>
    <row r="112" spans="1:32" x14ac:dyDescent="0.25">
      <c r="A112" s="19"/>
      <c r="B112" s="21"/>
      <c r="C112" s="21"/>
      <c r="D112" s="24"/>
      <c r="E112" s="24"/>
      <c r="F112" s="24"/>
      <c r="G112" s="19"/>
      <c r="H112" s="19"/>
      <c r="I112" s="22"/>
      <c r="J112" s="22"/>
      <c r="K112" s="24"/>
      <c r="L112" s="19"/>
      <c r="V112" s="19"/>
      <c r="W112" s="21"/>
      <c r="X112" s="21"/>
      <c r="Y112" s="24"/>
      <c r="Z112" s="24"/>
      <c r="AA112" s="24"/>
      <c r="AB112" s="19"/>
      <c r="AC112" s="19"/>
      <c r="AD112" s="22"/>
      <c r="AE112" s="22"/>
      <c r="AF112" s="24"/>
    </row>
    <row r="113" spans="1:32" x14ac:dyDescent="0.25">
      <c r="A113" s="19"/>
      <c r="B113" s="21"/>
      <c r="C113" s="21"/>
      <c r="D113" s="24"/>
      <c r="E113" s="24"/>
      <c r="F113" s="24"/>
      <c r="G113" s="19"/>
      <c r="H113" s="19"/>
      <c r="I113" s="22"/>
      <c r="J113" s="22"/>
      <c r="K113" s="24"/>
      <c r="L113" s="19"/>
      <c r="V113" s="19"/>
      <c r="W113" s="21"/>
      <c r="X113" s="21"/>
      <c r="Y113" s="24"/>
      <c r="Z113" s="24"/>
      <c r="AA113" s="24"/>
      <c r="AB113" s="19"/>
      <c r="AC113" s="19"/>
      <c r="AD113" s="22"/>
      <c r="AE113" s="22"/>
      <c r="AF113" s="24"/>
    </row>
    <row r="114" spans="1:32" x14ac:dyDescent="0.25">
      <c r="A114" s="19"/>
      <c r="B114" s="21"/>
      <c r="C114" s="21"/>
      <c r="D114" s="24"/>
      <c r="E114" s="24"/>
      <c r="F114" s="24"/>
      <c r="G114" s="19"/>
      <c r="H114" s="19"/>
      <c r="I114" s="22"/>
      <c r="J114" s="22"/>
      <c r="K114" s="24"/>
      <c r="L114" s="19"/>
      <c r="V114" s="19"/>
      <c r="W114" s="21"/>
      <c r="X114" s="21"/>
      <c r="Y114" s="24"/>
      <c r="Z114" s="24"/>
      <c r="AA114" s="24"/>
      <c r="AB114" s="19"/>
      <c r="AC114" s="19"/>
      <c r="AD114" s="22"/>
      <c r="AE114" s="22"/>
      <c r="AF114" s="24"/>
    </row>
    <row r="115" spans="1:32" x14ac:dyDescent="0.25">
      <c r="A115" s="19"/>
      <c r="B115" s="21"/>
      <c r="C115" s="21"/>
      <c r="D115" s="24"/>
      <c r="E115" s="24"/>
      <c r="F115" s="24"/>
      <c r="G115" s="19"/>
      <c r="H115" s="19"/>
      <c r="I115" s="22"/>
      <c r="J115" s="22"/>
      <c r="K115" s="24"/>
      <c r="L115" s="19"/>
      <c r="V115" s="19"/>
      <c r="W115" s="21"/>
      <c r="X115" s="21"/>
      <c r="Y115" s="24"/>
      <c r="Z115" s="24"/>
      <c r="AA115" s="24"/>
      <c r="AB115" s="19"/>
      <c r="AC115" s="19"/>
      <c r="AD115" s="22"/>
      <c r="AE115" s="22"/>
      <c r="AF115" s="24"/>
    </row>
    <row r="116" spans="1:32" x14ac:dyDescent="0.25">
      <c r="A116" s="19"/>
      <c r="B116" s="21"/>
      <c r="C116" s="21"/>
      <c r="D116" s="24"/>
      <c r="E116" s="24"/>
      <c r="F116" s="24"/>
      <c r="G116" s="19"/>
      <c r="H116" s="19"/>
      <c r="I116" s="22"/>
      <c r="J116" s="22"/>
      <c r="K116" s="24"/>
      <c r="L116" s="19"/>
      <c r="V116" s="19"/>
      <c r="W116" s="21"/>
      <c r="X116" s="21"/>
      <c r="Y116" s="24"/>
      <c r="Z116" s="24"/>
      <c r="AA116" s="24"/>
      <c r="AB116" s="19"/>
      <c r="AC116" s="19"/>
      <c r="AD116" s="22"/>
      <c r="AE116" s="22"/>
      <c r="AF116" s="24"/>
    </row>
    <row r="117" spans="1:32" x14ac:dyDescent="0.25">
      <c r="A117" s="19"/>
      <c r="B117" s="21"/>
      <c r="C117" s="21"/>
      <c r="D117" s="24"/>
      <c r="E117" s="24"/>
      <c r="F117" s="24"/>
      <c r="G117" s="19"/>
      <c r="H117" s="19"/>
      <c r="I117" s="22"/>
      <c r="J117" s="22"/>
      <c r="K117" s="24"/>
      <c r="L117" s="19"/>
      <c r="V117" s="19"/>
      <c r="W117" s="21"/>
      <c r="X117" s="21"/>
      <c r="Y117" s="24"/>
      <c r="Z117" s="24"/>
      <c r="AA117" s="24"/>
      <c r="AB117" s="19"/>
      <c r="AC117" s="19"/>
      <c r="AD117" s="22"/>
      <c r="AE117" s="22"/>
      <c r="AF117" s="24"/>
    </row>
    <row r="118" spans="1:32" x14ac:dyDescent="0.25">
      <c r="A118" s="19"/>
      <c r="B118" s="21"/>
      <c r="C118" s="21"/>
      <c r="D118" s="24"/>
      <c r="E118" s="24"/>
      <c r="F118" s="24"/>
      <c r="G118" s="19"/>
      <c r="H118" s="19"/>
      <c r="I118" s="22"/>
      <c r="J118" s="22"/>
      <c r="K118" s="24"/>
      <c r="L118" s="19"/>
      <c r="V118" s="19"/>
      <c r="W118" s="21"/>
      <c r="X118" s="21"/>
      <c r="Y118" s="24"/>
      <c r="Z118" s="24"/>
      <c r="AA118" s="24"/>
      <c r="AB118" s="19"/>
      <c r="AC118" s="19"/>
      <c r="AD118" s="22"/>
      <c r="AE118" s="22"/>
      <c r="AF118" s="24"/>
    </row>
    <row r="119" spans="1:32" x14ac:dyDescent="0.25">
      <c r="A119" s="19"/>
      <c r="B119" s="21"/>
      <c r="C119" s="21"/>
      <c r="D119" s="24"/>
      <c r="E119" s="24"/>
      <c r="F119" s="24"/>
      <c r="G119" s="19"/>
      <c r="H119" s="19"/>
      <c r="I119" s="22"/>
      <c r="J119" s="22"/>
      <c r="K119" s="24"/>
      <c r="L119" s="19"/>
      <c r="V119" s="19"/>
      <c r="W119" s="21"/>
      <c r="X119" s="21"/>
      <c r="Y119" s="24"/>
      <c r="Z119" s="24"/>
      <c r="AA119" s="24"/>
      <c r="AB119" s="19"/>
      <c r="AC119" s="19"/>
      <c r="AD119" s="22"/>
      <c r="AE119" s="22"/>
      <c r="AF119" s="24"/>
    </row>
    <row r="120" spans="1:32" x14ac:dyDescent="0.25">
      <c r="A120" s="19"/>
      <c r="B120" s="21"/>
      <c r="C120" s="21"/>
      <c r="D120" s="24"/>
      <c r="E120" s="24"/>
      <c r="F120" s="24"/>
      <c r="G120" s="19"/>
      <c r="H120" s="19"/>
      <c r="I120" s="22"/>
      <c r="J120" s="22"/>
      <c r="K120" s="24"/>
      <c r="L120" s="19"/>
      <c r="V120" s="19"/>
      <c r="W120" s="21"/>
      <c r="X120" s="21"/>
      <c r="Y120" s="24"/>
      <c r="Z120" s="24"/>
      <c r="AA120" s="24"/>
      <c r="AB120" s="19"/>
      <c r="AC120" s="19"/>
      <c r="AD120" s="22"/>
      <c r="AE120" s="22"/>
      <c r="AF120" s="24"/>
    </row>
    <row r="121" spans="1:32" x14ac:dyDescent="0.25">
      <c r="A121" s="19"/>
      <c r="B121" s="21"/>
      <c r="C121" s="21"/>
      <c r="D121" s="24"/>
      <c r="E121" s="24"/>
      <c r="F121" s="24"/>
      <c r="G121" s="19"/>
      <c r="H121" s="19"/>
      <c r="I121" s="22"/>
      <c r="J121" s="22"/>
      <c r="K121" s="24"/>
      <c r="L121" s="19"/>
      <c r="V121" s="19"/>
      <c r="W121" s="21"/>
      <c r="X121" s="21"/>
      <c r="Y121" s="24"/>
      <c r="Z121" s="24"/>
      <c r="AA121" s="24"/>
      <c r="AB121" s="19"/>
      <c r="AC121" s="19"/>
      <c r="AD121" s="22"/>
      <c r="AE121" s="22"/>
      <c r="AF121" s="24"/>
    </row>
    <row r="122" spans="1:32" x14ac:dyDescent="0.25">
      <c r="A122" s="19"/>
      <c r="B122" s="21"/>
      <c r="C122" s="21"/>
      <c r="D122" s="24"/>
      <c r="E122" s="24"/>
      <c r="F122" s="24"/>
      <c r="G122" s="19"/>
      <c r="H122" s="19"/>
      <c r="I122" s="22"/>
      <c r="J122" s="22"/>
      <c r="K122" s="24"/>
      <c r="L122" s="19"/>
      <c r="V122" s="19"/>
      <c r="W122" s="21"/>
      <c r="X122" s="21"/>
      <c r="Y122" s="24"/>
      <c r="Z122" s="24"/>
      <c r="AA122" s="24"/>
      <c r="AB122" s="19"/>
      <c r="AC122" s="19"/>
      <c r="AD122" s="22"/>
      <c r="AE122" s="22"/>
      <c r="AF122" s="24"/>
    </row>
    <row r="123" spans="1:32" x14ac:dyDescent="0.25">
      <c r="A123" s="19"/>
      <c r="B123" s="21"/>
      <c r="C123" s="21"/>
      <c r="D123" s="24"/>
      <c r="E123" s="24"/>
      <c r="F123" s="24"/>
      <c r="G123" s="19"/>
      <c r="H123" s="19"/>
      <c r="I123" s="22"/>
      <c r="J123" s="22"/>
      <c r="K123" s="24"/>
      <c r="L123" s="19"/>
      <c r="V123" s="19"/>
      <c r="W123" s="21"/>
      <c r="X123" s="21"/>
      <c r="Y123" s="24"/>
      <c r="Z123" s="24"/>
      <c r="AA123" s="24"/>
      <c r="AB123" s="19"/>
      <c r="AC123" s="19"/>
      <c r="AD123" s="22"/>
      <c r="AE123" s="22"/>
      <c r="AF123" s="24"/>
    </row>
    <row r="124" spans="1:32" x14ac:dyDescent="0.25">
      <c r="A124" s="19"/>
      <c r="B124" s="21"/>
      <c r="C124" s="21"/>
      <c r="D124" s="24"/>
      <c r="E124" s="24"/>
      <c r="F124" s="24"/>
      <c r="G124" s="19"/>
      <c r="H124" s="19"/>
      <c r="I124" s="22"/>
      <c r="J124" s="22"/>
      <c r="K124" s="24"/>
      <c r="L124" s="19"/>
      <c r="V124" s="19"/>
      <c r="W124" s="21"/>
      <c r="X124" s="21"/>
      <c r="Y124" s="24"/>
      <c r="Z124" s="24"/>
      <c r="AA124" s="24"/>
      <c r="AB124" s="19"/>
      <c r="AC124" s="19"/>
      <c r="AD124" s="22"/>
      <c r="AE124" s="22"/>
      <c r="AF124" s="24"/>
    </row>
    <row r="125" spans="1:32" x14ac:dyDescent="0.25">
      <c r="A125" s="19"/>
      <c r="B125" s="21"/>
      <c r="C125" s="21"/>
      <c r="D125" s="24"/>
      <c r="E125" s="24"/>
      <c r="F125" s="24"/>
      <c r="G125" s="19"/>
      <c r="H125" s="19"/>
      <c r="I125" s="22"/>
      <c r="J125" s="22"/>
      <c r="K125" s="24"/>
      <c r="L125" s="19"/>
      <c r="V125" s="19"/>
      <c r="W125" s="21"/>
      <c r="X125" s="21"/>
      <c r="Y125" s="24"/>
      <c r="Z125" s="24"/>
      <c r="AA125" s="24"/>
      <c r="AB125" s="19"/>
      <c r="AC125" s="19"/>
      <c r="AD125" s="22"/>
      <c r="AE125" s="22"/>
      <c r="AF125" s="24"/>
    </row>
    <row r="126" spans="1:32" x14ac:dyDescent="0.25">
      <c r="A126" s="19"/>
      <c r="B126" s="21"/>
      <c r="C126" s="21"/>
      <c r="D126" s="24"/>
      <c r="E126" s="24"/>
      <c r="F126" s="24"/>
      <c r="G126" s="19"/>
      <c r="H126" s="19"/>
      <c r="I126" s="22"/>
      <c r="J126" s="22"/>
      <c r="K126" s="24"/>
      <c r="L126" s="19"/>
      <c r="V126" s="19"/>
      <c r="W126" s="21"/>
      <c r="X126" s="21"/>
      <c r="Y126" s="24"/>
      <c r="Z126" s="24"/>
      <c r="AA126" s="24"/>
      <c r="AB126" s="19"/>
      <c r="AC126" s="19"/>
      <c r="AD126" s="22"/>
      <c r="AE126" s="22"/>
      <c r="AF126" s="24"/>
    </row>
    <row r="127" spans="1:32" x14ac:dyDescent="0.25">
      <c r="A127" s="19"/>
      <c r="B127" s="21"/>
      <c r="C127" s="21"/>
      <c r="D127" s="24"/>
      <c r="E127" s="24"/>
      <c r="F127" s="24"/>
      <c r="G127" s="19"/>
      <c r="H127" s="19"/>
      <c r="I127" s="22"/>
      <c r="J127" s="22"/>
      <c r="K127" s="24"/>
      <c r="L127" s="19"/>
      <c r="V127" s="19"/>
      <c r="W127" s="21"/>
      <c r="X127" s="21"/>
      <c r="Y127" s="24"/>
      <c r="Z127" s="24"/>
      <c r="AA127" s="24"/>
      <c r="AB127" s="19"/>
      <c r="AC127" s="19"/>
      <c r="AD127" s="22"/>
      <c r="AE127" s="22"/>
      <c r="AF127" s="24"/>
    </row>
    <row r="128" spans="1:32" x14ac:dyDescent="0.25">
      <c r="A128" s="19"/>
      <c r="B128" s="21"/>
      <c r="C128" s="21"/>
      <c r="D128" s="24"/>
      <c r="E128" s="24"/>
      <c r="F128" s="24"/>
      <c r="G128" s="19"/>
      <c r="H128" s="19"/>
      <c r="I128" s="22"/>
      <c r="J128" s="22"/>
      <c r="K128" s="24"/>
      <c r="L128" s="19"/>
      <c r="V128" s="19"/>
      <c r="W128" s="21"/>
      <c r="X128" s="21"/>
      <c r="Y128" s="24"/>
      <c r="Z128" s="24"/>
      <c r="AA128" s="24"/>
      <c r="AB128" s="19"/>
      <c r="AC128" s="19"/>
      <c r="AD128" s="22"/>
      <c r="AE128" s="22"/>
      <c r="AF128" s="24"/>
    </row>
    <row r="129" spans="1:32" x14ac:dyDescent="0.25">
      <c r="A129" s="19"/>
      <c r="B129" s="21"/>
      <c r="C129" s="21"/>
      <c r="D129" s="24"/>
      <c r="E129" s="24"/>
      <c r="F129" s="24"/>
      <c r="G129" s="19"/>
      <c r="H129" s="19"/>
      <c r="I129" s="22"/>
      <c r="J129" s="22"/>
      <c r="K129" s="24"/>
      <c r="L129" s="19"/>
      <c r="V129" s="19"/>
      <c r="W129" s="21"/>
      <c r="X129" s="21"/>
      <c r="Y129" s="24"/>
      <c r="Z129" s="24"/>
      <c r="AA129" s="24"/>
      <c r="AB129" s="19"/>
      <c r="AC129" s="19"/>
      <c r="AD129" s="22"/>
      <c r="AE129" s="22"/>
      <c r="AF129" s="24"/>
    </row>
    <row r="130" spans="1:32" x14ac:dyDescent="0.25">
      <c r="A130" s="19"/>
      <c r="B130" s="21"/>
      <c r="C130" s="21"/>
      <c r="D130" s="24"/>
      <c r="E130" s="24"/>
      <c r="F130" s="24"/>
      <c r="G130" s="19"/>
      <c r="H130" s="19"/>
      <c r="I130" s="22"/>
      <c r="J130" s="22"/>
      <c r="K130" s="24"/>
      <c r="L130" s="19"/>
      <c r="V130" s="19"/>
      <c r="W130" s="21"/>
      <c r="X130" s="21"/>
      <c r="Y130" s="24"/>
      <c r="Z130" s="24"/>
      <c r="AA130" s="24"/>
      <c r="AB130" s="19"/>
      <c r="AC130" s="19"/>
      <c r="AD130" s="22"/>
      <c r="AE130" s="22"/>
      <c r="AF130" s="24"/>
    </row>
    <row r="131" spans="1:32" x14ac:dyDescent="0.25">
      <c r="A131" s="19"/>
      <c r="B131" s="21"/>
      <c r="C131" s="21"/>
      <c r="D131" s="24"/>
      <c r="E131" s="24"/>
      <c r="F131" s="24"/>
      <c r="G131" s="19"/>
      <c r="H131" s="19"/>
      <c r="I131" s="22"/>
      <c r="J131" s="22"/>
      <c r="K131" s="24"/>
      <c r="L131" s="19"/>
      <c r="V131" s="19"/>
      <c r="W131" s="21"/>
      <c r="X131" s="21"/>
      <c r="Y131" s="24"/>
      <c r="Z131" s="24"/>
      <c r="AA131" s="24"/>
      <c r="AB131" s="19"/>
      <c r="AC131" s="19"/>
      <c r="AD131" s="22"/>
      <c r="AE131" s="22"/>
      <c r="AF131" s="24"/>
    </row>
    <row r="132" spans="1:32" x14ac:dyDescent="0.25">
      <c r="A132" s="19"/>
      <c r="B132" s="21"/>
      <c r="C132" s="21"/>
      <c r="D132" s="24"/>
      <c r="E132" s="24"/>
      <c r="F132" s="24"/>
      <c r="G132" s="19"/>
      <c r="H132" s="19"/>
      <c r="I132" s="22"/>
      <c r="J132" s="22"/>
      <c r="K132" s="24"/>
      <c r="L132" s="19"/>
      <c r="V132" s="19"/>
      <c r="W132" s="21"/>
      <c r="X132" s="21"/>
      <c r="Y132" s="24"/>
      <c r="Z132" s="24"/>
      <c r="AA132" s="24"/>
      <c r="AB132" s="19"/>
      <c r="AC132" s="19"/>
      <c r="AD132" s="22"/>
      <c r="AE132" s="22"/>
      <c r="AF132" s="24"/>
    </row>
    <row r="133" spans="1:32" x14ac:dyDescent="0.25">
      <c r="A133" s="19"/>
      <c r="B133" s="21"/>
      <c r="C133" s="21"/>
      <c r="D133" s="24"/>
      <c r="E133" s="24"/>
      <c r="F133" s="24"/>
      <c r="G133" s="19"/>
      <c r="H133" s="19"/>
      <c r="I133" s="22"/>
      <c r="J133" s="22"/>
      <c r="K133" s="24"/>
      <c r="L133" s="19"/>
      <c r="V133" s="19"/>
      <c r="W133" s="21"/>
      <c r="X133" s="21"/>
      <c r="Y133" s="24"/>
      <c r="Z133" s="24"/>
      <c r="AA133" s="24"/>
      <c r="AB133" s="19"/>
      <c r="AC133" s="19"/>
      <c r="AD133" s="22"/>
      <c r="AE133" s="22"/>
      <c r="AF133" s="24"/>
    </row>
    <row r="134" spans="1:32" x14ac:dyDescent="0.25">
      <c r="A134" s="19"/>
      <c r="B134" s="21"/>
      <c r="C134" s="21"/>
      <c r="D134" s="24"/>
      <c r="E134" s="24"/>
      <c r="F134" s="24"/>
      <c r="G134" s="19"/>
      <c r="H134" s="19"/>
      <c r="I134" s="22"/>
      <c r="J134" s="22"/>
      <c r="K134" s="24"/>
      <c r="L134" s="19"/>
      <c r="V134" s="19"/>
      <c r="W134" s="21"/>
      <c r="X134" s="21"/>
      <c r="Y134" s="24"/>
      <c r="Z134" s="24"/>
      <c r="AA134" s="24"/>
      <c r="AB134" s="19"/>
      <c r="AC134" s="19"/>
      <c r="AD134" s="22"/>
      <c r="AE134" s="22"/>
      <c r="AF134" s="24"/>
    </row>
    <row r="135" spans="1:32" x14ac:dyDescent="0.25">
      <c r="A135" s="19"/>
      <c r="B135" s="21"/>
      <c r="C135" s="21"/>
      <c r="D135" s="24"/>
      <c r="E135" s="24"/>
      <c r="F135" s="24"/>
      <c r="G135" s="19"/>
      <c r="H135" s="19"/>
      <c r="I135" s="22"/>
      <c r="J135" s="22"/>
      <c r="K135" s="24"/>
      <c r="L135" s="19"/>
      <c r="V135" s="19"/>
      <c r="W135" s="21"/>
      <c r="X135" s="21"/>
      <c r="Y135" s="24"/>
      <c r="Z135" s="24"/>
      <c r="AA135" s="24"/>
      <c r="AB135" s="19"/>
      <c r="AC135" s="19"/>
      <c r="AD135" s="22"/>
      <c r="AE135" s="22"/>
      <c r="AF135" s="24"/>
    </row>
    <row r="136" spans="1:32" x14ac:dyDescent="0.25">
      <c r="A136" s="19"/>
      <c r="B136" s="21"/>
      <c r="C136" s="21"/>
      <c r="D136" s="24"/>
      <c r="E136" s="24"/>
      <c r="F136" s="24"/>
      <c r="G136" s="19"/>
      <c r="H136" s="19"/>
      <c r="I136" s="22"/>
      <c r="J136" s="22"/>
      <c r="K136" s="24"/>
      <c r="L136" s="19"/>
      <c r="V136" s="19"/>
      <c r="W136" s="21"/>
      <c r="X136" s="21"/>
      <c r="Y136" s="24"/>
      <c r="Z136" s="24"/>
      <c r="AA136" s="24"/>
      <c r="AB136" s="19"/>
      <c r="AC136" s="19"/>
      <c r="AD136" s="22"/>
      <c r="AE136" s="22"/>
      <c r="AF136" s="24"/>
    </row>
    <row r="137" spans="1:32" x14ac:dyDescent="0.25">
      <c r="A137" s="19"/>
      <c r="B137" s="21"/>
      <c r="C137" s="21"/>
      <c r="D137" s="24"/>
      <c r="E137" s="24"/>
      <c r="F137" s="24"/>
      <c r="G137" s="19"/>
      <c r="H137" s="19"/>
      <c r="I137" s="22"/>
      <c r="J137" s="22"/>
      <c r="K137" s="24"/>
      <c r="L137" s="19"/>
      <c r="V137" s="19"/>
      <c r="W137" s="21"/>
      <c r="X137" s="21"/>
      <c r="Y137" s="24"/>
      <c r="Z137" s="24"/>
      <c r="AA137" s="24"/>
      <c r="AB137" s="19"/>
      <c r="AC137" s="19"/>
      <c r="AD137" s="22"/>
      <c r="AE137" s="22"/>
      <c r="AF137" s="24"/>
    </row>
    <row r="138" spans="1:32" x14ac:dyDescent="0.25">
      <c r="A138" s="19"/>
      <c r="B138" s="21"/>
      <c r="C138" s="21"/>
      <c r="D138" s="24"/>
      <c r="E138" s="24"/>
      <c r="F138" s="24"/>
      <c r="G138" s="19"/>
      <c r="H138" s="19"/>
      <c r="I138" s="22"/>
      <c r="J138" s="22"/>
      <c r="K138" s="24"/>
      <c r="L138" s="19"/>
      <c r="V138" s="19"/>
      <c r="W138" s="21"/>
      <c r="X138" s="21"/>
      <c r="Y138" s="24"/>
      <c r="Z138" s="24"/>
      <c r="AA138" s="24"/>
      <c r="AB138" s="19"/>
      <c r="AC138" s="19"/>
      <c r="AD138" s="22"/>
      <c r="AE138" s="22"/>
      <c r="AF138" s="24"/>
    </row>
    <row r="139" spans="1:32" x14ac:dyDescent="0.25">
      <c r="A139" s="19"/>
      <c r="B139" s="21"/>
      <c r="C139" s="21"/>
      <c r="D139" s="24"/>
      <c r="E139" s="24"/>
      <c r="F139" s="24"/>
      <c r="G139" s="19"/>
      <c r="H139" s="19"/>
      <c r="I139" s="22"/>
      <c r="J139" s="22"/>
      <c r="K139" s="24"/>
      <c r="L139" s="19"/>
      <c r="V139" s="19"/>
      <c r="W139" s="21"/>
      <c r="X139" s="21"/>
      <c r="Y139" s="24"/>
      <c r="Z139" s="24"/>
      <c r="AA139" s="24"/>
      <c r="AB139" s="19"/>
      <c r="AC139" s="19"/>
      <c r="AD139" s="22"/>
      <c r="AE139" s="22"/>
      <c r="AF139" s="24"/>
    </row>
    <row r="140" spans="1:32" x14ac:dyDescent="0.25">
      <c r="A140" s="19"/>
      <c r="B140" s="21"/>
      <c r="C140" s="21"/>
      <c r="D140" s="24"/>
      <c r="E140" s="24"/>
      <c r="F140" s="24"/>
      <c r="G140" s="19"/>
      <c r="H140" s="19"/>
      <c r="I140" s="22"/>
      <c r="J140" s="22"/>
      <c r="K140" s="24"/>
      <c r="L140" s="19"/>
      <c r="V140" s="19"/>
      <c r="W140" s="21"/>
      <c r="X140" s="21"/>
      <c r="Y140" s="24"/>
      <c r="Z140" s="24"/>
      <c r="AA140" s="24"/>
      <c r="AB140" s="19"/>
      <c r="AC140" s="19"/>
      <c r="AD140" s="22"/>
      <c r="AE140" s="22"/>
      <c r="AF140" s="24"/>
    </row>
    <row r="141" spans="1:32" x14ac:dyDescent="0.25">
      <c r="A141" s="19"/>
      <c r="B141" s="21"/>
      <c r="C141" s="21"/>
      <c r="D141" s="24"/>
      <c r="E141" s="24"/>
      <c r="F141" s="24"/>
      <c r="G141" s="19"/>
      <c r="H141" s="19"/>
      <c r="I141" s="22"/>
      <c r="J141" s="22"/>
      <c r="K141" s="24"/>
      <c r="L141" s="19"/>
      <c r="V141" s="19"/>
      <c r="W141" s="21"/>
      <c r="X141" s="21"/>
      <c r="Y141" s="24"/>
      <c r="Z141" s="24"/>
      <c r="AA141" s="24"/>
      <c r="AB141" s="19"/>
      <c r="AC141" s="19"/>
      <c r="AD141" s="22"/>
      <c r="AE141" s="22"/>
      <c r="AF141" s="24"/>
    </row>
    <row r="142" spans="1:32" x14ac:dyDescent="0.25">
      <c r="A142" s="19"/>
      <c r="B142" s="21"/>
      <c r="C142" s="21"/>
      <c r="D142" s="24"/>
      <c r="E142" s="24"/>
      <c r="F142" s="24"/>
      <c r="G142" s="19"/>
      <c r="H142" s="19"/>
      <c r="I142" s="22"/>
      <c r="J142" s="22"/>
      <c r="K142" s="24"/>
      <c r="L142" s="19"/>
      <c r="V142" s="19"/>
      <c r="W142" s="21"/>
      <c r="X142" s="21"/>
      <c r="Y142" s="24"/>
      <c r="Z142" s="24"/>
      <c r="AA142" s="24"/>
      <c r="AB142" s="19"/>
      <c r="AC142" s="19"/>
      <c r="AD142" s="22"/>
      <c r="AE142" s="22"/>
      <c r="AF142" s="24"/>
    </row>
    <row r="143" spans="1:32" x14ac:dyDescent="0.25">
      <c r="A143" s="19"/>
      <c r="B143" s="21"/>
      <c r="C143" s="21"/>
      <c r="D143" s="24"/>
      <c r="E143" s="24"/>
      <c r="F143" s="24"/>
      <c r="G143" s="19"/>
      <c r="H143" s="19"/>
      <c r="I143" s="22"/>
      <c r="J143" s="22"/>
      <c r="K143" s="24"/>
      <c r="L143" s="19"/>
      <c r="V143" s="19"/>
      <c r="W143" s="21"/>
      <c r="X143" s="21"/>
      <c r="Y143" s="24"/>
      <c r="Z143" s="24"/>
      <c r="AA143" s="24"/>
      <c r="AB143" s="19"/>
      <c r="AC143" s="19"/>
      <c r="AD143" s="22"/>
      <c r="AE143" s="22"/>
      <c r="AF143" s="24"/>
    </row>
    <row r="144" spans="1:32" x14ac:dyDescent="0.25">
      <c r="A144" s="19"/>
      <c r="B144" s="21"/>
      <c r="C144" s="21"/>
      <c r="D144" s="24"/>
      <c r="E144" s="24"/>
      <c r="F144" s="24"/>
      <c r="G144" s="19"/>
      <c r="H144" s="19"/>
      <c r="I144" s="22"/>
      <c r="J144" s="22"/>
      <c r="K144" s="24"/>
      <c r="L144" s="19"/>
      <c r="V144" s="19"/>
      <c r="W144" s="21"/>
      <c r="X144" s="21"/>
      <c r="Y144" s="24"/>
      <c r="Z144" s="24"/>
      <c r="AA144" s="24"/>
      <c r="AB144" s="19"/>
      <c r="AC144" s="19"/>
      <c r="AD144" s="22"/>
      <c r="AE144" s="22"/>
      <c r="AF144" s="24"/>
    </row>
    <row r="145" spans="1:32" x14ac:dyDescent="0.25">
      <c r="A145" s="19"/>
      <c r="B145" s="21"/>
      <c r="C145" s="21"/>
      <c r="D145" s="24"/>
      <c r="E145" s="24"/>
      <c r="F145" s="24"/>
      <c r="G145" s="19"/>
      <c r="H145" s="19"/>
      <c r="I145" s="22"/>
      <c r="J145" s="22"/>
      <c r="K145" s="24"/>
      <c r="L145" s="19"/>
      <c r="V145" s="19"/>
      <c r="W145" s="21"/>
      <c r="X145" s="21"/>
      <c r="Y145" s="24"/>
      <c r="Z145" s="24"/>
      <c r="AA145" s="24"/>
      <c r="AB145" s="19"/>
      <c r="AC145" s="19"/>
      <c r="AD145" s="22"/>
      <c r="AE145" s="22"/>
      <c r="AF145" s="24"/>
    </row>
    <row r="146" spans="1:32" x14ac:dyDescent="0.25">
      <c r="A146" s="19"/>
      <c r="B146" s="21"/>
      <c r="C146" s="21"/>
      <c r="D146" s="24"/>
      <c r="E146" s="24"/>
      <c r="F146" s="24"/>
      <c r="G146" s="19"/>
      <c r="H146" s="19"/>
      <c r="I146" s="22"/>
      <c r="J146" s="22"/>
      <c r="K146" s="24"/>
      <c r="L146" s="19"/>
      <c r="V146" s="19"/>
      <c r="W146" s="21"/>
      <c r="X146" s="21"/>
      <c r="Y146" s="24"/>
      <c r="Z146" s="24"/>
      <c r="AA146" s="24"/>
      <c r="AB146" s="19"/>
      <c r="AC146" s="19"/>
      <c r="AD146" s="22"/>
      <c r="AE146" s="22"/>
      <c r="AF146" s="24"/>
    </row>
    <row r="147" spans="1:32" x14ac:dyDescent="0.25">
      <c r="A147" s="19"/>
      <c r="B147" s="21"/>
      <c r="C147" s="21"/>
      <c r="D147" s="24"/>
      <c r="E147" s="24"/>
      <c r="F147" s="24"/>
      <c r="G147" s="19"/>
      <c r="H147" s="19"/>
      <c r="I147" s="22"/>
      <c r="J147" s="22"/>
      <c r="K147" s="24"/>
      <c r="L147" s="19"/>
      <c r="V147" s="19"/>
      <c r="W147" s="21"/>
      <c r="X147" s="21"/>
      <c r="Y147" s="24"/>
      <c r="Z147" s="24"/>
      <c r="AA147" s="24"/>
      <c r="AB147" s="19"/>
      <c r="AC147" s="19"/>
      <c r="AD147" s="22"/>
      <c r="AE147" s="22"/>
      <c r="AF147" s="24"/>
    </row>
    <row r="148" spans="1:32" x14ac:dyDescent="0.25">
      <c r="A148" s="19"/>
      <c r="B148" s="21"/>
      <c r="C148" s="21"/>
      <c r="D148" s="24"/>
      <c r="E148" s="24"/>
      <c r="F148" s="24"/>
      <c r="G148" s="19"/>
      <c r="H148" s="19"/>
      <c r="I148" s="22"/>
      <c r="J148" s="22"/>
      <c r="K148" s="24"/>
      <c r="L148" s="19"/>
      <c r="V148" s="19"/>
      <c r="W148" s="21"/>
      <c r="X148" s="21"/>
      <c r="Y148" s="24"/>
      <c r="Z148" s="24"/>
      <c r="AA148" s="24"/>
      <c r="AB148" s="19"/>
      <c r="AC148" s="19"/>
      <c r="AD148" s="22"/>
      <c r="AE148" s="22"/>
      <c r="AF148" s="24"/>
    </row>
    <row r="149" spans="1:32" x14ac:dyDescent="0.25">
      <c r="A149" s="19"/>
      <c r="B149" s="21"/>
      <c r="C149" s="21"/>
      <c r="D149" s="24"/>
      <c r="E149" s="24"/>
      <c r="F149" s="24"/>
      <c r="G149" s="19"/>
      <c r="H149" s="19"/>
      <c r="I149" s="22"/>
      <c r="J149" s="22"/>
      <c r="K149" s="24"/>
      <c r="L149" s="19"/>
      <c r="V149" s="19"/>
      <c r="W149" s="21"/>
      <c r="X149" s="21"/>
      <c r="Y149" s="24"/>
      <c r="Z149" s="24"/>
      <c r="AA149" s="24"/>
      <c r="AB149" s="19"/>
      <c r="AC149" s="19"/>
      <c r="AD149" s="22"/>
      <c r="AE149" s="22"/>
      <c r="AF149" s="24"/>
    </row>
    <row r="150" spans="1:32" x14ac:dyDescent="0.25">
      <c r="A150" s="19"/>
      <c r="B150" s="21"/>
      <c r="C150" s="21"/>
      <c r="D150" s="24"/>
      <c r="E150" s="24"/>
      <c r="F150" s="24"/>
      <c r="G150" s="19"/>
      <c r="H150" s="19"/>
      <c r="I150" s="22"/>
      <c r="J150" s="22"/>
      <c r="K150" s="24"/>
      <c r="L150" s="19"/>
      <c r="V150" s="19"/>
      <c r="W150" s="21"/>
      <c r="X150" s="21"/>
      <c r="Y150" s="24"/>
      <c r="Z150" s="24"/>
      <c r="AA150" s="24"/>
      <c r="AB150" s="19"/>
      <c r="AC150" s="19"/>
      <c r="AD150" s="22"/>
      <c r="AE150" s="22"/>
      <c r="AF150" s="24"/>
    </row>
    <row r="151" spans="1:32" x14ac:dyDescent="0.25">
      <c r="A151" s="19"/>
      <c r="B151" s="21"/>
      <c r="C151" s="21"/>
      <c r="D151" s="24"/>
      <c r="E151" s="24"/>
      <c r="F151" s="24"/>
      <c r="G151" s="19"/>
      <c r="H151" s="19"/>
      <c r="I151" s="22"/>
      <c r="J151" s="22"/>
      <c r="K151" s="24"/>
      <c r="L151" s="19"/>
      <c r="V151" s="19"/>
      <c r="W151" s="21"/>
      <c r="X151" s="21"/>
      <c r="Y151" s="24"/>
      <c r="Z151" s="24"/>
      <c r="AA151" s="24"/>
      <c r="AB151" s="19"/>
      <c r="AC151" s="19"/>
      <c r="AD151" s="22"/>
      <c r="AE151" s="22"/>
      <c r="AF151" s="24"/>
    </row>
    <row r="152" spans="1:32" x14ac:dyDescent="0.25">
      <c r="A152" s="19"/>
      <c r="B152" s="21"/>
      <c r="C152" s="21"/>
      <c r="D152" s="24"/>
      <c r="E152" s="24"/>
      <c r="F152" s="24"/>
      <c r="G152" s="19"/>
      <c r="H152" s="19"/>
      <c r="I152" s="22"/>
      <c r="J152" s="22"/>
      <c r="K152" s="24"/>
      <c r="L152" s="19"/>
      <c r="V152" s="19"/>
      <c r="W152" s="21"/>
      <c r="X152" s="21"/>
      <c r="Y152" s="24"/>
      <c r="Z152" s="24"/>
      <c r="AA152" s="24"/>
      <c r="AB152" s="19"/>
      <c r="AC152" s="19"/>
      <c r="AD152" s="22"/>
      <c r="AE152" s="22"/>
      <c r="AF152" s="24"/>
    </row>
    <row r="153" spans="1:32" x14ac:dyDescent="0.25">
      <c r="A153" s="19"/>
      <c r="B153" s="21"/>
      <c r="C153" s="21"/>
      <c r="D153" s="24"/>
      <c r="E153" s="24"/>
      <c r="F153" s="24"/>
      <c r="G153" s="19"/>
      <c r="H153" s="19"/>
      <c r="I153" s="22"/>
      <c r="J153" s="22"/>
      <c r="K153" s="24"/>
      <c r="L153" s="19"/>
      <c r="V153" s="19"/>
      <c r="W153" s="21"/>
      <c r="X153" s="21"/>
      <c r="Y153" s="24"/>
      <c r="Z153" s="24"/>
      <c r="AA153" s="24"/>
      <c r="AB153" s="19"/>
      <c r="AC153" s="19"/>
      <c r="AD153" s="22"/>
      <c r="AE153" s="22"/>
      <c r="AF153" s="24"/>
    </row>
    <row r="154" spans="1:32" x14ac:dyDescent="0.25">
      <c r="A154" s="19"/>
      <c r="B154" s="21"/>
      <c r="C154" s="21"/>
      <c r="D154" s="24"/>
      <c r="E154" s="24"/>
      <c r="F154" s="24"/>
      <c r="G154" s="19"/>
      <c r="H154" s="19"/>
      <c r="I154" s="22"/>
      <c r="J154" s="22"/>
      <c r="K154" s="24"/>
      <c r="L154" s="19"/>
      <c r="V154" s="19"/>
      <c r="W154" s="21"/>
      <c r="X154" s="21"/>
      <c r="Y154" s="24"/>
      <c r="Z154" s="24"/>
      <c r="AA154" s="24"/>
      <c r="AB154" s="19"/>
      <c r="AC154" s="19"/>
      <c r="AD154" s="22"/>
      <c r="AE154" s="22"/>
      <c r="AF154" s="24"/>
    </row>
    <row r="155" spans="1:32" x14ac:dyDescent="0.25">
      <c r="A155" s="19"/>
      <c r="B155" s="21"/>
      <c r="C155" s="21"/>
      <c r="D155" s="24"/>
      <c r="E155" s="24"/>
      <c r="F155" s="24"/>
      <c r="G155" s="19"/>
      <c r="H155" s="19"/>
      <c r="I155" s="22"/>
      <c r="J155" s="22"/>
      <c r="K155" s="24"/>
      <c r="L155" s="19"/>
      <c r="V155" s="19"/>
      <c r="W155" s="21"/>
      <c r="X155" s="21"/>
      <c r="Y155" s="24"/>
      <c r="Z155" s="24"/>
      <c r="AA155" s="24"/>
      <c r="AB155" s="19"/>
      <c r="AC155" s="19"/>
      <c r="AD155" s="22"/>
      <c r="AE155" s="22"/>
      <c r="AF155" s="24"/>
    </row>
    <row r="156" spans="1:32" x14ac:dyDescent="0.25">
      <c r="A156" s="19"/>
      <c r="B156" s="21"/>
      <c r="C156" s="21"/>
      <c r="D156" s="24"/>
      <c r="E156" s="24"/>
      <c r="F156" s="24"/>
      <c r="G156" s="19"/>
      <c r="H156" s="19"/>
      <c r="I156" s="22"/>
      <c r="J156" s="22"/>
      <c r="K156" s="24"/>
      <c r="L156" s="19"/>
      <c r="V156" s="19"/>
      <c r="W156" s="21"/>
      <c r="X156" s="21"/>
      <c r="Y156" s="24"/>
      <c r="Z156" s="24"/>
      <c r="AA156" s="24"/>
      <c r="AB156" s="19"/>
      <c r="AC156" s="19"/>
      <c r="AD156" s="22"/>
      <c r="AE156" s="22"/>
      <c r="AF156" s="24"/>
    </row>
    <row r="157" spans="1:32" x14ac:dyDescent="0.25">
      <c r="A157" s="19"/>
      <c r="B157" s="21"/>
      <c r="C157" s="21"/>
      <c r="D157" s="24"/>
      <c r="E157" s="24"/>
      <c r="F157" s="24"/>
      <c r="G157" s="19"/>
      <c r="H157" s="19"/>
      <c r="I157" s="22"/>
      <c r="J157" s="22"/>
      <c r="K157" s="24"/>
      <c r="L157" s="19"/>
      <c r="V157" s="19"/>
      <c r="W157" s="21"/>
      <c r="X157" s="21"/>
      <c r="Y157" s="24"/>
      <c r="Z157" s="24"/>
      <c r="AA157" s="24"/>
      <c r="AB157" s="19"/>
      <c r="AC157" s="19"/>
      <c r="AD157" s="22"/>
      <c r="AE157" s="22"/>
      <c r="AF157" s="24"/>
    </row>
    <row r="158" spans="1:32" x14ac:dyDescent="0.25">
      <c r="A158" s="19"/>
      <c r="B158" s="21"/>
      <c r="C158" s="21"/>
      <c r="D158" s="24"/>
      <c r="E158" s="24"/>
      <c r="F158" s="24"/>
      <c r="G158" s="19"/>
      <c r="H158" s="19"/>
      <c r="I158" s="22"/>
      <c r="J158" s="22"/>
      <c r="K158" s="24"/>
      <c r="L158" s="19"/>
      <c r="V158" s="19"/>
      <c r="W158" s="21"/>
      <c r="X158" s="21"/>
      <c r="Y158" s="24"/>
      <c r="Z158" s="24"/>
      <c r="AA158" s="24"/>
      <c r="AB158" s="19"/>
      <c r="AC158" s="19"/>
      <c r="AD158" s="22"/>
      <c r="AE158" s="22"/>
      <c r="AF158" s="24"/>
    </row>
    <row r="159" spans="1:32" x14ac:dyDescent="0.25">
      <c r="A159" s="19"/>
      <c r="B159" s="21"/>
      <c r="C159" s="21"/>
      <c r="D159" s="24"/>
      <c r="E159" s="24"/>
      <c r="F159" s="24"/>
      <c r="G159" s="19"/>
      <c r="H159" s="19"/>
      <c r="I159" s="22"/>
      <c r="J159" s="22"/>
      <c r="K159" s="24"/>
      <c r="L159" s="19"/>
      <c r="V159" s="19"/>
      <c r="W159" s="21"/>
      <c r="X159" s="21"/>
      <c r="Y159" s="24"/>
      <c r="Z159" s="24"/>
      <c r="AA159" s="24"/>
      <c r="AB159" s="19"/>
      <c r="AC159" s="19"/>
      <c r="AD159" s="22"/>
      <c r="AE159" s="22"/>
      <c r="AF159" s="24"/>
    </row>
    <row r="160" spans="1:32" x14ac:dyDescent="0.25">
      <c r="A160" s="19"/>
      <c r="B160" s="21"/>
      <c r="C160" s="21"/>
      <c r="D160" s="24"/>
      <c r="E160" s="24"/>
      <c r="F160" s="24"/>
      <c r="G160" s="19"/>
      <c r="H160" s="19"/>
      <c r="I160" s="22"/>
      <c r="J160" s="22"/>
      <c r="K160" s="24"/>
      <c r="L160" s="19"/>
      <c r="V160" s="19"/>
      <c r="W160" s="21"/>
      <c r="X160" s="21"/>
      <c r="Y160" s="24"/>
      <c r="Z160" s="24"/>
      <c r="AA160" s="24"/>
      <c r="AB160" s="19"/>
      <c r="AC160" s="19"/>
      <c r="AD160" s="22"/>
      <c r="AE160" s="22"/>
      <c r="AF160" s="24"/>
    </row>
    <row r="161" spans="1:32" x14ac:dyDescent="0.25">
      <c r="A161" s="19"/>
      <c r="B161" s="21"/>
      <c r="C161" s="21"/>
      <c r="D161" s="24"/>
      <c r="E161" s="24"/>
      <c r="F161" s="24"/>
      <c r="G161" s="19"/>
      <c r="H161" s="19"/>
      <c r="I161" s="22"/>
      <c r="J161" s="22"/>
      <c r="K161" s="24"/>
      <c r="L161" s="19"/>
      <c r="V161" s="19"/>
      <c r="W161" s="21"/>
      <c r="X161" s="21"/>
      <c r="Y161" s="24"/>
      <c r="Z161" s="24"/>
      <c r="AA161" s="24"/>
      <c r="AB161" s="19"/>
      <c r="AC161" s="19"/>
      <c r="AD161" s="22"/>
      <c r="AE161" s="22"/>
      <c r="AF161" s="24"/>
    </row>
    <row r="162" spans="1:32" x14ac:dyDescent="0.25">
      <c r="A162" s="19"/>
      <c r="B162" s="21"/>
      <c r="C162" s="21"/>
      <c r="D162" s="24"/>
      <c r="E162" s="24"/>
      <c r="F162" s="24"/>
      <c r="G162" s="19"/>
      <c r="H162" s="19"/>
      <c r="I162" s="22"/>
      <c r="J162" s="22"/>
      <c r="K162" s="24"/>
      <c r="L162" s="19"/>
      <c r="V162" s="19"/>
      <c r="W162" s="21"/>
      <c r="X162" s="21"/>
      <c r="Y162" s="24"/>
      <c r="Z162" s="24"/>
      <c r="AA162" s="24"/>
      <c r="AB162" s="19"/>
      <c r="AC162" s="19"/>
      <c r="AD162" s="22"/>
      <c r="AE162" s="22"/>
      <c r="AF162" s="24"/>
    </row>
    <row r="163" spans="1:32" x14ac:dyDescent="0.25">
      <c r="A163" s="19"/>
      <c r="B163" s="21"/>
      <c r="C163" s="21"/>
      <c r="D163" s="24"/>
      <c r="E163" s="24"/>
      <c r="F163" s="24"/>
      <c r="G163" s="19"/>
      <c r="H163" s="19"/>
      <c r="I163" s="22"/>
      <c r="J163" s="22"/>
      <c r="K163" s="24"/>
      <c r="L163" s="19"/>
      <c r="V163" s="19"/>
      <c r="W163" s="21"/>
      <c r="X163" s="21"/>
      <c r="Y163" s="24"/>
      <c r="Z163" s="24"/>
      <c r="AA163" s="24"/>
      <c r="AB163" s="19"/>
      <c r="AC163" s="19"/>
      <c r="AD163" s="22"/>
      <c r="AE163" s="22"/>
      <c r="AF163" s="24"/>
    </row>
    <row r="164" spans="1:32" x14ac:dyDescent="0.25">
      <c r="A164" s="19"/>
      <c r="B164" s="21"/>
      <c r="C164" s="21"/>
      <c r="D164" s="24"/>
      <c r="E164" s="24"/>
      <c r="F164" s="24"/>
      <c r="G164" s="19"/>
      <c r="H164" s="19"/>
      <c r="I164" s="22"/>
      <c r="J164" s="22"/>
      <c r="K164" s="24"/>
      <c r="L164" s="19"/>
      <c r="V164" s="19"/>
      <c r="W164" s="21"/>
      <c r="X164" s="21"/>
      <c r="Y164" s="24"/>
      <c r="Z164" s="24"/>
      <c r="AA164" s="24"/>
      <c r="AB164" s="19"/>
      <c r="AC164" s="19"/>
      <c r="AD164" s="22"/>
      <c r="AE164" s="22"/>
      <c r="AF164" s="24"/>
    </row>
    <row r="165" spans="1:32" x14ac:dyDescent="0.25">
      <c r="A165" s="19"/>
      <c r="B165" s="21"/>
      <c r="C165" s="21"/>
      <c r="D165" s="24"/>
      <c r="E165" s="24"/>
      <c r="F165" s="24"/>
      <c r="G165" s="19"/>
      <c r="H165" s="19"/>
      <c r="I165" s="22"/>
      <c r="J165" s="22"/>
      <c r="K165" s="24"/>
      <c r="L165" s="19"/>
      <c r="V165" s="19"/>
      <c r="W165" s="21"/>
      <c r="X165" s="21"/>
      <c r="Y165" s="24"/>
      <c r="Z165" s="24"/>
      <c r="AA165" s="24"/>
      <c r="AB165" s="19"/>
      <c r="AC165" s="19"/>
      <c r="AD165" s="22"/>
      <c r="AE165" s="22"/>
      <c r="AF165" s="24"/>
    </row>
    <row r="166" spans="1:32" x14ac:dyDescent="0.25">
      <c r="A166" s="19"/>
      <c r="B166" s="21"/>
      <c r="C166" s="21"/>
      <c r="D166" s="24"/>
      <c r="E166" s="24"/>
      <c r="F166" s="24"/>
      <c r="G166" s="19"/>
      <c r="H166" s="19"/>
      <c r="I166" s="22"/>
      <c r="J166" s="22"/>
      <c r="K166" s="24"/>
      <c r="L166" s="19"/>
      <c r="V166" s="19"/>
      <c r="W166" s="21"/>
      <c r="X166" s="21"/>
      <c r="Y166" s="24"/>
      <c r="Z166" s="24"/>
      <c r="AA166" s="24"/>
      <c r="AB166" s="19"/>
      <c r="AC166" s="19"/>
      <c r="AD166" s="22"/>
      <c r="AE166" s="22"/>
      <c r="AF166" s="24"/>
    </row>
    <row r="167" spans="1:32" x14ac:dyDescent="0.25">
      <c r="A167" s="19"/>
      <c r="B167" s="21"/>
      <c r="C167" s="21"/>
      <c r="D167" s="24"/>
      <c r="E167" s="24"/>
      <c r="F167" s="24"/>
      <c r="G167" s="19"/>
      <c r="H167" s="19"/>
      <c r="I167" s="22"/>
      <c r="J167" s="22"/>
      <c r="K167" s="24"/>
      <c r="L167" s="19"/>
      <c r="V167" s="19"/>
      <c r="W167" s="21"/>
      <c r="X167" s="21"/>
      <c r="Y167" s="24"/>
      <c r="Z167" s="24"/>
      <c r="AA167" s="24"/>
      <c r="AB167" s="19"/>
      <c r="AC167" s="19"/>
      <c r="AD167" s="22"/>
      <c r="AE167" s="22"/>
      <c r="AF167" s="24"/>
    </row>
    <row r="168" spans="1:32" x14ac:dyDescent="0.25">
      <c r="A168" s="19"/>
      <c r="B168" s="21"/>
      <c r="C168" s="21"/>
      <c r="D168" s="24"/>
      <c r="E168" s="24"/>
      <c r="F168" s="24"/>
      <c r="G168" s="19"/>
      <c r="H168" s="19"/>
      <c r="I168" s="22"/>
      <c r="J168" s="22"/>
      <c r="K168" s="24"/>
      <c r="L168" s="19"/>
      <c r="V168" s="19"/>
      <c r="W168" s="21"/>
      <c r="X168" s="21"/>
      <c r="Y168" s="24"/>
      <c r="Z168" s="24"/>
      <c r="AA168" s="24"/>
      <c r="AB168" s="19"/>
      <c r="AC168" s="19"/>
      <c r="AD168" s="22"/>
      <c r="AE168" s="22"/>
      <c r="AF168" s="24"/>
    </row>
    <row r="169" spans="1:32" x14ac:dyDescent="0.25">
      <c r="A169" s="19"/>
      <c r="B169" s="21"/>
      <c r="C169" s="21"/>
      <c r="D169" s="24"/>
      <c r="E169" s="24"/>
      <c r="F169" s="24"/>
      <c r="G169" s="19"/>
      <c r="H169" s="19"/>
      <c r="I169" s="22"/>
      <c r="J169" s="22"/>
      <c r="K169" s="24"/>
      <c r="L169" s="19"/>
      <c r="V169" s="19"/>
      <c r="W169" s="21"/>
      <c r="X169" s="21"/>
      <c r="Y169" s="24"/>
      <c r="Z169" s="24"/>
      <c r="AA169" s="24"/>
      <c r="AB169" s="19"/>
      <c r="AC169" s="19"/>
      <c r="AD169" s="22"/>
      <c r="AE169" s="22"/>
      <c r="AF169" s="24"/>
    </row>
    <row r="170" spans="1:32" x14ac:dyDescent="0.25">
      <c r="A170" s="19"/>
      <c r="B170" s="21"/>
      <c r="C170" s="21"/>
      <c r="D170" s="24"/>
      <c r="E170" s="24"/>
      <c r="F170" s="24"/>
      <c r="G170" s="19"/>
      <c r="H170" s="19"/>
      <c r="I170" s="22"/>
      <c r="J170" s="22"/>
      <c r="K170" s="24"/>
      <c r="L170" s="19"/>
      <c r="V170" s="19"/>
      <c r="W170" s="21"/>
      <c r="X170" s="21"/>
      <c r="Y170" s="24"/>
      <c r="Z170" s="24"/>
      <c r="AA170" s="24"/>
      <c r="AB170" s="19"/>
      <c r="AC170" s="19"/>
      <c r="AD170" s="22"/>
      <c r="AE170" s="22"/>
      <c r="AF170" s="24"/>
    </row>
    <row r="171" spans="1:32" x14ac:dyDescent="0.25">
      <c r="A171" s="19"/>
      <c r="B171" s="21"/>
      <c r="C171" s="21"/>
      <c r="D171" s="24"/>
      <c r="E171" s="24"/>
      <c r="F171" s="24"/>
      <c r="G171" s="19"/>
      <c r="H171" s="19"/>
      <c r="I171" s="22"/>
      <c r="J171" s="22"/>
      <c r="K171" s="24"/>
      <c r="L171" s="19"/>
      <c r="V171" s="19"/>
      <c r="W171" s="21"/>
      <c r="X171" s="21"/>
      <c r="Y171" s="24"/>
      <c r="Z171" s="24"/>
      <c r="AA171" s="24"/>
      <c r="AB171" s="19"/>
      <c r="AC171" s="19"/>
      <c r="AD171" s="22"/>
      <c r="AE171" s="22"/>
      <c r="AF171" s="24"/>
    </row>
    <row r="172" spans="1:32" x14ac:dyDescent="0.25">
      <c r="A172" s="19"/>
      <c r="B172" s="21"/>
      <c r="C172" s="21"/>
      <c r="D172" s="24"/>
      <c r="E172" s="24"/>
      <c r="F172" s="24"/>
      <c r="G172" s="19"/>
      <c r="H172" s="19"/>
      <c r="I172" s="22"/>
      <c r="J172" s="22"/>
      <c r="K172" s="24"/>
      <c r="L172" s="19"/>
      <c r="V172" s="19"/>
      <c r="W172" s="21"/>
      <c r="X172" s="21"/>
      <c r="Y172" s="24"/>
      <c r="Z172" s="24"/>
      <c r="AA172" s="24"/>
      <c r="AB172" s="19"/>
      <c r="AC172" s="19"/>
      <c r="AD172" s="22"/>
      <c r="AE172" s="22"/>
      <c r="AF172" s="24"/>
    </row>
    <row r="173" spans="1:32" x14ac:dyDescent="0.25">
      <c r="A173" s="19"/>
      <c r="B173" s="21"/>
      <c r="C173" s="21"/>
      <c r="D173" s="24"/>
      <c r="E173" s="24"/>
      <c r="F173" s="24"/>
      <c r="G173" s="19"/>
      <c r="H173" s="19"/>
      <c r="I173" s="22"/>
      <c r="J173" s="22"/>
      <c r="K173" s="24"/>
      <c r="L173" s="19"/>
      <c r="V173" s="19"/>
      <c r="W173" s="21"/>
      <c r="X173" s="21"/>
      <c r="Y173" s="24"/>
      <c r="Z173" s="24"/>
      <c r="AA173" s="24"/>
      <c r="AB173" s="19"/>
      <c r="AC173" s="19"/>
      <c r="AD173" s="22"/>
      <c r="AE173" s="22"/>
      <c r="AF173" s="24"/>
    </row>
    <row r="174" spans="1:32" x14ac:dyDescent="0.25">
      <c r="A174" s="19"/>
      <c r="B174" s="21"/>
      <c r="C174" s="21"/>
      <c r="D174" s="24"/>
      <c r="E174" s="24"/>
      <c r="F174" s="24"/>
      <c r="G174" s="19"/>
      <c r="H174" s="19"/>
      <c r="I174" s="22"/>
      <c r="J174" s="22"/>
      <c r="K174" s="24"/>
      <c r="L174" s="19"/>
      <c r="V174" s="19"/>
      <c r="W174" s="21"/>
      <c r="X174" s="21"/>
      <c r="Y174" s="24"/>
      <c r="Z174" s="24"/>
      <c r="AA174" s="24"/>
      <c r="AB174" s="19"/>
      <c r="AC174" s="19"/>
      <c r="AD174" s="22"/>
      <c r="AE174" s="22"/>
      <c r="AF174" s="24"/>
    </row>
    <row r="175" spans="1:32" x14ac:dyDescent="0.25">
      <c r="A175" s="19"/>
      <c r="B175" s="21"/>
      <c r="C175" s="21"/>
      <c r="D175" s="24"/>
      <c r="E175" s="24"/>
      <c r="F175" s="24"/>
      <c r="G175" s="19"/>
      <c r="H175" s="19"/>
      <c r="I175" s="22"/>
      <c r="J175" s="22"/>
      <c r="K175" s="24"/>
      <c r="L175" s="19"/>
      <c r="V175" s="19"/>
      <c r="W175" s="21"/>
      <c r="X175" s="21"/>
      <c r="Y175" s="24"/>
      <c r="Z175" s="24"/>
      <c r="AA175" s="24"/>
      <c r="AB175" s="19"/>
      <c r="AC175" s="19"/>
      <c r="AD175" s="22"/>
      <c r="AE175" s="22"/>
      <c r="AF175" s="24"/>
    </row>
    <row r="176" spans="1:32" x14ac:dyDescent="0.25">
      <c r="A176" s="19"/>
      <c r="B176" s="21"/>
      <c r="C176" s="21"/>
      <c r="D176" s="24"/>
      <c r="E176" s="24"/>
      <c r="F176" s="24"/>
      <c r="G176" s="19"/>
      <c r="H176" s="19"/>
      <c r="I176" s="22"/>
      <c r="J176" s="22"/>
      <c r="K176" s="24"/>
      <c r="L176" s="19"/>
      <c r="V176" s="19"/>
      <c r="W176" s="21"/>
      <c r="X176" s="21"/>
      <c r="Y176" s="24"/>
      <c r="Z176" s="24"/>
      <c r="AA176" s="24"/>
      <c r="AB176" s="19"/>
      <c r="AC176" s="19"/>
      <c r="AD176" s="22"/>
      <c r="AE176" s="22"/>
      <c r="AF176" s="24"/>
    </row>
    <row r="177" spans="1:32" x14ac:dyDescent="0.25">
      <c r="A177" s="19"/>
      <c r="B177" s="21"/>
      <c r="C177" s="21"/>
      <c r="D177" s="24"/>
      <c r="E177" s="24"/>
      <c r="F177" s="24"/>
      <c r="G177" s="19"/>
      <c r="H177" s="19"/>
      <c r="I177" s="22"/>
      <c r="J177" s="22"/>
      <c r="K177" s="24"/>
      <c r="L177" s="19"/>
      <c r="V177" s="19"/>
      <c r="W177" s="21"/>
      <c r="X177" s="21"/>
      <c r="Y177" s="24"/>
      <c r="Z177" s="24"/>
      <c r="AA177" s="24"/>
      <c r="AB177" s="19"/>
      <c r="AC177" s="19"/>
      <c r="AD177" s="22"/>
      <c r="AE177" s="22"/>
      <c r="AF177" s="24"/>
    </row>
    <row r="178" spans="1:32" x14ac:dyDescent="0.25">
      <c r="A178" s="19"/>
      <c r="B178" s="21"/>
      <c r="C178" s="21"/>
      <c r="D178" s="24"/>
      <c r="E178" s="24"/>
      <c r="F178" s="24"/>
      <c r="G178" s="19"/>
      <c r="H178" s="19"/>
      <c r="I178" s="22"/>
      <c r="J178" s="22"/>
      <c r="K178" s="24"/>
      <c r="L178" s="19"/>
      <c r="V178" s="19"/>
      <c r="W178" s="21"/>
      <c r="X178" s="21"/>
      <c r="Y178" s="24"/>
      <c r="Z178" s="24"/>
      <c r="AA178" s="24"/>
      <c r="AB178" s="19"/>
      <c r="AC178" s="19"/>
      <c r="AD178" s="22"/>
      <c r="AE178" s="22"/>
      <c r="AF178" s="24"/>
    </row>
    <row r="179" spans="1:32" x14ac:dyDescent="0.25">
      <c r="A179" s="19"/>
      <c r="B179" s="21"/>
      <c r="C179" s="21"/>
      <c r="D179" s="24"/>
      <c r="E179" s="24"/>
      <c r="F179" s="24"/>
      <c r="G179" s="19"/>
      <c r="H179" s="19"/>
      <c r="I179" s="22"/>
      <c r="J179" s="22"/>
      <c r="K179" s="24"/>
      <c r="L179" s="19"/>
      <c r="V179" s="19"/>
      <c r="W179" s="21"/>
      <c r="X179" s="21"/>
      <c r="Y179" s="24"/>
      <c r="Z179" s="24"/>
      <c r="AA179" s="24"/>
      <c r="AB179" s="19"/>
      <c r="AC179" s="19"/>
      <c r="AD179" s="22"/>
      <c r="AE179" s="22"/>
      <c r="AF179" s="24"/>
    </row>
    <row r="180" spans="1:32" x14ac:dyDescent="0.25">
      <c r="A180" s="19"/>
      <c r="B180" s="21"/>
      <c r="C180" s="21"/>
      <c r="D180" s="24"/>
      <c r="E180" s="24"/>
      <c r="F180" s="24"/>
      <c r="G180" s="19"/>
      <c r="H180" s="19"/>
      <c r="I180" s="22"/>
      <c r="J180" s="22"/>
      <c r="K180" s="24"/>
      <c r="L180" s="19"/>
      <c r="V180" s="19"/>
      <c r="W180" s="21"/>
      <c r="X180" s="21"/>
      <c r="Y180" s="24"/>
      <c r="Z180" s="24"/>
      <c r="AA180" s="24"/>
      <c r="AB180" s="19"/>
      <c r="AC180" s="19"/>
      <c r="AD180" s="22"/>
      <c r="AE180" s="22"/>
      <c r="AF180" s="24"/>
    </row>
    <row r="181" spans="1:32" x14ac:dyDescent="0.25">
      <c r="A181" s="19"/>
      <c r="B181" s="21"/>
      <c r="C181" s="21"/>
      <c r="D181" s="24"/>
      <c r="E181" s="24"/>
      <c r="F181" s="24"/>
      <c r="G181" s="19"/>
      <c r="H181" s="19"/>
      <c r="I181" s="22"/>
      <c r="J181" s="22"/>
      <c r="K181" s="24"/>
      <c r="L181" s="19"/>
      <c r="V181" s="19"/>
      <c r="W181" s="21"/>
      <c r="X181" s="21"/>
      <c r="Y181" s="24"/>
      <c r="Z181" s="24"/>
      <c r="AA181" s="24"/>
      <c r="AB181" s="19"/>
      <c r="AC181" s="19"/>
      <c r="AD181" s="22"/>
      <c r="AE181" s="22"/>
      <c r="AF181" s="24"/>
    </row>
    <row r="182" spans="1:32" x14ac:dyDescent="0.25">
      <c r="A182" s="19"/>
      <c r="B182" s="21"/>
      <c r="C182" s="21"/>
      <c r="D182" s="24"/>
      <c r="E182" s="24"/>
      <c r="F182" s="24"/>
      <c r="G182" s="19"/>
      <c r="H182" s="19"/>
      <c r="I182" s="22"/>
      <c r="J182" s="22"/>
      <c r="K182" s="24"/>
      <c r="L182" s="19"/>
      <c r="V182" s="19"/>
      <c r="W182" s="21"/>
      <c r="X182" s="21"/>
      <c r="Y182" s="24"/>
      <c r="Z182" s="24"/>
      <c r="AA182" s="24"/>
      <c r="AB182" s="19"/>
      <c r="AC182" s="19"/>
      <c r="AD182" s="22"/>
      <c r="AE182" s="22"/>
      <c r="AF182" s="24"/>
    </row>
    <row r="183" spans="1:32" x14ac:dyDescent="0.25">
      <c r="A183" s="19"/>
      <c r="B183" s="21"/>
      <c r="C183" s="21"/>
      <c r="D183" s="24"/>
      <c r="E183" s="24"/>
      <c r="F183" s="24"/>
      <c r="G183" s="19"/>
      <c r="H183" s="19"/>
      <c r="I183" s="22"/>
      <c r="J183" s="22"/>
      <c r="K183" s="24"/>
      <c r="L183" s="19"/>
      <c r="V183" s="19"/>
      <c r="W183" s="21"/>
      <c r="X183" s="21"/>
      <c r="Y183" s="24"/>
      <c r="Z183" s="24"/>
      <c r="AA183" s="24"/>
      <c r="AB183" s="19"/>
      <c r="AC183" s="19"/>
      <c r="AD183" s="22"/>
      <c r="AE183" s="22"/>
      <c r="AF183" s="24"/>
    </row>
    <row r="184" spans="1:32" x14ac:dyDescent="0.25">
      <c r="A184" s="19"/>
      <c r="B184" s="21"/>
      <c r="C184" s="21"/>
      <c r="D184" s="24"/>
      <c r="E184" s="24"/>
      <c r="F184" s="24"/>
      <c r="G184" s="19"/>
      <c r="H184" s="19"/>
      <c r="I184" s="22"/>
      <c r="J184" s="22"/>
      <c r="K184" s="24"/>
      <c r="L184" s="19"/>
      <c r="V184" s="19"/>
      <c r="W184" s="21"/>
      <c r="X184" s="21"/>
      <c r="Y184" s="24"/>
      <c r="Z184" s="24"/>
      <c r="AA184" s="24"/>
      <c r="AB184" s="19"/>
      <c r="AC184" s="19"/>
      <c r="AD184" s="22"/>
      <c r="AE184" s="22"/>
      <c r="AF184" s="24"/>
    </row>
    <row r="185" spans="1:32" x14ac:dyDescent="0.25">
      <c r="A185" s="19"/>
      <c r="B185" s="21"/>
      <c r="C185" s="21"/>
      <c r="D185" s="24"/>
      <c r="E185" s="24"/>
      <c r="F185" s="24"/>
      <c r="G185" s="19"/>
      <c r="H185" s="19"/>
      <c r="I185" s="22"/>
      <c r="J185" s="22"/>
      <c r="K185" s="24"/>
      <c r="L185" s="19"/>
      <c r="V185" s="19"/>
      <c r="W185" s="21"/>
      <c r="X185" s="21"/>
      <c r="Y185" s="24"/>
      <c r="Z185" s="24"/>
      <c r="AA185" s="24"/>
      <c r="AB185" s="19"/>
      <c r="AC185" s="19"/>
      <c r="AD185" s="22"/>
      <c r="AE185" s="22"/>
      <c r="AF185" s="24"/>
    </row>
    <row r="186" spans="1:32" x14ac:dyDescent="0.25">
      <c r="A186" s="19"/>
      <c r="B186" s="21"/>
      <c r="C186" s="21"/>
      <c r="D186" s="24"/>
      <c r="E186" s="24"/>
      <c r="F186" s="24"/>
      <c r="G186" s="19"/>
      <c r="H186" s="19"/>
      <c r="I186" s="22"/>
      <c r="J186" s="22"/>
      <c r="K186" s="24"/>
      <c r="L186" s="19"/>
      <c r="V186" s="19"/>
      <c r="W186" s="21"/>
      <c r="X186" s="21"/>
      <c r="Y186" s="24"/>
      <c r="Z186" s="24"/>
      <c r="AA186" s="24"/>
      <c r="AB186" s="19"/>
      <c r="AC186" s="19"/>
      <c r="AD186" s="22"/>
      <c r="AE186" s="22"/>
      <c r="AF186" s="24"/>
    </row>
    <row r="187" spans="1:32" x14ac:dyDescent="0.25">
      <c r="A187" s="19"/>
      <c r="B187" s="21"/>
      <c r="C187" s="21"/>
      <c r="D187" s="24"/>
      <c r="E187" s="24"/>
      <c r="F187" s="24"/>
      <c r="G187" s="19"/>
      <c r="H187" s="19"/>
      <c r="I187" s="22"/>
      <c r="J187" s="22"/>
      <c r="K187" s="24"/>
      <c r="L187" s="19"/>
      <c r="V187" s="19"/>
      <c r="W187" s="21"/>
      <c r="X187" s="21"/>
      <c r="Y187" s="24"/>
      <c r="Z187" s="24"/>
      <c r="AA187" s="24"/>
      <c r="AB187" s="19"/>
      <c r="AC187" s="19"/>
      <c r="AD187" s="22"/>
      <c r="AE187" s="22"/>
      <c r="AF187" s="24"/>
    </row>
    <row r="188" spans="1:32" x14ac:dyDescent="0.25">
      <c r="A188" s="19"/>
      <c r="B188" s="21"/>
      <c r="C188" s="21"/>
      <c r="D188" s="24"/>
      <c r="E188" s="24"/>
      <c r="F188" s="24"/>
      <c r="G188" s="19"/>
      <c r="H188" s="19"/>
      <c r="I188" s="22"/>
      <c r="J188" s="22"/>
      <c r="K188" s="24"/>
      <c r="L188" s="19"/>
      <c r="V188" s="19"/>
      <c r="W188" s="21"/>
      <c r="X188" s="21"/>
      <c r="Y188" s="24"/>
      <c r="Z188" s="24"/>
      <c r="AA188" s="24"/>
      <c r="AB188" s="19"/>
      <c r="AC188" s="19"/>
      <c r="AD188" s="22"/>
      <c r="AE188" s="22"/>
      <c r="AF188" s="24"/>
    </row>
    <row r="189" spans="1:32" x14ac:dyDescent="0.25">
      <c r="A189" s="19"/>
      <c r="B189" s="21"/>
      <c r="C189" s="21"/>
      <c r="D189" s="24"/>
      <c r="E189" s="24"/>
      <c r="F189" s="24"/>
      <c r="G189" s="19"/>
      <c r="H189" s="19"/>
      <c r="I189" s="22"/>
      <c r="J189" s="22"/>
      <c r="K189" s="24"/>
      <c r="L189" s="19"/>
      <c r="V189" s="19"/>
      <c r="W189" s="21"/>
      <c r="X189" s="21"/>
      <c r="Y189" s="24"/>
      <c r="Z189" s="24"/>
      <c r="AA189" s="24"/>
      <c r="AB189" s="19"/>
      <c r="AC189" s="19"/>
      <c r="AD189" s="22"/>
      <c r="AE189" s="22"/>
      <c r="AF189" s="24"/>
    </row>
    <row r="190" spans="1:32" x14ac:dyDescent="0.25">
      <c r="A190" s="19"/>
      <c r="B190" s="21"/>
      <c r="C190" s="21"/>
      <c r="D190" s="24"/>
      <c r="E190" s="24"/>
      <c r="F190" s="24"/>
      <c r="G190" s="19"/>
      <c r="H190" s="19"/>
      <c r="I190" s="22"/>
      <c r="J190" s="22"/>
      <c r="K190" s="24"/>
      <c r="L190" s="19"/>
      <c r="V190" s="19"/>
      <c r="W190" s="21"/>
      <c r="X190" s="21"/>
      <c r="Y190" s="24"/>
      <c r="Z190" s="24"/>
      <c r="AA190" s="24"/>
      <c r="AB190" s="19"/>
      <c r="AC190" s="19"/>
      <c r="AD190" s="22"/>
      <c r="AE190" s="22"/>
      <c r="AF190" s="24"/>
    </row>
    <row r="191" spans="1:32" x14ac:dyDescent="0.25">
      <c r="A191" s="19"/>
      <c r="B191" s="21"/>
      <c r="C191" s="21"/>
      <c r="D191" s="24"/>
      <c r="E191" s="24"/>
      <c r="F191" s="24"/>
      <c r="G191" s="19"/>
      <c r="H191" s="19"/>
      <c r="I191" s="22"/>
      <c r="J191" s="22"/>
      <c r="K191" s="24"/>
      <c r="L191" s="19"/>
      <c r="V191" s="19"/>
      <c r="W191" s="21"/>
      <c r="X191" s="21"/>
      <c r="Y191" s="24"/>
      <c r="Z191" s="24"/>
      <c r="AA191" s="24"/>
      <c r="AB191" s="19"/>
      <c r="AC191" s="19"/>
      <c r="AD191" s="22"/>
      <c r="AE191" s="22"/>
      <c r="AF191" s="24"/>
    </row>
    <row r="192" spans="1:32" x14ac:dyDescent="0.25">
      <c r="A192" s="19"/>
      <c r="B192" s="21"/>
      <c r="C192" s="21"/>
      <c r="D192" s="24"/>
      <c r="E192" s="24"/>
      <c r="F192" s="24"/>
      <c r="G192" s="19"/>
      <c r="H192" s="19"/>
      <c r="I192" s="22"/>
      <c r="J192" s="22"/>
      <c r="K192" s="24"/>
      <c r="L192" s="19"/>
      <c r="V192" s="19"/>
      <c r="W192" s="21"/>
      <c r="X192" s="21"/>
      <c r="Y192" s="24"/>
      <c r="Z192" s="24"/>
      <c r="AA192" s="24"/>
      <c r="AB192" s="19"/>
      <c r="AC192" s="19"/>
      <c r="AD192" s="22"/>
      <c r="AE192" s="22"/>
      <c r="AF192" s="24"/>
    </row>
    <row r="193" spans="1:32" x14ac:dyDescent="0.25">
      <c r="A193" s="19"/>
      <c r="B193" s="21"/>
      <c r="C193" s="21"/>
      <c r="D193" s="24"/>
      <c r="E193" s="24"/>
      <c r="F193" s="24"/>
      <c r="G193" s="19"/>
      <c r="H193" s="19"/>
      <c r="I193" s="22"/>
      <c r="J193" s="22"/>
      <c r="K193" s="24"/>
      <c r="L193" s="19"/>
      <c r="V193" s="19"/>
      <c r="W193" s="21"/>
      <c r="X193" s="21"/>
      <c r="Y193" s="24"/>
      <c r="Z193" s="24"/>
      <c r="AA193" s="24"/>
      <c r="AB193" s="19"/>
      <c r="AC193" s="19"/>
      <c r="AD193" s="22"/>
      <c r="AE193" s="22"/>
      <c r="AF193" s="24"/>
    </row>
    <row r="194" spans="1:32" x14ac:dyDescent="0.25">
      <c r="A194" s="19"/>
      <c r="B194" s="21"/>
      <c r="C194" s="21"/>
      <c r="D194" s="24"/>
      <c r="E194" s="24"/>
      <c r="F194" s="24"/>
      <c r="G194" s="19"/>
      <c r="H194" s="19"/>
      <c r="I194" s="22"/>
      <c r="J194" s="22"/>
      <c r="K194" s="24"/>
      <c r="L194" s="19"/>
      <c r="V194" s="19"/>
      <c r="W194" s="21"/>
      <c r="X194" s="21"/>
      <c r="Y194" s="24"/>
      <c r="Z194" s="24"/>
      <c r="AA194" s="24"/>
      <c r="AB194" s="19"/>
      <c r="AC194" s="19"/>
      <c r="AD194" s="22"/>
      <c r="AE194" s="22"/>
      <c r="AF194" s="24"/>
    </row>
    <row r="195" spans="1:32" x14ac:dyDescent="0.25">
      <c r="A195" s="19"/>
      <c r="B195" s="21"/>
      <c r="C195" s="21"/>
      <c r="D195" s="24"/>
      <c r="E195" s="24"/>
      <c r="F195" s="24"/>
      <c r="G195" s="19"/>
      <c r="H195" s="19"/>
      <c r="I195" s="22"/>
      <c r="J195" s="22"/>
      <c r="K195" s="24"/>
      <c r="L195" s="19"/>
      <c r="V195" s="19"/>
      <c r="W195" s="21"/>
      <c r="X195" s="21"/>
      <c r="Y195" s="24"/>
      <c r="Z195" s="24"/>
      <c r="AA195" s="24"/>
      <c r="AB195" s="19"/>
      <c r="AC195" s="19"/>
      <c r="AD195" s="22"/>
      <c r="AE195" s="22"/>
      <c r="AF195" s="24"/>
    </row>
    <row r="196" spans="1:32" x14ac:dyDescent="0.25">
      <c r="A196" s="19"/>
      <c r="B196" s="21"/>
      <c r="C196" s="21"/>
      <c r="D196" s="24"/>
      <c r="E196" s="24"/>
      <c r="F196" s="24"/>
      <c r="G196" s="19"/>
      <c r="H196" s="19"/>
      <c r="I196" s="22"/>
      <c r="J196" s="22"/>
      <c r="K196" s="24"/>
      <c r="L196" s="19"/>
      <c r="V196" s="19"/>
      <c r="W196" s="21"/>
      <c r="X196" s="21"/>
      <c r="Y196" s="24"/>
      <c r="Z196" s="24"/>
      <c r="AA196" s="24"/>
      <c r="AB196" s="19"/>
      <c r="AC196" s="19"/>
      <c r="AD196" s="22"/>
      <c r="AE196" s="22"/>
      <c r="AF196" s="24"/>
    </row>
    <row r="197" spans="1:32" x14ac:dyDescent="0.25">
      <c r="A197" s="19"/>
      <c r="B197" s="21"/>
      <c r="C197" s="21"/>
      <c r="D197" s="24"/>
      <c r="E197" s="24"/>
      <c r="F197" s="24"/>
      <c r="G197" s="19"/>
      <c r="H197" s="19"/>
      <c r="I197" s="22"/>
      <c r="J197" s="22"/>
      <c r="K197" s="24"/>
      <c r="L197" s="19"/>
      <c r="V197" s="19"/>
      <c r="W197" s="21"/>
      <c r="X197" s="21"/>
      <c r="Y197" s="24"/>
      <c r="Z197" s="24"/>
      <c r="AA197" s="24"/>
      <c r="AB197" s="19"/>
      <c r="AC197" s="19"/>
      <c r="AD197" s="22"/>
      <c r="AE197" s="22"/>
      <c r="AF197" s="24"/>
    </row>
    <row r="198" spans="1:32" x14ac:dyDescent="0.25">
      <c r="A198" s="19"/>
      <c r="B198" s="21"/>
      <c r="C198" s="21"/>
      <c r="D198" s="24"/>
      <c r="E198" s="24"/>
      <c r="F198" s="24"/>
      <c r="G198" s="19"/>
      <c r="H198" s="19"/>
      <c r="I198" s="22"/>
      <c r="J198" s="22"/>
      <c r="K198" s="24"/>
      <c r="L198" s="19"/>
      <c r="V198" s="19"/>
      <c r="W198" s="21"/>
      <c r="X198" s="21"/>
      <c r="Y198" s="24"/>
      <c r="Z198" s="24"/>
      <c r="AA198" s="24"/>
      <c r="AB198" s="19"/>
      <c r="AC198" s="19"/>
      <c r="AD198" s="22"/>
      <c r="AE198" s="22"/>
      <c r="AF198" s="24"/>
    </row>
    <row r="199" spans="1:32" x14ac:dyDescent="0.25">
      <c r="A199" s="19"/>
      <c r="B199" s="21"/>
      <c r="C199" s="21"/>
      <c r="D199" s="24"/>
      <c r="E199" s="24"/>
      <c r="F199" s="24"/>
      <c r="G199" s="19"/>
      <c r="H199" s="19"/>
      <c r="I199" s="22"/>
      <c r="J199" s="22"/>
      <c r="K199" s="24"/>
      <c r="L199" s="19"/>
      <c r="V199" s="19"/>
      <c r="W199" s="21"/>
      <c r="X199" s="21"/>
      <c r="Y199" s="24"/>
      <c r="Z199" s="24"/>
      <c r="AA199" s="24"/>
      <c r="AB199" s="19"/>
      <c r="AC199" s="19"/>
      <c r="AD199" s="22"/>
      <c r="AE199" s="22"/>
      <c r="AF199" s="24"/>
    </row>
    <row r="200" spans="1:32" x14ac:dyDescent="0.25">
      <c r="A200" s="19"/>
      <c r="B200" s="21"/>
      <c r="C200" s="21"/>
      <c r="D200" s="24"/>
      <c r="E200" s="24"/>
      <c r="F200" s="24"/>
      <c r="G200" s="19"/>
      <c r="H200" s="19"/>
      <c r="I200" s="22"/>
      <c r="J200" s="22"/>
      <c r="K200" s="24"/>
      <c r="L200" s="19"/>
      <c r="V200" s="19"/>
      <c r="W200" s="21"/>
      <c r="X200" s="21"/>
      <c r="Y200" s="24"/>
      <c r="Z200" s="24"/>
      <c r="AA200" s="24"/>
      <c r="AB200" s="19"/>
      <c r="AC200" s="19"/>
      <c r="AD200" s="22"/>
      <c r="AE200" s="22"/>
      <c r="AF200" s="24"/>
    </row>
    <row r="201" spans="1:32" x14ac:dyDescent="0.25">
      <c r="A201" s="19"/>
      <c r="B201" s="21"/>
      <c r="C201" s="21"/>
      <c r="D201" s="24"/>
      <c r="E201" s="24"/>
      <c r="F201" s="24"/>
      <c r="G201" s="19"/>
      <c r="H201" s="19"/>
      <c r="I201" s="22"/>
      <c r="J201" s="22"/>
      <c r="K201" s="24"/>
      <c r="L201" s="19"/>
      <c r="V201" s="19"/>
      <c r="W201" s="21"/>
      <c r="X201" s="21"/>
      <c r="Y201" s="24"/>
      <c r="Z201" s="24"/>
      <c r="AA201" s="24"/>
      <c r="AB201" s="19"/>
      <c r="AC201" s="19"/>
      <c r="AD201" s="22"/>
      <c r="AE201" s="22"/>
      <c r="AF201" s="24"/>
    </row>
    <row r="202" spans="1:32" x14ac:dyDescent="0.25">
      <c r="A202" s="19"/>
      <c r="B202" s="21"/>
      <c r="C202" s="21"/>
      <c r="D202" s="24"/>
      <c r="E202" s="24"/>
      <c r="F202" s="24"/>
      <c r="G202" s="19"/>
      <c r="H202" s="19"/>
      <c r="I202" s="22"/>
      <c r="J202" s="22"/>
      <c r="K202" s="24"/>
      <c r="L202" s="19"/>
      <c r="V202" s="19"/>
      <c r="W202" s="21"/>
      <c r="X202" s="21"/>
      <c r="Y202" s="24"/>
      <c r="Z202" s="24"/>
      <c r="AA202" s="24"/>
      <c r="AB202" s="19"/>
      <c r="AC202" s="19"/>
      <c r="AD202" s="22"/>
      <c r="AE202" s="22"/>
      <c r="AF202" s="24"/>
    </row>
    <row r="203" spans="1:32" x14ac:dyDescent="0.25">
      <c r="A203" s="19"/>
      <c r="B203" s="21"/>
      <c r="C203" s="21"/>
      <c r="D203" s="24"/>
      <c r="E203" s="24"/>
      <c r="F203" s="24"/>
      <c r="G203" s="19"/>
      <c r="H203" s="19"/>
      <c r="I203" s="22"/>
      <c r="J203" s="22"/>
      <c r="K203" s="24"/>
      <c r="L203" s="19"/>
      <c r="V203" s="19"/>
      <c r="W203" s="21"/>
      <c r="X203" s="21"/>
      <c r="Y203" s="24"/>
      <c r="Z203" s="24"/>
      <c r="AA203" s="24"/>
      <c r="AB203" s="19"/>
      <c r="AC203" s="19"/>
      <c r="AD203" s="22"/>
      <c r="AE203" s="22"/>
      <c r="AF203" s="24"/>
    </row>
    <row r="204" spans="1:32" x14ac:dyDescent="0.25">
      <c r="A204" s="19"/>
      <c r="B204" s="21"/>
      <c r="C204" s="21"/>
      <c r="D204" s="24"/>
      <c r="E204" s="24"/>
      <c r="F204" s="24"/>
      <c r="G204" s="19"/>
      <c r="H204" s="19"/>
      <c r="I204" s="22"/>
      <c r="J204" s="22"/>
      <c r="K204" s="24"/>
      <c r="L204" s="19"/>
      <c r="V204" s="19"/>
      <c r="W204" s="21"/>
      <c r="X204" s="21"/>
      <c r="Y204" s="24"/>
      <c r="Z204" s="24"/>
      <c r="AA204" s="24"/>
      <c r="AB204" s="19"/>
      <c r="AC204" s="19"/>
      <c r="AD204" s="22"/>
      <c r="AE204" s="22"/>
      <c r="AF204" s="24"/>
    </row>
    <row r="205" spans="1:32" x14ac:dyDescent="0.25">
      <c r="A205" s="19"/>
      <c r="B205" s="21"/>
      <c r="C205" s="21"/>
      <c r="D205" s="24"/>
      <c r="E205" s="24"/>
      <c r="F205" s="24"/>
      <c r="G205" s="19"/>
      <c r="H205" s="19"/>
      <c r="I205" s="22"/>
      <c r="J205" s="22"/>
      <c r="K205" s="24"/>
      <c r="L205" s="19"/>
      <c r="V205" s="19"/>
      <c r="W205" s="21"/>
      <c r="X205" s="21"/>
      <c r="Y205" s="24"/>
      <c r="Z205" s="24"/>
      <c r="AA205" s="24"/>
      <c r="AB205" s="19"/>
      <c r="AC205" s="19"/>
      <c r="AD205" s="22"/>
      <c r="AE205" s="22"/>
      <c r="AF205" s="24"/>
    </row>
    <row r="206" spans="1:32" x14ac:dyDescent="0.25">
      <c r="A206" s="19"/>
      <c r="B206" s="21"/>
      <c r="C206" s="21"/>
      <c r="D206" s="24"/>
      <c r="E206" s="24"/>
      <c r="F206" s="24"/>
      <c r="G206" s="19"/>
      <c r="H206" s="19"/>
      <c r="I206" s="22"/>
      <c r="J206" s="22"/>
      <c r="K206" s="24"/>
      <c r="L206" s="19"/>
      <c r="V206" s="19"/>
      <c r="W206" s="21"/>
      <c r="X206" s="21"/>
      <c r="Y206" s="24"/>
      <c r="Z206" s="24"/>
      <c r="AA206" s="24"/>
      <c r="AB206" s="19"/>
      <c r="AC206" s="19"/>
      <c r="AD206" s="22"/>
      <c r="AE206" s="22"/>
      <c r="AF206" s="24"/>
    </row>
    <row r="207" spans="1:32" x14ac:dyDescent="0.25">
      <c r="A207" s="19"/>
      <c r="B207" s="21"/>
      <c r="C207" s="21"/>
      <c r="D207" s="24"/>
      <c r="E207" s="24"/>
      <c r="F207" s="24"/>
      <c r="G207" s="19"/>
      <c r="H207" s="19"/>
      <c r="I207" s="22"/>
      <c r="J207" s="22"/>
      <c r="K207" s="24"/>
      <c r="L207" s="19"/>
      <c r="V207" s="19"/>
      <c r="W207" s="21"/>
      <c r="X207" s="21"/>
      <c r="Y207" s="24"/>
      <c r="Z207" s="24"/>
      <c r="AA207" s="24"/>
      <c r="AB207" s="19"/>
      <c r="AC207" s="19"/>
      <c r="AD207" s="22"/>
      <c r="AE207" s="22"/>
      <c r="AF207" s="24"/>
    </row>
    <row r="208" spans="1:32" x14ac:dyDescent="0.25">
      <c r="A208" s="19"/>
      <c r="B208" s="21"/>
      <c r="C208" s="21"/>
      <c r="D208" s="24"/>
      <c r="E208" s="24"/>
      <c r="F208" s="24"/>
      <c r="G208" s="19"/>
      <c r="H208" s="19"/>
      <c r="I208" s="22"/>
      <c r="J208" s="22"/>
      <c r="K208" s="24"/>
      <c r="L208" s="19"/>
      <c r="V208" s="19"/>
      <c r="W208" s="21"/>
      <c r="X208" s="21"/>
      <c r="Y208" s="24"/>
      <c r="Z208" s="24"/>
      <c r="AA208" s="24"/>
      <c r="AB208" s="19"/>
      <c r="AC208" s="19"/>
      <c r="AD208" s="22"/>
      <c r="AE208" s="22"/>
      <c r="AF208" s="24"/>
    </row>
    <row r="209" spans="1:32" x14ac:dyDescent="0.25">
      <c r="A209" s="19"/>
      <c r="B209" s="21"/>
      <c r="C209" s="21"/>
      <c r="D209" s="24"/>
      <c r="E209" s="24"/>
      <c r="F209" s="24"/>
      <c r="G209" s="19"/>
      <c r="H209" s="19"/>
      <c r="I209" s="22"/>
      <c r="J209" s="22"/>
      <c r="K209" s="24"/>
      <c r="L209" s="19"/>
      <c r="V209" s="19"/>
      <c r="W209" s="21"/>
      <c r="X209" s="21"/>
      <c r="Y209" s="24"/>
      <c r="Z209" s="24"/>
      <c r="AA209" s="24"/>
      <c r="AB209" s="19"/>
      <c r="AC209" s="19"/>
      <c r="AD209" s="22"/>
      <c r="AE209" s="22"/>
      <c r="AF209" s="24"/>
    </row>
    <row r="210" spans="1:32" x14ac:dyDescent="0.25">
      <c r="A210" s="19"/>
      <c r="B210" s="21"/>
      <c r="C210" s="21"/>
      <c r="D210" s="24"/>
      <c r="E210" s="24"/>
      <c r="F210" s="24"/>
      <c r="G210" s="19"/>
      <c r="H210" s="19"/>
      <c r="I210" s="22"/>
      <c r="J210" s="22"/>
      <c r="K210" s="24"/>
      <c r="L210" s="19"/>
      <c r="V210" s="19"/>
      <c r="W210" s="21"/>
      <c r="X210" s="21"/>
      <c r="Y210" s="24"/>
      <c r="Z210" s="24"/>
      <c r="AA210" s="24"/>
      <c r="AB210" s="19"/>
      <c r="AC210" s="19"/>
      <c r="AD210" s="22"/>
      <c r="AE210" s="22"/>
      <c r="AF210" s="24"/>
    </row>
    <row r="211" spans="1:32" x14ac:dyDescent="0.25">
      <c r="A211" s="19"/>
      <c r="B211" s="21"/>
      <c r="C211" s="21"/>
      <c r="D211" s="24"/>
      <c r="E211" s="24"/>
      <c r="F211" s="24"/>
      <c r="G211" s="19"/>
      <c r="H211" s="19"/>
      <c r="I211" s="22"/>
      <c r="J211" s="22"/>
      <c r="K211" s="24"/>
      <c r="L211" s="19"/>
      <c r="V211" s="19"/>
      <c r="W211" s="21"/>
      <c r="X211" s="21"/>
      <c r="Y211" s="24"/>
      <c r="Z211" s="24"/>
      <c r="AA211" s="24"/>
      <c r="AB211" s="19"/>
      <c r="AC211" s="19"/>
      <c r="AD211" s="22"/>
      <c r="AE211" s="22"/>
      <c r="AF211" s="24"/>
    </row>
    <row r="212" spans="1:32" x14ac:dyDescent="0.25">
      <c r="A212" s="19"/>
      <c r="B212" s="21"/>
      <c r="C212" s="21"/>
      <c r="D212" s="24"/>
      <c r="E212" s="24"/>
      <c r="F212" s="24"/>
      <c r="G212" s="19"/>
      <c r="H212" s="19"/>
      <c r="I212" s="22"/>
      <c r="J212" s="22"/>
      <c r="K212" s="24"/>
      <c r="L212" s="19"/>
      <c r="V212" s="19"/>
      <c r="W212" s="21"/>
      <c r="X212" s="21"/>
      <c r="Y212" s="24"/>
      <c r="Z212" s="24"/>
      <c r="AA212" s="24"/>
      <c r="AB212" s="19"/>
      <c r="AC212" s="19"/>
      <c r="AD212" s="22"/>
      <c r="AE212" s="22"/>
      <c r="AF212" s="24"/>
    </row>
    <row r="213" spans="1:32" x14ac:dyDescent="0.25">
      <c r="A213" s="19"/>
      <c r="B213" s="21"/>
      <c r="C213" s="21"/>
      <c r="D213" s="24"/>
      <c r="E213" s="24"/>
      <c r="F213" s="24"/>
      <c r="G213" s="19"/>
      <c r="H213" s="19"/>
      <c r="I213" s="22"/>
      <c r="J213" s="22"/>
      <c r="K213" s="24"/>
      <c r="L213" s="19"/>
      <c r="V213" s="19"/>
      <c r="W213" s="21"/>
      <c r="X213" s="21"/>
      <c r="Y213" s="24"/>
      <c r="Z213" s="24"/>
      <c r="AA213" s="24"/>
      <c r="AB213" s="19"/>
      <c r="AC213" s="19"/>
      <c r="AD213" s="22"/>
      <c r="AE213" s="22"/>
      <c r="AF213" s="24"/>
    </row>
    <row r="214" spans="1:32" x14ac:dyDescent="0.25">
      <c r="A214" s="19"/>
      <c r="B214" s="21"/>
      <c r="C214" s="21"/>
      <c r="D214" s="24"/>
      <c r="E214" s="24"/>
      <c r="F214" s="24"/>
      <c r="G214" s="19"/>
      <c r="H214" s="19"/>
      <c r="I214" s="22"/>
      <c r="J214" s="22"/>
      <c r="K214" s="24"/>
      <c r="L214" s="19"/>
      <c r="V214" s="19"/>
      <c r="W214" s="21"/>
      <c r="X214" s="21"/>
      <c r="Y214" s="24"/>
      <c r="Z214" s="24"/>
      <c r="AA214" s="24"/>
      <c r="AB214" s="19"/>
      <c r="AC214" s="19"/>
      <c r="AD214" s="22"/>
      <c r="AE214" s="22"/>
      <c r="AF214" s="24"/>
    </row>
    <row r="215" spans="1:32" x14ac:dyDescent="0.25">
      <c r="A215" s="19"/>
      <c r="B215" s="21"/>
      <c r="C215" s="21"/>
      <c r="D215" s="24"/>
      <c r="E215" s="24"/>
      <c r="F215" s="24"/>
      <c r="G215" s="19"/>
      <c r="H215" s="19"/>
      <c r="I215" s="22"/>
      <c r="J215" s="22"/>
      <c r="K215" s="24"/>
      <c r="L215" s="19"/>
      <c r="V215" s="19"/>
      <c r="W215" s="21"/>
      <c r="X215" s="21"/>
      <c r="Y215" s="24"/>
      <c r="Z215" s="24"/>
      <c r="AA215" s="24"/>
      <c r="AB215" s="19"/>
      <c r="AC215" s="19"/>
      <c r="AD215" s="22"/>
      <c r="AE215" s="22"/>
      <c r="AF215" s="24"/>
    </row>
    <row r="216" spans="1:32" x14ac:dyDescent="0.25">
      <c r="A216" s="19"/>
      <c r="B216" s="21"/>
      <c r="C216" s="21"/>
      <c r="D216" s="24"/>
      <c r="E216" s="24"/>
      <c r="F216" s="24"/>
      <c r="G216" s="19"/>
      <c r="H216" s="19"/>
      <c r="I216" s="22"/>
      <c r="J216" s="22"/>
      <c r="K216" s="24"/>
      <c r="L216" s="19"/>
      <c r="V216" s="19"/>
      <c r="W216" s="21"/>
      <c r="X216" s="21"/>
      <c r="Y216" s="24"/>
      <c r="Z216" s="24"/>
      <c r="AA216" s="24"/>
      <c r="AB216" s="19"/>
      <c r="AC216" s="19"/>
      <c r="AD216" s="22"/>
      <c r="AE216" s="22"/>
      <c r="AF216" s="24"/>
    </row>
    <row r="217" spans="1:32" x14ac:dyDescent="0.25">
      <c r="A217" s="19"/>
      <c r="B217" s="21"/>
      <c r="C217" s="21"/>
      <c r="D217" s="24"/>
      <c r="E217" s="24"/>
      <c r="F217" s="24"/>
      <c r="G217" s="19"/>
      <c r="H217" s="19"/>
      <c r="I217" s="22"/>
      <c r="J217" s="22"/>
      <c r="K217" s="24"/>
      <c r="L217" s="19"/>
      <c r="V217" s="19"/>
      <c r="W217" s="21"/>
      <c r="X217" s="21"/>
      <c r="Y217" s="24"/>
      <c r="Z217" s="24"/>
      <c r="AA217" s="24"/>
      <c r="AB217" s="19"/>
      <c r="AC217" s="19"/>
      <c r="AD217" s="22"/>
      <c r="AE217" s="22"/>
      <c r="AF217" s="24"/>
    </row>
    <row r="218" spans="1:32" x14ac:dyDescent="0.25">
      <c r="A218" s="19"/>
      <c r="B218" s="21"/>
      <c r="C218" s="21"/>
      <c r="D218" s="24"/>
      <c r="E218" s="24"/>
      <c r="F218" s="24"/>
      <c r="G218" s="19"/>
      <c r="H218" s="19"/>
      <c r="I218" s="22"/>
      <c r="J218" s="22"/>
      <c r="K218" s="24"/>
      <c r="L218" s="19"/>
      <c r="V218" s="19"/>
      <c r="W218" s="21"/>
      <c r="X218" s="21"/>
      <c r="Y218" s="24"/>
      <c r="Z218" s="24"/>
      <c r="AA218" s="24"/>
      <c r="AB218" s="19"/>
      <c r="AC218" s="19"/>
      <c r="AD218" s="22"/>
      <c r="AE218" s="22"/>
      <c r="AF218" s="24"/>
    </row>
    <row r="219" spans="1:32" x14ac:dyDescent="0.25">
      <c r="A219" s="19"/>
      <c r="B219" s="21"/>
      <c r="C219" s="21"/>
      <c r="D219" s="24"/>
      <c r="E219" s="24"/>
      <c r="F219" s="24"/>
      <c r="G219" s="19"/>
      <c r="H219" s="19"/>
      <c r="I219" s="22"/>
      <c r="J219" s="22"/>
      <c r="K219" s="24"/>
      <c r="L219" s="19"/>
      <c r="V219" s="19"/>
      <c r="W219" s="21"/>
      <c r="X219" s="21"/>
      <c r="Y219" s="24"/>
      <c r="Z219" s="24"/>
      <c r="AA219" s="24"/>
      <c r="AB219" s="19"/>
      <c r="AC219" s="19"/>
      <c r="AD219" s="22"/>
      <c r="AE219" s="22"/>
      <c r="AF219" s="24"/>
    </row>
    <row r="220" spans="1:32" x14ac:dyDescent="0.25">
      <c r="A220" s="19"/>
      <c r="B220" s="21"/>
      <c r="C220" s="21"/>
      <c r="D220" s="24"/>
      <c r="E220" s="24"/>
      <c r="F220" s="24"/>
      <c r="G220" s="19"/>
      <c r="H220" s="19"/>
      <c r="I220" s="22"/>
      <c r="J220" s="22"/>
      <c r="K220" s="24"/>
      <c r="L220" s="19"/>
      <c r="V220" s="19"/>
      <c r="W220" s="21"/>
      <c r="X220" s="21"/>
      <c r="Y220" s="24"/>
      <c r="Z220" s="24"/>
      <c r="AA220" s="24"/>
      <c r="AB220" s="19"/>
      <c r="AC220" s="19"/>
      <c r="AD220" s="22"/>
      <c r="AE220" s="22"/>
      <c r="AF220" s="24"/>
    </row>
    <row r="221" spans="1:32" x14ac:dyDescent="0.25">
      <c r="A221" s="19"/>
      <c r="B221" s="21"/>
      <c r="C221" s="21"/>
      <c r="D221" s="24"/>
      <c r="E221" s="24"/>
      <c r="F221" s="24"/>
      <c r="G221" s="19"/>
      <c r="H221" s="19"/>
      <c r="I221" s="22"/>
      <c r="J221" s="22"/>
      <c r="K221" s="24"/>
      <c r="L221" s="19"/>
      <c r="V221" s="19"/>
      <c r="W221" s="21"/>
      <c r="X221" s="21"/>
      <c r="Y221" s="24"/>
      <c r="Z221" s="24"/>
      <c r="AA221" s="24"/>
      <c r="AB221" s="19"/>
      <c r="AC221" s="19"/>
      <c r="AD221" s="22"/>
      <c r="AE221" s="22"/>
      <c r="AF221" s="24"/>
    </row>
    <row r="222" spans="1:32" x14ac:dyDescent="0.25">
      <c r="A222" s="19"/>
      <c r="B222" s="21"/>
      <c r="C222" s="21"/>
      <c r="D222" s="24"/>
      <c r="E222" s="24"/>
      <c r="F222" s="24"/>
      <c r="G222" s="19"/>
      <c r="H222" s="19"/>
      <c r="I222" s="22"/>
      <c r="J222" s="22"/>
      <c r="K222" s="24"/>
      <c r="L222" s="19"/>
      <c r="V222" s="19"/>
      <c r="W222" s="21"/>
      <c r="X222" s="21"/>
      <c r="Y222" s="24"/>
      <c r="Z222" s="24"/>
      <c r="AA222" s="24"/>
      <c r="AB222" s="19"/>
      <c r="AC222" s="19"/>
      <c r="AD222" s="22"/>
      <c r="AE222" s="22"/>
      <c r="AF222" s="24"/>
    </row>
    <row r="223" spans="1:32" x14ac:dyDescent="0.25">
      <c r="A223" s="19"/>
      <c r="B223" s="21"/>
      <c r="C223" s="21"/>
      <c r="D223" s="24"/>
      <c r="E223" s="24"/>
      <c r="F223" s="24"/>
      <c r="G223" s="19"/>
      <c r="H223" s="19"/>
      <c r="I223" s="22"/>
      <c r="J223" s="22"/>
      <c r="K223" s="24"/>
      <c r="L223" s="19"/>
      <c r="V223" s="19"/>
      <c r="W223" s="21"/>
      <c r="X223" s="21"/>
      <c r="Y223" s="24"/>
      <c r="Z223" s="24"/>
      <c r="AA223" s="24"/>
      <c r="AB223" s="19"/>
      <c r="AC223" s="19"/>
      <c r="AD223" s="22"/>
      <c r="AE223" s="22"/>
      <c r="AF223" s="24"/>
    </row>
    <row r="224" spans="1:32" x14ac:dyDescent="0.25">
      <c r="A224" s="19"/>
      <c r="B224" s="21"/>
      <c r="C224" s="21"/>
      <c r="D224" s="24"/>
      <c r="E224" s="24"/>
      <c r="F224" s="24"/>
      <c r="G224" s="19"/>
      <c r="H224" s="19"/>
      <c r="I224" s="22"/>
      <c r="J224" s="22"/>
      <c r="K224" s="24"/>
      <c r="L224" s="19"/>
      <c r="V224" s="19"/>
      <c r="W224" s="21"/>
      <c r="X224" s="21"/>
      <c r="Y224" s="24"/>
      <c r="Z224" s="24"/>
      <c r="AA224" s="24"/>
      <c r="AB224" s="19"/>
      <c r="AC224" s="19"/>
      <c r="AD224" s="22"/>
      <c r="AE224" s="22"/>
      <c r="AF224" s="24"/>
    </row>
    <row r="225" spans="1:32" x14ac:dyDescent="0.25">
      <c r="A225" s="19"/>
      <c r="B225" s="21"/>
      <c r="C225" s="21"/>
      <c r="D225" s="24"/>
      <c r="E225" s="24"/>
      <c r="F225" s="24"/>
      <c r="G225" s="19"/>
      <c r="H225" s="19"/>
      <c r="I225" s="22"/>
      <c r="J225" s="22"/>
      <c r="K225" s="24"/>
      <c r="L225" s="19"/>
      <c r="V225" s="19"/>
      <c r="W225" s="21"/>
      <c r="X225" s="21"/>
      <c r="Y225" s="24"/>
      <c r="Z225" s="24"/>
      <c r="AA225" s="24"/>
      <c r="AB225" s="19"/>
      <c r="AC225" s="19"/>
      <c r="AD225" s="22"/>
      <c r="AE225" s="22"/>
      <c r="AF225" s="24"/>
    </row>
    <row r="226" spans="1:32" x14ac:dyDescent="0.25">
      <c r="A226" s="19"/>
      <c r="B226" s="21"/>
      <c r="C226" s="21"/>
      <c r="D226" s="24"/>
      <c r="E226" s="24"/>
      <c r="F226" s="24"/>
      <c r="G226" s="19"/>
      <c r="H226" s="19"/>
      <c r="I226" s="22"/>
      <c r="J226" s="22"/>
      <c r="K226" s="24"/>
      <c r="L226" s="19"/>
      <c r="V226" s="19"/>
      <c r="W226" s="21"/>
      <c r="X226" s="21"/>
      <c r="Y226" s="24"/>
      <c r="Z226" s="24"/>
      <c r="AA226" s="24"/>
      <c r="AB226" s="19"/>
      <c r="AC226" s="19"/>
      <c r="AD226" s="22"/>
      <c r="AE226" s="22"/>
      <c r="AF226" s="24"/>
    </row>
    <row r="227" spans="1:32" x14ac:dyDescent="0.25">
      <c r="A227" s="19"/>
      <c r="B227" s="21"/>
      <c r="C227" s="21"/>
      <c r="D227" s="24"/>
      <c r="E227" s="24"/>
      <c r="F227" s="24"/>
      <c r="G227" s="19"/>
      <c r="H227" s="19"/>
      <c r="I227" s="22"/>
      <c r="J227" s="22"/>
      <c r="K227" s="24"/>
      <c r="L227" s="19"/>
      <c r="V227" s="19"/>
      <c r="W227" s="21"/>
      <c r="X227" s="21"/>
      <c r="Y227" s="24"/>
      <c r="Z227" s="24"/>
      <c r="AA227" s="24"/>
      <c r="AB227" s="19"/>
      <c r="AC227" s="19"/>
      <c r="AD227" s="22"/>
      <c r="AE227" s="22"/>
      <c r="AF227" s="24"/>
    </row>
    <row r="228" spans="1:32" x14ac:dyDescent="0.25">
      <c r="A228" s="19"/>
      <c r="B228" s="21"/>
      <c r="C228" s="21"/>
      <c r="D228" s="24"/>
      <c r="E228" s="24"/>
      <c r="F228" s="24"/>
      <c r="G228" s="19"/>
      <c r="H228" s="19"/>
      <c r="I228" s="22"/>
      <c r="J228" s="22"/>
      <c r="K228" s="24"/>
      <c r="L228" s="19"/>
      <c r="V228" s="19"/>
      <c r="W228" s="21"/>
      <c r="X228" s="21"/>
      <c r="Y228" s="24"/>
      <c r="Z228" s="24"/>
      <c r="AA228" s="24"/>
      <c r="AB228" s="19"/>
      <c r="AC228" s="19"/>
      <c r="AD228" s="22"/>
      <c r="AE228" s="22"/>
      <c r="AF228" s="24"/>
    </row>
    <row r="229" spans="1:32" x14ac:dyDescent="0.25">
      <c r="A229" s="19"/>
      <c r="B229" s="21"/>
      <c r="C229" s="21"/>
      <c r="D229" s="24"/>
      <c r="E229" s="24"/>
      <c r="F229" s="24"/>
      <c r="G229" s="19"/>
      <c r="H229" s="19"/>
      <c r="I229" s="22"/>
      <c r="J229" s="22"/>
      <c r="K229" s="24"/>
      <c r="L229" s="19"/>
      <c r="V229" s="19"/>
      <c r="W229" s="21"/>
      <c r="X229" s="21"/>
      <c r="Y229" s="24"/>
      <c r="Z229" s="24"/>
      <c r="AA229" s="24"/>
      <c r="AB229" s="19"/>
      <c r="AC229" s="19"/>
      <c r="AD229" s="22"/>
      <c r="AE229" s="22"/>
      <c r="AF229" s="24"/>
    </row>
    <row r="230" spans="1:32" x14ac:dyDescent="0.25">
      <c r="A230" s="19"/>
      <c r="B230" s="21"/>
      <c r="C230" s="21"/>
      <c r="D230" s="24"/>
      <c r="E230" s="24"/>
      <c r="F230" s="24"/>
      <c r="G230" s="19"/>
      <c r="H230" s="19"/>
      <c r="I230" s="22"/>
      <c r="J230" s="22"/>
      <c r="K230" s="24"/>
      <c r="L230" s="19"/>
      <c r="V230" s="19"/>
      <c r="W230" s="21"/>
      <c r="X230" s="21"/>
      <c r="Y230" s="24"/>
      <c r="Z230" s="24"/>
      <c r="AA230" s="24"/>
      <c r="AB230" s="19"/>
      <c r="AC230" s="19"/>
      <c r="AD230" s="22"/>
      <c r="AE230" s="22"/>
      <c r="AF230" s="24"/>
    </row>
    <row r="231" spans="1:32" x14ac:dyDescent="0.25">
      <c r="A231" s="19"/>
      <c r="B231" s="21"/>
      <c r="C231" s="21"/>
      <c r="D231" s="24"/>
      <c r="E231" s="24"/>
      <c r="F231" s="24"/>
      <c r="G231" s="19"/>
      <c r="H231" s="19"/>
      <c r="I231" s="22"/>
      <c r="J231" s="22"/>
      <c r="K231" s="24"/>
      <c r="L231" s="19"/>
      <c r="V231" s="19"/>
      <c r="W231" s="21"/>
      <c r="X231" s="21"/>
      <c r="Y231" s="24"/>
      <c r="Z231" s="24"/>
      <c r="AA231" s="24"/>
      <c r="AB231" s="19"/>
      <c r="AC231" s="19"/>
      <c r="AD231" s="22"/>
      <c r="AE231" s="22"/>
      <c r="AF231" s="24"/>
    </row>
    <row r="232" spans="1:32" x14ac:dyDescent="0.25">
      <c r="A232" s="19"/>
      <c r="B232" s="21"/>
      <c r="C232" s="21"/>
      <c r="D232" s="24"/>
      <c r="E232" s="24"/>
      <c r="F232" s="24"/>
      <c r="G232" s="19"/>
      <c r="H232" s="19"/>
      <c r="I232" s="22"/>
      <c r="J232" s="22"/>
      <c r="K232" s="24"/>
      <c r="L232" s="19"/>
      <c r="V232" s="19"/>
      <c r="W232" s="21"/>
      <c r="X232" s="21"/>
      <c r="Y232" s="24"/>
      <c r="Z232" s="24"/>
      <c r="AA232" s="24"/>
      <c r="AB232" s="19"/>
      <c r="AC232" s="19"/>
      <c r="AD232" s="22"/>
      <c r="AE232" s="22"/>
      <c r="AF232" s="24"/>
    </row>
    <row r="233" spans="1:32" x14ac:dyDescent="0.25">
      <c r="A233" s="19"/>
      <c r="B233" s="21"/>
      <c r="C233" s="21"/>
      <c r="D233" s="24"/>
      <c r="E233" s="24"/>
      <c r="F233" s="24"/>
      <c r="G233" s="19"/>
      <c r="H233" s="19"/>
      <c r="I233" s="22"/>
      <c r="J233" s="22"/>
      <c r="K233" s="24"/>
      <c r="L233" s="19"/>
      <c r="V233" s="19"/>
      <c r="W233" s="21"/>
      <c r="X233" s="21"/>
      <c r="Y233" s="24"/>
      <c r="Z233" s="24"/>
      <c r="AA233" s="24"/>
      <c r="AB233" s="19"/>
      <c r="AC233" s="19"/>
      <c r="AD233" s="22"/>
      <c r="AE233" s="22"/>
      <c r="AF233" s="24"/>
    </row>
    <row r="234" spans="1:32" x14ac:dyDescent="0.25">
      <c r="A234" s="19"/>
      <c r="B234" s="21"/>
      <c r="C234" s="21"/>
      <c r="D234" s="24"/>
      <c r="E234" s="24"/>
      <c r="F234" s="24"/>
      <c r="G234" s="19"/>
      <c r="H234" s="19"/>
      <c r="I234" s="22"/>
      <c r="J234" s="22"/>
      <c r="K234" s="24"/>
      <c r="L234" s="19"/>
      <c r="V234" s="19"/>
      <c r="W234" s="21"/>
      <c r="X234" s="21"/>
      <c r="Y234" s="24"/>
      <c r="Z234" s="24"/>
      <c r="AA234" s="24"/>
      <c r="AB234" s="19"/>
      <c r="AC234" s="19"/>
      <c r="AD234" s="22"/>
      <c r="AE234" s="22"/>
      <c r="AF234" s="24"/>
    </row>
    <row r="235" spans="1:32" x14ac:dyDescent="0.25">
      <c r="A235" s="19"/>
      <c r="B235" s="21"/>
      <c r="C235" s="21"/>
      <c r="D235" s="24"/>
      <c r="E235" s="24"/>
      <c r="F235" s="24"/>
      <c r="G235" s="19"/>
      <c r="H235" s="19"/>
      <c r="I235" s="22"/>
      <c r="J235" s="22"/>
      <c r="K235" s="24"/>
      <c r="L235" s="19"/>
      <c r="V235" s="19"/>
      <c r="W235" s="21"/>
      <c r="X235" s="21"/>
      <c r="Y235" s="24"/>
      <c r="Z235" s="24"/>
      <c r="AA235" s="24"/>
      <c r="AB235" s="19"/>
      <c r="AC235" s="19"/>
      <c r="AD235" s="22"/>
      <c r="AE235" s="22"/>
      <c r="AF235" s="24"/>
    </row>
    <row r="236" spans="1:32" x14ac:dyDescent="0.25">
      <c r="A236" s="19"/>
      <c r="B236" s="21"/>
      <c r="C236" s="21"/>
      <c r="D236" s="24"/>
      <c r="E236" s="24"/>
      <c r="F236" s="24"/>
      <c r="G236" s="19"/>
      <c r="H236" s="19"/>
      <c r="I236" s="22"/>
      <c r="J236" s="22"/>
      <c r="K236" s="24"/>
      <c r="L236" s="19"/>
      <c r="V236" s="19"/>
      <c r="W236" s="21"/>
      <c r="X236" s="21"/>
      <c r="Y236" s="24"/>
      <c r="Z236" s="24"/>
      <c r="AA236" s="24"/>
      <c r="AB236" s="19"/>
      <c r="AC236" s="19"/>
      <c r="AD236" s="22"/>
      <c r="AE236" s="22"/>
      <c r="AF236" s="24"/>
    </row>
    <row r="237" spans="1:32" x14ac:dyDescent="0.25">
      <c r="A237" s="19"/>
      <c r="B237" s="21"/>
      <c r="C237" s="21"/>
      <c r="D237" s="24"/>
      <c r="E237" s="24"/>
      <c r="F237" s="24"/>
      <c r="G237" s="19"/>
      <c r="H237" s="19"/>
      <c r="I237" s="22"/>
      <c r="J237" s="22"/>
      <c r="K237" s="24"/>
      <c r="L237" s="19"/>
      <c r="V237" s="19"/>
      <c r="W237" s="21"/>
      <c r="X237" s="21"/>
      <c r="Y237" s="24"/>
      <c r="Z237" s="24"/>
      <c r="AA237" s="24"/>
      <c r="AB237" s="19"/>
      <c r="AC237" s="19"/>
      <c r="AD237" s="22"/>
      <c r="AE237" s="22"/>
      <c r="AF237" s="24"/>
    </row>
    <row r="238" spans="1:32" x14ac:dyDescent="0.25">
      <c r="A238" s="19"/>
      <c r="B238" s="21"/>
      <c r="C238" s="21"/>
      <c r="D238" s="24"/>
      <c r="E238" s="24"/>
      <c r="F238" s="24"/>
      <c r="G238" s="19"/>
      <c r="H238" s="19"/>
      <c r="I238" s="22"/>
      <c r="J238" s="22"/>
      <c r="K238" s="24"/>
      <c r="L238" s="19"/>
      <c r="V238" s="19"/>
      <c r="W238" s="21"/>
      <c r="X238" s="21"/>
      <c r="Y238" s="24"/>
      <c r="Z238" s="24"/>
      <c r="AA238" s="24"/>
      <c r="AB238" s="19"/>
      <c r="AC238" s="19"/>
      <c r="AD238" s="22"/>
      <c r="AE238" s="22"/>
      <c r="AF238" s="24"/>
    </row>
    <row r="239" spans="1:32" x14ac:dyDescent="0.25">
      <c r="A239" s="19"/>
      <c r="B239" s="21"/>
      <c r="C239" s="21"/>
      <c r="D239" s="24"/>
      <c r="E239" s="24"/>
      <c r="F239" s="24"/>
      <c r="G239" s="19"/>
      <c r="H239" s="19"/>
      <c r="I239" s="22"/>
      <c r="J239" s="22"/>
      <c r="K239" s="24"/>
      <c r="L239" s="19"/>
      <c r="V239" s="19"/>
      <c r="W239" s="21"/>
      <c r="X239" s="21"/>
      <c r="Y239" s="24"/>
      <c r="Z239" s="24"/>
      <c r="AA239" s="24"/>
      <c r="AB239" s="19"/>
      <c r="AC239" s="19"/>
      <c r="AD239" s="22"/>
      <c r="AE239" s="22"/>
      <c r="AF239" s="24"/>
    </row>
    <row r="240" spans="1:32" x14ac:dyDescent="0.25">
      <c r="A240" s="19"/>
      <c r="B240" s="21"/>
      <c r="C240" s="21"/>
      <c r="D240" s="24"/>
      <c r="E240" s="24"/>
      <c r="F240" s="24"/>
      <c r="G240" s="19"/>
      <c r="H240" s="19"/>
      <c r="I240" s="22"/>
      <c r="J240" s="22"/>
      <c r="K240" s="24"/>
      <c r="L240" s="19"/>
      <c r="V240" s="19"/>
      <c r="W240" s="21"/>
      <c r="X240" s="21"/>
      <c r="Y240" s="24"/>
      <c r="Z240" s="24"/>
      <c r="AA240" s="24"/>
      <c r="AB240" s="19"/>
      <c r="AC240" s="19"/>
      <c r="AD240" s="22"/>
      <c r="AE240" s="22"/>
      <c r="AF240" s="24"/>
    </row>
    <row r="241" spans="1:32" x14ac:dyDescent="0.25">
      <c r="A241" s="19"/>
      <c r="B241" s="21"/>
      <c r="C241" s="21"/>
      <c r="D241" s="24"/>
      <c r="E241" s="24"/>
      <c r="F241" s="24"/>
      <c r="G241" s="19"/>
      <c r="H241" s="19"/>
      <c r="I241" s="22"/>
      <c r="J241" s="22"/>
      <c r="K241" s="24"/>
      <c r="L241" s="19"/>
      <c r="V241" s="19"/>
      <c r="W241" s="21"/>
      <c r="X241" s="21"/>
      <c r="Y241" s="24"/>
      <c r="Z241" s="24"/>
      <c r="AA241" s="24"/>
      <c r="AB241" s="19"/>
      <c r="AC241" s="19"/>
      <c r="AD241" s="22"/>
      <c r="AE241" s="22"/>
      <c r="AF241" s="24"/>
    </row>
    <row r="242" spans="1:32" x14ac:dyDescent="0.25">
      <c r="A242" s="19"/>
      <c r="B242" s="21"/>
      <c r="C242" s="21"/>
      <c r="D242" s="24"/>
      <c r="E242" s="24"/>
      <c r="F242" s="24"/>
      <c r="G242" s="19"/>
      <c r="H242" s="19"/>
      <c r="I242" s="22"/>
      <c r="J242" s="22"/>
      <c r="K242" s="24"/>
      <c r="L242" s="19"/>
      <c r="V242" s="19"/>
      <c r="W242" s="21"/>
      <c r="X242" s="21"/>
      <c r="Y242" s="24"/>
      <c r="Z242" s="24"/>
      <c r="AA242" s="24"/>
      <c r="AB242" s="19"/>
      <c r="AC242" s="19"/>
      <c r="AD242" s="22"/>
      <c r="AE242" s="22"/>
      <c r="AF242" s="24"/>
    </row>
    <row r="243" spans="1:32" x14ac:dyDescent="0.25">
      <c r="A243" s="19"/>
      <c r="B243" s="21"/>
      <c r="C243" s="21"/>
      <c r="D243" s="24"/>
      <c r="E243" s="24"/>
      <c r="F243" s="24"/>
      <c r="G243" s="19"/>
      <c r="H243" s="19"/>
      <c r="I243" s="22"/>
      <c r="J243" s="22"/>
      <c r="K243" s="24"/>
      <c r="L243" s="19"/>
      <c r="V243" s="19"/>
      <c r="W243" s="21"/>
      <c r="X243" s="21"/>
      <c r="Y243" s="24"/>
      <c r="Z243" s="24"/>
      <c r="AA243" s="24"/>
      <c r="AB243" s="19"/>
      <c r="AC243" s="19"/>
      <c r="AD243" s="22"/>
      <c r="AE243" s="22"/>
      <c r="AF243" s="24"/>
    </row>
    <row r="244" spans="1:32" x14ac:dyDescent="0.25">
      <c r="A244" s="19"/>
      <c r="B244" s="21"/>
      <c r="C244" s="21"/>
      <c r="D244" s="24"/>
      <c r="E244" s="24"/>
      <c r="F244" s="24"/>
      <c r="G244" s="19"/>
      <c r="H244" s="19"/>
      <c r="I244" s="22"/>
      <c r="J244" s="22"/>
      <c r="K244" s="24"/>
      <c r="L244" s="19"/>
      <c r="V244" s="19"/>
      <c r="W244" s="21"/>
      <c r="X244" s="21"/>
      <c r="Y244" s="24"/>
      <c r="Z244" s="24"/>
      <c r="AA244" s="24"/>
      <c r="AB244" s="19"/>
      <c r="AC244" s="19"/>
      <c r="AD244" s="22"/>
      <c r="AE244" s="22"/>
      <c r="AF244" s="24"/>
    </row>
    <row r="245" spans="1:32" x14ac:dyDescent="0.25">
      <c r="A245" s="19"/>
      <c r="B245" s="21"/>
      <c r="C245" s="21"/>
      <c r="D245" s="24"/>
      <c r="E245" s="24"/>
      <c r="F245" s="24"/>
      <c r="G245" s="19"/>
      <c r="H245" s="19"/>
      <c r="I245" s="22"/>
      <c r="J245" s="22"/>
      <c r="K245" s="24"/>
      <c r="L245" s="19"/>
      <c r="V245" s="19"/>
      <c r="W245" s="21"/>
      <c r="X245" s="21"/>
      <c r="Y245" s="24"/>
      <c r="Z245" s="24"/>
      <c r="AA245" s="24"/>
      <c r="AB245" s="19"/>
      <c r="AC245" s="19"/>
      <c r="AD245" s="22"/>
      <c r="AE245" s="22"/>
      <c r="AF245" s="24"/>
    </row>
    <row r="246" spans="1:32" x14ac:dyDescent="0.25">
      <c r="A246" s="19"/>
      <c r="B246" s="21"/>
      <c r="C246" s="21"/>
      <c r="D246" s="24"/>
      <c r="E246" s="24"/>
      <c r="F246" s="24"/>
      <c r="G246" s="19"/>
      <c r="H246" s="19"/>
      <c r="I246" s="22"/>
      <c r="J246" s="22"/>
      <c r="K246" s="24"/>
      <c r="L246" s="19"/>
      <c r="V246" s="19"/>
      <c r="W246" s="21"/>
      <c r="X246" s="21"/>
      <c r="Y246" s="24"/>
      <c r="Z246" s="24"/>
      <c r="AA246" s="24"/>
      <c r="AB246" s="19"/>
      <c r="AC246" s="19"/>
      <c r="AD246" s="22"/>
      <c r="AE246" s="22"/>
      <c r="AF246" s="24"/>
    </row>
    <row r="247" spans="1:32" x14ac:dyDescent="0.25">
      <c r="A247" s="19"/>
      <c r="B247" s="21"/>
      <c r="C247" s="21"/>
      <c r="D247" s="24"/>
      <c r="E247" s="24"/>
      <c r="F247" s="24"/>
      <c r="G247" s="19"/>
      <c r="H247" s="19"/>
      <c r="I247" s="22"/>
      <c r="J247" s="22"/>
      <c r="K247" s="24"/>
      <c r="L247" s="19"/>
      <c r="V247" s="19"/>
      <c r="W247" s="21"/>
      <c r="X247" s="21"/>
      <c r="Y247" s="24"/>
      <c r="Z247" s="24"/>
      <c r="AA247" s="24"/>
      <c r="AB247" s="19"/>
      <c r="AC247" s="19"/>
      <c r="AD247" s="22"/>
      <c r="AE247" s="22"/>
      <c r="AF247" s="24"/>
    </row>
    <row r="248" spans="1:32" x14ac:dyDescent="0.25">
      <c r="A248" s="19"/>
      <c r="B248" s="21"/>
      <c r="C248" s="21"/>
      <c r="D248" s="24"/>
      <c r="E248" s="24"/>
      <c r="F248" s="24"/>
      <c r="G248" s="19"/>
      <c r="H248" s="19"/>
      <c r="I248" s="22"/>
      <c r="J248" s="22"/>
      <c r="K248" s="24"/>
      <c r="L248" s="19"/>
      <c r="V248" s="19"/>
      <c r="W248" s="21"/>
      <c r="X248" s="21"/>
      <c r="Y248" s="24"/>
      <c r="Z248" s="24"/>
      <c r="AA248" s="24"/>
      <c r="AB248" s="19"/>
      <c r="AC248" s="19"/>
      <c r="AD248" s="22"/>
      <c r="AE248" s="22"/>
      <c r="AF248" s="24"/>
    </row>
    <row r="249" spans="1:32" x14ac:dyDescent="0.25">
      <c r="A249" s="19"/>
      <c r="B249" s="21"/>
      <c r="C249" s="21"/>
      <c r="D249" s="24"/>
      <c r="E249" s="24"/>
      <c r="F249" s="24"/>
      <c r="G249" s="19"/>
      <c r="H249" s="19"/>
      <c r="I249" s="22"/>
      <c r="J249" s="22"/>
      <c r="K249" s="24"/>
      <c r="L249" s="19"/>
      <c r="V249" s="19"/>
      <c r="W249" s="21"/>
      <c r="X249" s="21"/>
      <c r="Y249" s="24"/>
      <c r="Z249" s="24"/>
      <c r="AA249" s="24"/>
      <c r="AB249" s="19"/>
      <c r="AC249" s="19"/>
      <c r="AD249" s="22"/>
      <c r="AE249" s="22"/>
      <c r="AF249" s="24"/>
    </row>
    <row r="250" spans="1:32" x14ac:dyDescent="0.25">
      <c r="A250" s="19"/>
      <c r="B250" s="21"/>
      <c r="C250" s="21"/>
      <c r="D250" s="24"/>
      <c r="E250" s="24"/>
      <c r="F250" s="24"/>
      <c r="G250" s="19"/>
      <c r="H250" s="19"/>
      <c r="I250" s="22"/>
      <c r="J250" s="22"/>
      <c r="K250" s="24"/>
      <c r="L250" s="19"/>
      <c r="V250" s="19"/>
      <c r="W250" s="21"/>
      <c r="X250" s="21"/>
      <c r="Y250" s="24"/>
      <c r="Z250" s="24"/>
      <c r="AA250" s="24"/>
      <c r="AB250" s="19"/>
      <c r="AC250" s="19"/>
      <c r="AD250" s="22"/>
      <c r="AE250" s="22"/>
      <c r="AF250" s="24"/>
    </row>
    <row r="251" spans="1:32" x14ac:dyDescent="0.25">
      <c r="A251" s="19"/>
      <c r="B251" s="21"/>
      <c r="C251" s="21"/>
      <c r="D251" s="24"/>
      <c r="E251" s="24"/>
      <c r="F251" s="24"/>
      <c r="G251" s="19"/>
      <c r="H251" s="19"/>
      <c r="I251" s="22"/>
      <c r="J251" s="22"/>
      <c r="K251" s="24"/>
      <c r="L251" s="19"/>
      <c r="V251" s="19"/>
      <c r="W251" s="21"/>
      <c r="X251" s="21"/>
      <c r="Y251" s="24"/>
      <c r="Z251" s="24"/>
      <c r="AA251" s="24"/>
      <c r="AB251" s="19"/>
      <c r="AC251" s="19"/>
      <c r="AD251" s="22"/>
      <c r="AE251" s="22"/>
      <c r="AF251" s="24"/>
    </row>
    <row r="252" spans="1:32" x14ac:dyDescent="0.25">
      <c r="A252" s="19"/>
      <c r="B252" s="21"/>
      <c r="C252" s="21"/>
      <c r="D252" s="24"/>
      <c r="E252" s="24"/>
      <c r="F252" s="24"/>
      <c r="G252" s="19"/>
      <c r="H252" s="19"/>
      <c r="I252" s="22"/>
      <c r="J252" s="22"/>
      <c r="K252" s="24"/>
      <c r="L252" s="19"/>
      <c r="V252" s="19"/>
      <c r="W252" s="21"/>
      <c r="X252" s="21"/>
      <c r="Y252" s="24"/>
      <c r="Z252" s="24"/>
      <c r="AA252" s="24"/>
      <c r="AB252" s="19"/>
      <c r="AC252" s="19"/>
      <c r="AD252" s="22"/>
      <c r="AE252" s="22"/>
      <c r="AF252" s="24"/>
    </row>
    <row r="253" spans="1:32" x14ac:dyDescent="0.25">
      <c r="A253" s="19"/>
      <c r="B253" s="21"/>
      <c r="C253" s="21"/>
      <c r="D253" s="24"/>
      <c r="E253" s="24"/>
      <c r="F253" s="24"/>
      <c r="G253" s="19"/>
      <c r="H253" s="19"/>
      <c r="I253" s="22"/>
      <c r="J253" s="22"/>
      <c r="K253" s="24"/>
      <c r="L253" s="19"/>
      <c r="V253" s="19"/>
      <c r="W253" s="21"/>
      <c r="X253" s="21"/>
      <c r="Y253" s="24"/>
      <c r="Z253" s="24"/>
      <c r="AA253" s="24"/>
      <c r="AB253" s="19"/>
      <c r="AC253" s="19"/>
      <c r="AD253" s="22"/>
      <c r="AE253" s="22"/>
      <c r="AF253" s="24"/>
    </row>
    <row r="254" spans="1:32" x14ac:dyDescent="0.25">
      <c r="A254" s="19"/>
      <c r="B254" s="21"/>
      <c r="C254" s="21"/>
      <c r="D254" s="24"/>
      <c r="E254" s="24"/>
      <c r="F254" s="24"/>
      <c r="G254" s="19"/>
      <c r="H254" s="19"/>
      <c r="I254" s="22"/>
      <c r="J254" s="22"/>
      <c r="K254" s="24"/>
      <c r="L254" s="19"/>
      <c r="V254" s="19"/>
      <c r="W254" s="21"/>
      <c r="X254" s="21"/>
      <c r="Y254" s="24"/>
      <c r="Z254" s="24"/>
      <c r="AA254" s="24"/>
      <c r="AB254" s="19"/>
      <c r="AC254" s="19"/>
      <c r="AD254" s="22"/>
      <c r="AE254" s="22"/>
      <c r="AF254" s="24"/>
    </row>
    <row r="255" spans="1:32" x14ac:dyDescent="0.25">
      <c r="A255" s="19"/>
      <c r="B255" s="21"/>
      <c r="C255" s="21"/>
      <c r="D255" s="24"/>
      <c r="E255" s="24"/>
      <c r="F255" s="24"/>
      <c r="G255" s="19"/>
      <c r="H255" s="19"/>
      <c r="I255" s="22"/>
      <c r="J255" s="22"/>
      <c r="K255" s="24"/>
      <c r="L255" s="19"/>
      <c r="V255" s="19"/>
      <c r="W255" s="21"/>
      <c r="X255" s="21"/>
      <c r="Y255" s="24"/>
      <c r="Z255" s="24"/>
      <c r="AA255" s="24"/>
      <c r="AB255" s="19"/>
      <c r="AC255" s="19"/>
      <c r="AD255" s="22"/>
      <c r="AE255" s="22"/>
      <c r="AF255" s="24"/>
    </row>
    <row r="256" spans="1:32" x14ac:dyDescent="0.25">
      <c r="A256" s="19"/>
      <c r="B256" s="21"/>
      <c r="C256" s="21"/>
      <c r="D256" s="24"/>
      <c r="E256" s="24"/>
      <c r="F256" s="24"/>
      <c r="G256" s="19"/>
      <c r="H256" s="19"/>
      <c r="I256" s="22"/>
      <c r="J256" s="22"/>
      <c r="K256" s="24"/>
      <c r="L256" s="19"/>
      <c r="V256" s="19"/>
      <c r="W256" s="21"/>
      <c r="X256" s="21"/>
      <c r="Y256" s="24"/>
      <c r="Z256" s="24"/>
      <c r="AA256" s="24"/>
      <c r="AB256" s="19"/>
      <c r="AC256" s="19"/>
      <c r="AD256" s="22"/>
      <c r="AE256" s="22"/>
      <c r="AF256" s="24"/>
    </row>
    <row r="257" spans="1:32" x14ac:dyDescent="0.25">
      <c r="A257" s="19"/>
      <c r="B257" s="21"/>
      <c r="C257" s="21"/>
      <c r="D257" s="24"/>
      <c r="E257" s="24"/>
      <c r="F257" s="24"/>
      <c r="G257" s="19"/>
      <c r="H257" s="19"/>
      <c r="I257" s="22"/>
      <c r="J257" s="22"/>
      <c r="K257" s="24"/>
      <c r="L257" s="19"/>
      <c r="V257" s="19"/>
      <c r="W257" s="21"/>
      <c r="X257" s="21"/>
      <c r="Y257" s="24"/>
      <c r="Z257" s="24"/>
      <c r="AA257" s="24"/>
      <c r="AB257" s="19"/>
      <c r="AC257" s="19"/>
      <c r="AD257" s="22"/>
      <c r="AE257" s="22"/>
      <c r="AF257" s="24"/>
    </row>
    <row r="258" spans="1:32" x14ac:dyDescent="0.25">
      <c r="A258" s="19"/>
      <c r="B258" s="21"/>
      <c r="C258" s="21"/>
      <c r="D258" s="24"/>
      <c r="E258" s="24"/>
      <c r="F258" s="24"/>
      <c r="G258" s="19"/>
      <c r="H258" s="19"/>
      <c r="I258" s="22"/>
      <c r="J258" s="22"/>
      <c r="K258" s="24"/>
      <c r="L258" s="19"/>
      <c r="V258" s="19"/>
      <c r="W258" s="21"/>
      <c r="X258" s="21"/>
      <c r="Y258" s="24"/>
      <c r="Z258" s="24"/>
      <c r="AA258" s="24"/>
      <c r="AB258" s="19"/>
      <c r="AC258" s="19"/>
      <c r="AD258" s="22"/>
      <c r="AE258" s="22"/>
      <c r="AF258" s="24"/>
    </row>
    <row r="259" spans="1:32" x14ac:dyDescent="0.25">
      <c r="A259" s="19"/>
      <c r="B259" s="21"/>
      <c r="C259" s="21"/>
      <c r="D259" s="24"/>
      <c r="E259" s="24"/>
      <c r="F259" s="24"/>
      <c r="G259" s="19"/>
      <c r="H259" s="19"/>
      <c r="I259" s="22"/>
      <c r="J259" s="22"/>
      <c r="K259" s="24"/>
      <c r="L259" s="19"/>
      <c r="V259" s="19"/>
      <c r="W259" s="21"/>
      <c r="X259" s="21"/>
      <c r="Y259" s="24"/>
      <c r="Z259" s="24"/>
      <c r="AA259" s="24"/>
      <c r="AB259" s="19"/>
      <c r="AC259" s="19"/>
      <c r="AD259" s="22"/>
      <c r="AE259" s="22"/>
      <c r="AF259" s="24"/>
    </row>
    <row r="260" spans="1:32" x14ac:dyDescent="0.25">
      <c r="A260" s="19"/>
      <c r="B260" s="21"/>
      <c r="C260" s="21"/>
      <c r="D260" s="24"/>
      <c r="E260" s="24"/>
      <c r="F260" s="24"/>
      <c r="G260" s="19"/>
      <c r="H260" s="19"/>
      <c r="I260" s="22"/>
      <c r="J260" s="22"/>
      <c r="K260" s="24"/>
      <c r="L260" s="19"/>
      <c r="V260" s="19"/>
      <c r="W260" s="21"/>
      <c r="X260" s="21"/>
      <c r="Y260" s="24"/>
      <c r="Z260" s="24"/>
      <c r="AA260" s="24"/>
      <c r="AB260" s="19"/>
      <c r="AC260" s="19"/>
      <c r="AD260" s="22"/>
      <c r="AE260" s="22"/>
      <c r="AF260" s="24"/>
    </row>
    <row r="261" spans="1:32" x14ac:dyDescent="0.25">
      <c r="A261" s="19"/>
      <c r="B261" s="21"/>
      <c r="C261" s="21"/>
      <c r="D261" s="24"/>
      <c r="E261" s="24"/>
      <c r="F261" s="24"/>
      <c r="G261" s="19"/>
      <c r="H261" s="19"/>
      <c r="I261" s="22"/>
      <c r="J261" s="22"/>
      <c r="K261" s="24"/>
      <c r="L261" s="19"/>
      <c r="V261" s="19"/>
      <c r="W261" s="21"/>
      <c r="X261" s="21"/>
      <c r="Y261" s="24"/>
      <c r="Z261" s="24"/>
      <c r="AA261" s="24"/>
      <c r="AB261" s="19"/>
      <c r="AC261" s="19"/>
      <c r="AD261" s="22"/>
      <c r="AE261" s="22"/>
      <c r="AF261" s="24"/>
    </row>
    <row r="262" spans="1:32" x14ac:dyDescent="0.25">
      <c r="A262" s="19"/>
      <c r="B262" s="21"/>
      <c r="C262" s="21"/>
      <c r="D262" s="24"/>
      <c r="E262" s="24"/>
      <c r="F262" s="24"/>
      <c r="G262" s="19"/>
      <c r="H262" s="19"/>
      <c r="I262" s="22"/>
      <c r="J262" s="22"/>
      <c r="K262" s="24"/>
      <c r="L262" s="19"/>
      <c r="V262" s="19"/>
      <c r="W262" s="21"/>
      <c r="X262" s="21"/>
      <c r="Y262" s="24"/>
      <c r="Z262" s="24"/>
      <c r="AA262" s="24"/>
      <c r="AB262" s="19"/>
      <c r="AC262" s="19"/>
      <c r="AD262" s="22"/>
      <c r="AE262" s="22"/>
      <c r="AF262" s="24"/>
    </row>
    <row r="263" spans="1:32" x14ac:dyDescent="0.25">
      <c r="A263" s="19"/>
      <c r="B263" s="21"/>
      <c r="C263" s="21"/>
      <c r="D263" s="24"/>
      <c r="E263" s="24"/>
      <c r="F263" s="24"/>
      <c r="G263" s="19"/>
      <c r="H263" s="19"/>
      <c r="I263" s="22"/>
      <c r="J263" s="22"/>
      <c r="K263" s="24"/>
      <c r="L263" s="19"/>
      <c r="V263" s="19"/>
      <c r="W263" s="21"/>
      <c r="X263" s="21"/>
      <c r="Y263" s="24"/>
      <c r="Z263" s="24"/>
      <c r="AA263" s="24"/>
      <c r="AB263" s="19"/>
      <c r="AC263" s="19"/>
      <c r="AD263" s="22"/>
      <c r="AE263" s="22"/>
      <c r="AF263" s="24"/>
    </row>
    <row r="264" spans="1:32" x14ac:dyDescent="0.25">
      <c r="A264" s="19"/>
      <c r="B264" s="21"/>
      <c r="C264" s="21"/>
      <c r="D264" s="24"/>
      <c r="E264" s="24"/>
      <c r="F264" s="24"/>
      <c r="G264" s="19"/>
      <c r="H264" s="19"/>
      <c r="I264" s="22"/>
      <c r="J264" s="22"/>
      <c r="K264" s="24"/>
      <c r="L264" s="19"/>
      <c r="V264" s="19"/>
      <c r="W264" s="21"/>
      <c r="X264" s="21"/>
      <c r="Y264" s="24"/>
      <c r="Z264" s="24"/>
      <c r="AA264" s="24"/>
      <c r="AB264" s="19"/>
      <c r="AC264" s="19"/>
      <c r="AD264" s="22"/>
      <c r="AE264" s="22"/>
      <c r="AF264" s="24"/>
    </row>
    <row r="265" spans="1:32" x14ac:dyDescent="0.25">
      <c r="A265" s="19"/>
      <c r="B265" s="21"/>
      <c r="C265" s="21"/>
      <c r="D265" s="24"/>
      <c r="E265" s="24"/>
      <c r="F265" s="24"/>
      <c r="G265" s="19"/>
      <c r="H265" s="19"/>
      <c r="I265" s="22"/>
      <c r="J265" s="22"/>
      <c r="K265" s="24"/>
      <c r="L265" s="19"/>
      <c r="V265" s="19"/>
      <c r="W265" s="21"/>
      <c r="X265" s="21"/>
      <c r="Y265" s="24"/>
      <c r="Z265" s="24"/>
      <c r="AA265" s="24"/>
      <c r="AB265" s="19"/>
      <c r="AC265" s="19"/>
      <c r="AD265" s="22"/>
      <c r="AE265" s="22"/>
      <c r="AF265" s="24"/>
    </row>
    <row r="266" spans="1:32" x14ac:dyDescent="0.25">
      <c r="A266" s="19"/>
      <c r="B266" s="21"/>
      <c r="C266" s="21"/>
      <c r="D266" s="24"/>
      <c r="E266" s="24"/>
      <c r="F266" s="24"/>
      <c r="G266" s="19"/>
      <c r="H266" s="19"/>
      <c r="I266" s="22"/>
      <c r="J266" s="22"/>
      <c r="K266" s="24"/>
      <c r="L266" s="19"/>
      <c r="V266" s="19"/>
      <c r="W266" s="21"/>
      <c r="X266" s="21"/>
      <c r="Y266" s="24"/>
      <c r="Z266" s="24"/>
      <c r="AA266" s="24"/>
      <c r="AB266" s="19"/>
      <c r="AC266" s="19"/>
      <c r="AD266" s="22"/>
      <c r="AE266" s="22"/>
      <c r="AF266" s="24"/>
    </row>
    <row r="267" spans="1:32" x14ac:dyDescent="0.25">
      <c r="A267" s="19"/>
      <c r="B267" s="21"/>
      <c r="C267" s="21"/>
      <c r="D267" s="24"/>
      <c r="E267" s="24"/>
      <c r="F267" s="24"/>
      <c r="G267" s="19"/>
      <c r="H267" s="19"/>
      <c r="I267" s="22"/>
      <c r="J267" s="22"/>
      <c r="K267" s="24"/>
      <c r="L267" s="19"/>
      <c r="V267" s="19"/>
      <c r="W267" s="21"/>
      <c r="X267" s="21"/>
      <c r="Y267" s="24"/>
      <c r="Z267" s="24"/>
      <c r="AA267" s="24"/>
      <c r="AB267" s="19"/>
      <c r="AC267" s="19"/>
      <c r="AD267" s="22"/>
      <c r="AE267" s="22"/>
      <c r="AF267" s="24"/>
    </row>
    <row r="268" spans="1:32" x14ac:dyDescent="0.25">
      <c r="A268" s="19"/>
      <c r="B268" s="21"/>
      <c r="C268" s="21"/>
      <c r="D268" s="24"/>
      <c r="E268" s="24"/>
      <c r="F268" s="24"/>
      <c r="G268" s="19"/>
      <c r="H268" s="19"/>
      <c r="I268" s="22"/>
      <c r="J268" s="22"/>
      <c r="K268" s="24"/>
      <c r="L268" s="19"/>
      <c r="V268" s="19"/>
      <c r="W268" s="21"/>
      <c r="X268" s="21"/>
      <c r="Y268" s="24"/>
      <c r="Z268" s="24"/>
      <c r="AA268" s="24"/>
      <c r="AB268" s="19"/>
      <c r="AC268" s="19"/>
      <c r="AD268" s="22"/>
      <c r="AE268" s="22"/>
      <c r="AF268" s="24"/>
    </row>
    <row r="269" spans="1:32" x14ac:dyDescent="0.25">
      <c r="A269" s="19"/>
      <c r="B269" s="21"/>
      <c r="C269" s="21"/>
      <c r="D269" s="24"/>
      <c r="E269" s="24"/>
      <c r="F269" s="24"/>
      <c r="G269" s="19"/>
      <c r="H269" s="19"/>
      <c r="I269" s="22"/>
      <c r="J269" s="22"/>
      <c r="K269" s="24"/>
      <c r="L269" s="19"/>
      <c r="V269" s="19"/>
      <c r="W269" s="21"/>
      <c r="X269" s="21"/>
      <c r="Y269" s="24"/>
      <c r="Z269" s="24"/>
      <c r="AA269" s="24"/>
      <c r="AB269" s="19"/>
      <c r="AC269" s="19"/>
      <c r="AD269" s="22"/>
      <c r="AE269" s="22"/>
      <c r="AF269" s="24"/>
    </row>
    <row r="270" spans="1:32" x14ac:dyDescent="0.25">
      <c r="A270" s="19"/>
      <c r="B270" s="21"/>
      <c r="C270" s="21"/>
      <c r="D270" s="24"/>
      <c r="E270" s="24"/>
      <c r="F270" s="24"/>
      <c r="G270" s="19"/>
      <c r="H270" s="19"/>
      <c r="I270" s="22"/>
      <c r="J270" s="22"/>
      <c r="K270" s="24"/>
      <c r="L270" s="19"/>
      <c r="V270" s="19"/>
      <c r="W270" s="21"/>
      <c r="X270" s="21"/>
      <c r="Y270" s="24"/>
      <c r="Z270" s="24"/>
      <c r="AA270" s="24"/>
      <c r="AB270" s="19"/>
      <c r="AC270" s="19"/>
      <c r="AD270" s="22"/>
      <c r="AE270" s="22"/>
      <c r="AF270" s="24"/>
    </row>
    <row r="271" spans="1:32" x14ac:dyDescent="0.25">
      <c r="A271" s="19"/>
      <c r="B271" s="21"/>
      <c r="C271" s="21"/>
      <c r="D271" s="24"/>
      <c r="E271" s="24"/>
      <c r="F271" s="24"/>
      <c r="G271" s="19"/>
      <c r="H271" s="19"/>
      <c r="I271" s="22"/>
      <c r="J271" s="22"/>
      <c r="K271" s="24"/>
      <c r="L271" s="19"/>
      <c r="V271" s="19"/>
      <c r="W271" s="21"/>
      <c r="X271" s="21"/>
      <c r="Y271" s="24"/>
      <c r="Z271" s="24"/>
      <c r="AA271" s="24"/>
      <c r="AB271" s="19"/>
      <c r="AC271" s="19"/>
      <c r="AD271" s="22"/>
      <c r="AE271" s="22"/>
      <c r="AF271" s="24"/>
    </row>
    <row r="272" spans="1:32" x14ac:dyDescent="0.25">
      <c r="A272" s="19"/>
      <c r="B272" s="21"/>
      <c r="C272" s="21"/>
      <c r="D272" s="24"/>
      <c r="E272" s="24"/>
      <c r="F272" s="24"/>
      <c r="G272" s="19"/>
      <c r="H272" s="19"/>
      <c r="I272" s="22"/>
      <c r="J272" s="22"/>
      <c r="K272" s="24"/>
      <c r="L272" s="19"/>
      <c r="V272" s="19"/>
      <c r="W272" s="21"/>
      <c r="X272" s="21"/>
      <c r="Y272" s="24"/>
      <c r="Z272" s="24"/>
      <c r="AA272" s="24"/>
      <c r="AB272" s="19"/>
      <c r="AC272" s="19"/>
      <c r="AD272" s="22"/>
      <c r="AE272" s="22"/>
      <c r="AF272" s="24"/>
    </row>
    <row r="273" spans="1:32" x14ac:dyDescent="0.25">
      <c r="A273" s="19"/>
      <c r="B273" s="21"/>
      <c r="C273" s="21"/>
      <c r="D273" s="24"/>
      <c r="E273" s="24"/>
      <c r="F273" s="24"/>
      <c r="G273" s="19"/>
      <c r="H273" s="19"/>
      <c r="I273" s="22"/>
      <c r="J273" s="22"/>
      <c r="K273" s="24"/>
      <c r="L273" s="19"/>
      <c r="V273" s="19"/>
      <c r="W273" s="21"/>
      <c r="X273" s="21"/>
      <c r="Y273" s="24"/>
      <c r="Z273" s="24"/>
      <c r="AA273" s="24"/>
      <c r="AB273" s="19"/>
      <c r="AC273" s="19"/>
      <c r="AD273" s="22"/>
      <c r="AE273" s="22"/>
      <c r="AF273" s="24"/>
    </row>
    <row r="274" spans="1:32" x14ac:dyDescent="0.25">
      <c r="A274" s="19"/>
      <c r="B274" s="21"/>
      <c r="C274" s="21"/>
      <c r="D274" s="24"/>
      <c r="E274" s="24"/>
      <c r="F274" s="24"/>
      <c r="G274" s="19"/>
      <c r="H274" s="19"/>
      <c r="I274" s="22"/>
      <c r="J274" s="22"/>
      <c r="K274" s="24"/>
      <c r="L274" s="19"/>
      <c r="V274" s="19"/>
      <c r="W274" s="21"/>
      <c r="X274" s="21"/>
      <c r="Y274" s="24"/>
      <c r="Z274" s="24"/>
      <c r="AA274" s="24"/>
      <c r="AB274" s="19"/>
      <c r="AC274" s="19"/>
      <c r="AD274" s="22"/>
      <c r="AE274" s="22"/>
      <c r="AF274" s="24"/>
    </row>
    <row r="275" spans="1:32" x14ac:dyDescent="0.25">
      <c r="A275" s="19"/>
      <c r="B275" s="21"/>
      <c r="C275" s="21"/>
      <c r="D275" s="24"/>
      <c r="E275" s="24"/>
      <c r="F275" s="24"/>
      <c r="G275" s="19"/>
      <c r="H275" s="19"/>
      <c r="I275" s="22"/>
      <c r="J275" s="22"/>
      <c r="K275" s="24"/>
      <c r="L275" s="19"/>
      <c r="V275" s="19"/>
      <c r="W275" s="21"/>
      <c r="X275" s="21"/>
      <c r="Y275" s="24"/>
      <c r="Z275" s="24"/>
      <c r="AA275" s="24"/>
      <c r="AB275" s="19"/>
      <c r="AC275" s="19"/>
      <c r="AD275" s="22"/>
      <c r="AE275" s="22"/>
      <c r="AF275" s="24"/>
    </row>
    <row r="276" spans="1:32" x14ac:dyDescent="0.25">
      <c r="A276" s="19"/>
      <c r="B276" s="21"/>
      <c r="C276" s="21"/>
      <c r="D276" s="24"/>
      <c r="E276" s="24"/>
      <c r="F276" s="24"/>
      <c r="G276" s="19"/>
      <c r="H276" s="19"/>
      <c r="I276" s="22"/>
      <c r="J276" s="22"/>
      <c r="K276" s="24"/>
      <c r="L276" s="19"/>
      <c r="V276" s="19"/>
      <c r="W276" s="21"/>
      <c r="X276" s="21"/>
      <c r="Y276" s="24"/>
      <c r="Z276" s="24"/>
      <c r="AA276" s="24"/>
      <c r="AB276" s="19"/>
      <c r="AC276" s="19"/>
      <c r="AD276" s="22"/>
      <c r="AE276" s="22"/>
      <c r="AF276" s="24"/>
    </row>
    <row r="277" spans="1:32" x14ac:dyDescent="0.25">
      <c r="A277" s="19"/>
      <c r="B277" s="21"/>
      <c r="C277" s="21"/>
      <c r="D277" s="24"/>
      <c r="E277" s="24"/>
      <c r="F277" s="24"/>
      <c r="G277" s="19"/>
      <c r="H277" s="19"/>
      <c r="I277" s="22"/>
      <c r="J277" s="22"/>
      <c r="K277" s="24"/>
      <c r="L277" s="19"/>
      <c r="V277" s="19"/>
      <c r="W277" s="21"/>
      <c r="X277" s="21"/>
      <c r="Y277" s="24"/>
      <c r="Z277" s="24"/>
      <c r="AA277" s="24"/>
      <c r="AB277" s="19"/>
      <c r="AC277" s="19"/>
      <c r="AD277" s="22"/>
      <c r="AE277" s="22"/>
      <c r="AF277" s="24"/>
    </row>
    <row r="278" spans="1:32" x14ac:dyDescent="0.25">
      <c r="A278" s="19"/>
      <c r="B278" s="21"/>
      <c r="C278" s="21"/>
      <c r="D278" s="24"/>
      <c r="E278" s="24"/>
      <c r="F278" s="24"/>
      <c r="G278" s="19"/>
      <c r="H278" s="19"/>
      <c r="I278" s="22"/>
      <c r="J278" s="22"/>
      <c r="K278" s="24"/>
      <c r="L278" s="19"/>
      <c r="V278" s="19"/>
      <c r="W278" s="21"/>
      <c r="X278" s="21"/>
      <c r="Y278" s="24"/>
      <c r="Z278" s="24"/>
      <c r="AA278" s="24"/>
      <c r="AB278" s="19"/>
      <c r="AC278" s="19"/>
      <c r="AD278" s="22"/>
      <c r="AE278" s="22"/>
      <c r="AF278" s="24"/>
    </row>
    <row r="279" spans="1:32" x14ac:dyDescent="0.25">
      <c r="A279" s="19"/>
      <c r="B279" s="21"/>
      <c r="C279" s="21"/>
      <c r="D279" s="24"/>
      <c r="E279" s="24"/>
      <c r="F279" s="24"/>
      <c r="G279" s="19"/>
      <c r="H279" s="19"/>
      <c r="I279" s="22"/>
      <c r="J279" s="22"/>
      <c r="K279" s="24"/>
      <c r="L279" s="19"/>
      <c r="V279" s="19"/>
      <c r="W279" s="21"/>
      <c r="X279" s="21"/>
      <c r="Y279" s="24"/>
      <c r="Z279" s="24"/>
      <c r="AA279" s="24"/>
      <c r="AB279" s="19"/>
      <c r="AC279" s="19"/>
      <c r="AD279" s="22"/>
      <c r="AE279" s="22"/>
      <c r="AF279" s="24"/>
    </row>
    <row r="280" spans="1:32" x14ac:dyDescent="0.25">
      <c r="A280" s="19"/>
      <c r="B280" s="21"/>
      <c r="C280" s="21"/>
      <c r="D280" s="24"/>
      <c r="E280" s="24"/>
      <c r="F280" s="24"/>
      <c r="G280" s="19"/>
      <c r="H280" s="19"/>
      <c r="I280" s="22"/>
      <c r="J280" s="22"/>
      <c r="K280" s="24"/>
      <c r="L280" s="19"/>
      <c r="V280" s="19"/>
      <c r="W280" s="21"/>
      <c r="X280" s="21"/>
      <c r="Y280" s="24"/>
      <c r="Z280" s="24"/>
      <c r="AA280" s="24"/>
      <c r="AB280" s="19"/>
      <c r="AC280" s="19"/>
      <c r="AD280" s="22"/>
      <c r="AE280" s="22"/>
      <c r="AF280" s="24"/>
    </row>
    <row r="281" spans="1:32" x14ac:dyDescent="0.25">
      <c r="A281" s="19"/>
      <c r="B281" s="21"/>
      <c r="C281" s="21"/>
      <c r="D281" s="24"/>
      <c r="E281" s="24"/>
      <c r="F281" s="24"/>
      <c r="G281" s="19"/>
      <c r="H281" s="19"/>
      <c r="I281" s="22"/>
      <c r="J281" s="22"/>
      <c r="K281" s="24"/>
      <c r="L281" s="19"/>
      <c r="V281" s="19"/>
      <c r="W281" s="21"/>
      <c r="X281" s="21"/>
      <c r="Y281" s="24"/>
      <c r="Z281" s="24"/>
      <c r="AA281" s="24"/>
      <c r="AB281" s="19"/>
      <c r="AC281" s="19"/>
      <c r="AD281" s="22"/>
      <c r="AE281" s="22"/>
      <c r="AF281" s="24"/>
    </row>
    <row r="282" spans="1:32" x14ac:dyDescent="0.25">
      <c r="A282" s="19"/>
      <c r="B282" s="21"/>
      <c r="C282" s="21"/>
      <c r="D282" s="24"/>
      <c r="E282" s="24"/>
      <c r="F282" s="24"/>
      <c r="G282" s="19"/>
      <c r="H282" s="19"/>
      <c r="I282" s="22"/>
      <c r="J282" s="22"/>
      <c r="K282" s="24"/>
      <c r="L282" s="19"/>
      <c r="V282" s="19"/>
      <c r="W282" s="21"/>
      <c r="X282" s="21"/>
      <c r="Y282" s="24"/>
      <c r="Z282" s="24"/>
      <c r="AA282" s="24"/>
      <c r="AB282" s="19"/>
      <c r="AC282" s="19"/>
      <c r="AD282" s="22"/>
      <c r="AE282" s="22"/>
      <c r="AF282" s="24"/>
    </row>
    <row r="283" spans="1:32" x14ac:dyDescent="0.25">
      <c r="A283" s="19"/>
      <c r="B283" s="21"/>
      <c r="C283" s="21"/>
      <c r="D283" s="24"/>
      <c r="E283" s="24"/>
      <c r="F283" s="24"/>
      <c r="G283" s="19"/>
      <c r="H283" s="19"/>
      <c r="I283" s="22"/>
      <c r="J283" s="22"/>
      <c r="K283" s="24"/>
      <c r="L283" s="19"/>
      <c r="V283" s="19"/>
      <c r="W283" s="21"/>
      <c r="X283" s="21"/>
      <c r="Y283" s="24"/>
      <c r="Z283" s="24"/>
      <c r="AA283" s="24"/>
      <c r="AB283" s="19"/>
      <c r="AC283" s="19"/>
      <c r="AD283" s="22"/>
      <c r="AE283" s="22"/>
      <c r="AF283" s="24"/>
    </row>
    <row r="284" spans="1:32" x14ac:dyDescent="0.25">
      <c r="A284" s="19"/>
      <c r="B284" s="21"/>
      <c r="C284" s="21"/>
      <c r="D284" s="24"/>
      <c r="E284" s="24"/>
      <c r="F284" s="24"/>
      <c r="G284" s="19"/>
      <c r="H284" s="19"/>
      <c r="I284" s="22"/>
      <c r="J284" s="22"/>
      <c r="K284" s="24"/>
      <c r="L284" s="19"/>
      <c r="V284" s="19"/>
      <c r="W284" s="21"/>
      <c r="X284" s="21"/>
      <c r="Y284" s="24"/>
      <c r="Z284" s="24"/>
      <c r="AA284" s="24"/>
      <c r="AB284" s="19"/>
      <c r="AC284" s="19"/>
      <c r="AD284" s="22"/>
      <c r="AE284" s="22"/>
      <c r="AF284" s="24"/>
    </row>
    <row r="285" spans="1:32" x14ac:dyDescent="0.25">
      <c r="A285" s="19"/>
      <c r="B285" s="21"/>
      <c r="C285" s="21"/>
      <c r="D285" s="24"/>
      <c r="E285" s="24"/>
      <c r="F285" s="24"/>
      <c r="G285" s="19"/>
      <c r="H285" s="19"/>
      <c r="I285" s="22"/>
      <c r="J285" s="22"/>
      <c r="K285" s="24"/>
      <c r="L285" s="19"/>
      <c r="V285" s="19"/>
      <c r="W285" s="21"/>
      <c r="X285" s="21"/>
      <c r="Y285" s="24"/>
      <c r="Z285" s="24"/>
      <c r="AA285" s="24"/>
      <c r="AB285" s="19"/>
      <c r="AC285" s="19"/>
      <c r="AD285" s="22"/>
      <c r="AE285" s="22"/>
      <c r="AF285" s="24"/>
    </row>
    <row r="286" spans="1:32" x14ac:dyDescent="0.25">
      <c r="A286" s="19"/>
      <c r="B286" s="21"/>
      <c r="C286" s="21"/>
      <c r="D286" s="24"/>
      <c r="E286" s="24"/>
      <c r="F286" s="24"/>
      <c r="G286" s="19"/>
      <c r="H286" s="19"/>
      <c r="I286" s="22"/>
      <c r="J286" s="22"/>
      <c r="K286" s="24"/>
      <c r="L286" s="19"/>
      <c r="V286" s="19"/>
      <c r="W286" s="21"/>
      <c r="X286" s="21"/>
      <c r="Y286" s="24"/>
      <c r="Z286" s="24"/>
      <c r="AA286" s="24"/>
      <c r="AB286" s="19"/>
      <c r="AC286" s="19"/>
      <c r="AD286" s="22"/>
      <c r="AE286" s="22"/>
      <c r="AF286" s="24"/>
    </row>
    <row r="287" spans="1:32" x14ac:dyDescent="0.25">
      <c r="A287" s="19"/>
      <c r="B287" s="21"/>
      <c r="C287" s="21"/>
      <c r="D287" s="24"/>
      <c r="E287" s="24"/>
      <c r="F287" s="24"/>
      <c r="G287" s="19"/>
      <c r="H287" s="19"/>
      <c r="I287" s="22"/>
      <c r="J287" s="22"/>
      <c r="K287" s="24"/>
      <c r="L287" s="19"/>
      <c r="V287" s="19"/>
      <c r="W287" s="21"/>
      <c r="X287" s="21"/>
      <c r="Y287" s="24"/>
      <c r="Z287" s="24"/>
      <c r="AA287" s="24"/>
      <c r="AB287" s="19"/>
      <c r="AC287" s="19"/>
      <c r="AD287" s="22"/>
      <c r="AE287" s="22"/>
      <c r="AF287" s="24"/>
    </row>
    <row r="288" spans="1:32" x14ac:dyDescent="0.25">
      <c r="A288" s="19"/>
      <c r="B288" s="21"/>
      <c r="C288" s="21"/>
      <c r="D288" s="24"/>
      <c r="E288" s="24"/>
      <c r="F288" s="24"/>
      <c r="G288" s="19"/>
      <c r="H288" s="19"/>
      <c r="I288" s="22"/>
      <c r="J288" s="22"/>
      <c r="K288" s="24"/>
      <c r="L288" s="19"/>
      <c r="V288" s="19"/>
      <c r="W288" s="21"/>
      <c r="X288" s="21"/>
      <c r="Y288" s="24"/>
      <c r="Z288" s="24"/>
      <c r="AA288" s="24"/>
      <c r="AB288" s="19"/>
      <c r="AC288" s="19"/>
      <c r="AD288" s="22"/>
      <c r="AE288" s="22"/>
      <c r="AF288" s="24"/>
    </row>
    <row r="289" spans="1:32" x14ac:dyDescent="0.25">
      <c r="A289" s="19"/>
      <c r="B289" s="21"/>
      <c r="C289" s="21"/>
      <c r="D289" s="24"/>
      <c r="E289" s="24"/>
      <c r="F289" s="24"/>
      <c r="G289" s="19"/>
      <c r="H289" s="19"/>
      <c r="I289" s="22"/>
      <c r="J289" s="22"/>
      <c r="K289" s="24"/>
      <c r="L289" s="19"/>
      <c r="V289" s="19"/>
      <c r="W289" s="21"/>
      <c r="X289" s="21"/>
      <c r="Y289" s="24"/>
      <c r="Z289" s="24"/>
      <c r="AA289" s="24"/>
      <c r="AB289" s="19"/>
      <c r="AC289" s="19"/>
      <c r="AD289" s="22"/>
      <c r="AE289" s="22"/>
      <c r="AF289" s="24"/>
    </row>
    <row r="290" spans="1:32" x14ac:dyDescent="0.25">
      <c r="A290" s="19"/>
      <c r="B290" s="21"/>
      <c r="C290" s="21"/>
      <c r="D290" s="24"/>
      <c r="E290" s="24"/>
      <c r="F290" s="24"/>
      <c r="G290" s="19"/>
      <c r="H290" s="19"/>
      <c r="I290" s="22"/>
      <c r="J290" s="22"/>
      <c r="K290" s="24"/>
      <c r="L290" s="19"/>
      <c r="V290" s="19"/>
      <c r="W290" s="21"/>
      <c r="X290" s="21"/>
      <c r="Y290" s="24"/>
      <c r="Z290" s="24"/>
      <c r="AA290" s="24"/>
      <c r="AB290" s="19"/>
      <c r="AC290" s="19"/>
      <c r="AD290" s="22"/>
      <c r="AE290" s="22"/>
      <c r="AF290" s="24"/>
    </row>
    <row r="291" spans="1:32" x14ac:dyDescent="0.25">
      <c r="A291" s="19"/>
      <c r="B291" s="21"/>
      <c r="C291" s="21"/>
      <c r="D291" s="24"/>
      <c r="E291" s="24"/>
      <c r="F291" s="24"/>
      <c r="G291" s="19"/>
      <c r="H291" s="19"/>
      <c r="I291" s="22"/>
      <c r="J291" s="22"/>
      <c r="K291" s="24"/>
      <c r="L291" s="19"/>
      <c r="V291" s="19"/>
      <c r="W291" s="21"/>
      <c r="X291" s="21"/>
      <c r="Y291" s="24"/>
      <c r="Z291" s="24"/>
      <c r="AA291" s="24"/>
      <c r="AB291" s="19"/>
      <c r="AC291" s="19"/>
      <c r="AD291" s="22"/>
      <c r="AE291" s="22"/>
      <c r="AF291" s="24"/>
    </row>
    <row r="292" spans="1:32" x14ac:dyDescent="0.25">
      <c r="A292" s="19"/>
      <c r="B292" s="21"/>
      <c r="C292" s="21"/>
      <c r="D292" s="24"/>
      <c r="E292" s="24"/>
      <c r="F292" s="24"/>
      <c r="G292" s="19"/>
      <c r="H292" s="19"/>
      <c r="I292" s="22"/>
      <c r="J292" s="22"/>
      <c r="K292" s="24"/>
      <c r="L292" s="19"/>
      <c r="V292" s="19"/>
      <c r="W292" s="21"/>
      <c r="X292" s="21"/>
      <c r="Y292" s="24"/>
      <c r="Z292" s="24"/>
      <c r="AA292" s="24"/>
      <c r="AB292" s="19"/>
      <c r="AC292" s="19"/>
      <c r="AD292" s="22"/>
      <c r="AE292" s="22"/>
      <c r="AF292" s="24"/>
    </row>
    <row r="293" spans="1:32" x14ac:dyDescent="0.25">
      <c r="A293" s="19"/>
      <c r="B293" s="21"/>
      <c r="C293" s="21"/>
      <c r="D293" s="24"/>
      <c r="E293" s="24"/>
      <c r="F293" s="24"/>
      <c r="G293" s="19"/>
      <c r="H293" s="19"/>
      <c r="I293" s="22"/>
      <c r="J293" s="22"/>
      <c r="K293" s="24"/>
      <c r="L293" s="19"/>
      <c r="V293" s="19"/>
      <c r="W293" s="21"/>
      <c r="X293" s="21"/>
      <c r="Y293" s="24"/>
      <c r="Z293" s="24"/>
      <c r="AA293" s="24"/>
      <c r="AB293" s="19"/>
      <c r="AC293" s="19"/>
      <c r="AD293" s="22"/>
      <c r="AE293" s="22"/>
      <c r="AF293" s="24"/>
    </row>
    <row r="294" spans="1:32" x14ac:dyDescent="0.25">
      <c r="A294" s="19"/>
      <c r="B294" s="21"/>
      <c r="C294" s="21"/>
      <c r="D294" s="24"/>
      <c r="E294" s="24"/>
      <c r="F294" s="24"/>
      <c r="G294" s="19"/>
      <c r="H294" s="19"/>
      <c r="I294" s="22"/>
      <c r="J294" s="22"/>
      <c r="K294" s="24"/>
      <c r="L294" s="19"/>
      <c r="V294" s="19"/>
      <c r="W294" s="21"/>
      <c r="X294" s="21"/>
      <c r="Y294" s="24"/>
      <c r="Z294" s="24"/>
      <c r="AA294" s="24"/>
      <c r="AB294" s="19"/>
      <c r="AC294" s="19"/>
      <c r="AD294" s="22"/>
      <c r="AE294" s="22"/>
      <c r="AF294" s="24"/>
    </row>
    <row r="295" spans="1:32" x14ac:dyDescent="0.25">
      <c r="A295" s="19"/>
      <c r="B295" s="21"/>
      <c r="C295" s="21"/>
      <c r="D295" s="24"/>
      <c r="E295" s="24"/>
      <c r="F295" s="24"/>
      <c r="G295" s="19"/>
      <c r="H295" s="19"/>
      <c r="I295" s="22"/>
      <c r="J295" s="22"/>
      <c r="K295" s="24"/>
      <c r="L295" s="19"/>
      <c r="V295" s="19"/>
      <c r="W295" s="21"/>
      <c r="X295" s="21"/>
      <c r="Y295" s="24"/>
      <c r="Z295" s="24"/>
      <c r="AA295" s="24"/>
      <c r="AB295" s="19"/>
      <c r="AC295" s="19"/>
      <c r="AD295" s="22"/>
      <c r="AE295" s="22"/>
      <c r="AF295" s="24"/>
    </row>
    <row r="296" spans="1:32" x14ac:dyDescent="0.25">
      <c r="A296" s="19"/>
      <c r="B296" s="21"/>
      <c r="C296" s="21"/>
      <c r="D296" s="24"/>
      <c r="E296" s="24"/>
      <c r="F296" s="24"/>
      <c r="G296" s="19"/>
      <c r="H296" s="19"/>
      <c r="I296" s="22"/>
      <c r="J296" s="22"/>
      <c r="K296" s="24"/>
      <c r="L296" s="19"/>
      <c r="V296" s="19"/>
      <c r="W296" s="21"/>
      <c r="X296" s="21"/>
      <c r="Y296" s="24"/>
      <c r="Z296" s="24"/>
      <c r="AA296" s="24"/>
      <c r="AB296" s="19"/>
      <c r="AC296" s="19"/>
      <c r="AD296" s="22"/>
      <c r="AE296" s="22"/>
      <c r="AF296" s="24"/>
    </row>
    <row r="297" spans="1:32" x14ac:dyDescent="0.25">
      <c r="A297" s="19"/>
      <c r="B297" s="21"/>
      <c r="C297" s="21"/>
      <c r="D297" s="24"/>
      <c r="E297" s="24"/>
      <c r="F297" s="24"/>
      <c r="G297" s="19"/>
      <c r="H297" s="19"/>
      <c r="I297" s="22"/>
      <c r="J297" s="22"/>
      <c r="K297" s="24"/>
      <c r="L297" s="19"/>
      <c r="V297" s="19"/>
      <c r="W297" s="21"/>
      <c r="X297" s="21"/>
      <c r="Y297" s="24"/>
      <c r="Z297" s="24"/>
      <c r="AA297" s="24"/>
      <c r="AB297" s="19"/>
      <c r="AC297" s="19"/>
      <c r="AD297" s="22"/>
      <c r="AE297" s="22"/>
      <c r="AF297" s="24"/>
    </row>
    <row r="298" spans="1:32" x14ac:dyDescent="0.25">
      <c r="A298" s="19"/>
      <c r="B298" s="21"/>
      <c r="C298" s="21"/>
      <c r="D298" s="24"/>
      <c r="E298" s="24"/>
      <c r="F298" s="24"/>
      <c r="G298" s="19"/>
      <c r="H298" s="19"/>
      <c r="I298" s="22"/>
      <c r="J298" s="22"/>
      <c r="K298" s="24"/>
      <c r="L298" s="19"/>
      <c r="V298" s="19"/>
      <c r="W298" s="21"/>
      <c r="X298" s="21"/>
      <c r="Y298" s="24"/>
      <c r="Z298" s="24"/>
      <c r="AA298" s="24"/>
      <c r="AB298" s="19"/>
      <c r="AC298" s="19"/>
      <c r="AD298" s="22"/>
      <c r="AE298" s="22"/>
      <c r="AF298" s="24"/>
    </row>
    <row r="299" spans="1:32" x14ac:dyDescent="0.25">
      <c r="A299" s="19"/>
      <c r="B299" s="21"/>
      <c r="C299" s="21"/>
      <c r="D299" s="24"/>
      <c r="E299" s="24"/>
      <c r="F299" s="24"/>
      <c r="G299" s="19"/>
      <c r="H299" s="19"/>
      <c r="I299" s="22"/>
      <c r="J299" s="22"/>
      <c r="K299" s="24"/>
      <c r="L299" s="19"/>
      <c r="V299" s="19"/>
      <c r="W299" s="21"/>
      <c r="X299" s="21"/>
      <c r="Y299" s="24"/>
      <c r="Z299" s="24"/>
      <c r="AA299" s="24"/>
      <c r="AB299" s="19"/>
      <c r="AC299" s="19"/>
      <c r="AD299" s="22"/>
      <c r="AE299" s="22"/>
      <c r="AF299" s="24"/>
    </row>
    <row r="300" spans="1:32" x14ac:dyDescent="0.25">
      <c r="A300" s="19"/>
      <c r="B300" s="21"/>
      <c r="C300" s="21"/>
      <c r="D300" s="24"/>
      <c r="E300" s="24"/>
      <c r="F300" s="24"/>
      <c r="G300" s="19"/>
      <c r="H300" s="19"/>
      <c r="I300" s="22"/>
      <c r="J300" s="22"/>
      <c r="K300" s="24"/>
      <c r="L300" s="19"/>
      <c r="V300" s="19"/>
      <c r="W300" s="21"/>
      <c r="X300" s="21"/>
      <c r="Y300" s="24"/>
      <c r="Z300" s="24"/>
      <c r="AA300" s="24"/>
      <c r="AB300" s="19"/>
      <c r="AC300" s="19"/>
      <c r="AD300" s="22"/>
      <c r="AE300" s="22"/>
      <c r="AF300" s="24"/>
    </row>
    <row r="301" spans="1:32" x14ac:dyDescent="0.25">
      <c r="A301" s="19"/>
      <c r="B301" s="21"/>
      <c r="C301" s="21"/>
      <c r="D301" s="24"/>
      <c r="E301" s="24"/>
      <c r="F301" s="24"/>
      <c r="G301" s="19"/>
      <c r="H301" s="19"/>
      <c r="I301" s="22"/>
      <c r="J301" s="22"/>
      <c r="K301" s="24"/>
      <c r="L301" s="19"/>
      <c r="V301" s="19"/>
      <c r="W301" s="21"/>
      <c r="X301" s="21"/>
      <c r="Y301" s="24"/>
      <c r="Z301" s="24"/>
      <c r="AA301" s="24"/>
      <c r="AB301" s="19"/>
      <c r="AC301" s="19"/>
      <c r="AD301" s="22"/>
      <c r="AE301" s="22"/>
      <c r="AF301" s="24"/>
    </row>
    <row r="302" spans="1:32" x14ac:dyDescent="0.25">
      <c r="A302" s="19"/>
      <c r="B302" s="21"/>
      <c r="C302" s="21"/>
      <c r="D302" s="24"/>
      <c r="E302" s="24"/>
      <c r="F302" s="24"/>
      <c r="G302" s="19"/>
      <c r="H302" s="19"/>
      <c r="I302" s="22"/>
      <c r="J302" s="22"/>
      <c r="K302" s="24"/>
      <c r="L302" s="19"/>
      <c r="V302" s="19"/>
      <c r="W302" s="21"/>
      <c r="X302" s="21"/>
      <c r="Y302" s="24"/>
      <c r="Z302" s="24"/>
      <c r="AA302" s="24"/>
      <c r="AB302" s="19"/>
      <c r="AC302" s="19"/>
      <c r="AD302" s="22"/>
      <c r="AE302" s="22"/>
      <c r="AF302" s="24"/>
    </row>
    <row r="303" spans="1:32" x14ac:dyDescent="0.25">
      <c r="A303" s="19"/>
      <c r="B303" s="21"/>
      <c r="C303" s="21"/>
      <c r="D303" s="24"/>
      <c r="E303" s="24"/>
      <c r="F303" s="24"/>
      <c r="G303" s="19"/>
      <c r="H303" s="19"/>
      <c r="I303" s="22"/>
      <c r="J303" s="22"/>
      <c r="K303" s="24"/>
      <c r="L303" s="19"/>
      <c r="V303" s="19"/>
      <c r="W303" s="21"/>
      <c r="X303" s="21"/>
      <c r="Y303" s="24"/>
      <c r="Z303" s="24"/>
      <c r="AA303" s="24"/>
      <c r="AB303" s="19"/>
      <c r="AC303" s="19"/>
      <c r="AD303" s="22"/>
      <c r="AE303" s="22"/>
      <c r="AF303" s="24"/>
    </row>
    <row r="304" spans="1:32" x14ac:dyDescent="0.25">
      <c r="A304" s="19"/>
      <c r="B304" s="21"/>
      <c r="C304" s="21"/>
      <c r="D304" s="24"/>
      <c r="E304" s="24"/>
      <c r="F304" s="24"/>
      <c r="G304" s="19"/>
      <c r="H304" s="19"/>
      <c r="I304" s="22"/>
      <c r="J304" s="22"/>
      <c r="K304" s="24"/>
      <c r="L304" s="19"/>
      <c r="V304" s="19"/>
      <c r="W304" s="21"/>
      <c r="X304" s="21"/>
      <c r="Y304" s="24"/>
      <c r="Z304" s="24"/>
      <c r="AA304" s="24"/>
      <c r="AB304" s="19"/>
      <c r="AC304" s="19"/>
      <c r="AD304" s="22"/>
      <c r="AE304" s="22"/>
      <c r="AF304" s="24"/>
    </row>
    <row r="305" spans="1:32" x14ac:dyDescent="0.25">
      <c r="A305" s="19"/>
      <c r="B305" s="21"/>
      <c r="C305" s="21"/>
      <c r="D305" s="24"/>
      <c r="E305" s="24"/>
      <c r="F305" s="24"/>
      <c r="G305" s="19"/>
      <c r="H305" s="19"/>
      <c r="I305" s="22"/>
      <c r="J305" s="22"/>
      <c r="K305" s="24"/>
      <c r="L305" s="19"/>
      <c r="V305" s="19"/>
      <c r="W305" s="21"/>
      <c r="X305" s="21"/>
      <c r="Y305" s="24"/>
      <c r="Z305" s="24"/>
      <c r="AA305" s="24"/>
      <c r="AB305" s="19"/>
      <c r="AC305" s="19"/>
      <c r="AD305" s="22"/>
      <c r="AE305" s="22"/>
      <c r="AF305" s="24"/>
    </row>
    <row r="306" spans="1:32" x14ac:dyDescent="0.25">
      <c r="A306" s="19"/>
      <c r="B306" s="21"/>
      <c r="C306" s="21"/>
      <c r="D306" s="24"/>
      <c r="E306" s="24"/>
      <c r="F306" s="24"/>
      <c r="G306" s="19"/>
      <c r="H306" s="19"/>
      <c r="I306" s="22"/>
      <c r="J306" s="22"/>
      <c r="K306" s="24"/>
      <c r="L306" s="19"/>
      <c r="V306" s="19"/>
      <c r="W306" s="21"/>
      <c r="X306" s="21"/>
      <c r="Y306" s="24"/>
      <c r="Z306" s="24"/>
      <c r="AA306" s="24"/>
      <c r="AB306" s="19"/>
      <c r="AC306" s="19"/>
      <c r="AD306" s="22"/>
      <c r="AE306" s="22"/>
      <c r="AF306" s="24"/>
    </row>
    <row r="307" spans="1:32" x14ac:dyDescent="0.25">
      <c r="A307" s="19"/>
      <c r="B307" s="21"/>
      <c r="C307" s="21"/>
      <c r="D307" s="24"/>
      <c r="E307" s="24"/>
      <c r="F307" s="24"/>
      <c r="G307" s="19"/>
      <c r="H307" s="19"/>
      <c r="I307" s="22"/>
      <c r="J307" s="22"/>
      <c r="K307" s="24"/>
      <c r="L307" s="19"/>
      <c r="V307" s="19"/>
      <c r="W307" s="21"/>
      <c r="X307" s="21"/>
      <c r="Y307" s="24"/>
      <c r="Z307" s="24"/>
      <c r="AA307" s="24"/>
      <c r="AB307" s="19"/>
      <c r="AC307" s="19"/>
      <c r="AD307" s="22"/>
      <c r="AE307" s="22"/>
      <c r="AF307" s="24"/>
    </row>
    <row r="308" spans="1:32" x14ac:dyDescent="0.25">
      <c r="A308" s="19"/>
      <c r="B308" s="21"/>
      <c r="C308" s="21"/>
      <c r="D308" s="24"/>
      <c r="E308" s="24"/>
      <c r="F308" s="24"/>
      <c r="G308" s="19"/>
      <c r="H308" s="19"/>
      <c r="I308" s="22"/>
      <c r="J308" s="22"/>
      <c r="K308" s="24"/>
      <c r="L308" s="19"/>
      <c r="V308" s="19"/>
      <c r="W308" s="21"/>
      <c r="X308" s="21"/>
      <c r="Y308" s="24"/>
      <c r="Z308" s="24"/>
      <c r="AA308" s="24"/>
      <c r="AB308" s="19"/>
      <c r="AC308" s="19"/>
      <c r="AD308" s="22"/>
      <c r="AE308" s="22"/>
      <c r="AF308" s="24"/>
    </row>
    <row r="309" spans="1:32" x14ac:dyDescent="0.25">
      <c r="A309" s="19"/>
      <c r="B309" s="21"/>
      <c r="C309" s="21"/>
      <c r="D309" s="24"/>
      <c r="E309" s="24"/>
      <c r="F309" s="24"/>
      <c r="G309" s="19"/>
      <c r="H309" s="19"/>
      <c r="I309" s="22"/>
      <c r="J309" s="22"/>
      <c r="K309" s="24"/>
      <c r="L309" s="19"/>
      <c r="V309" s="19"/>
      <c r="W309" s="21"/>
      <c r="X309" s="21"/>
      <c r="Y309" s="24"/>
      <c r="Z309" s="24"/>
      <c r="AA309" s="24"/>
      <c r="AB309" s="19"/>
      <c r="AC309" s="19"/>
      <c r="AD309" s="22"/>
      <c r="AE309" s="22"/>
      <c r="AF309" s="24"/>
    </row>
    <row r="310" spans="1:32" x14ac:dyDescent="0.25">
      <c r="A310" s="19"/>
      <c r="B310" s="21"/>
      <c r="C310" s="21"/>
      <c r="D310" s="24"/>
      <c r="E310" s="24"/>
      <c r="F310" s="24"/>
      <c r="G310" s="19"/>
      <c r="H310" s="19"/>
      <c r="I310" s="22"/>
      <c r="J310" s="22"/>
      <c r="K310" s="24"/>
      <c r="L310" s="19"/>
      <c r="V310" s="19"/>
      <c r="W310" s="21"/>
      <c r="X310" s="21"/>
      <c r="Y310" s="24"/>
      <c r="Z310" s="24"/>
      <c r="AA310" s="24"/>
      <c r="AB310" s="19"/>
      <c r="AC310" s="19"/>
      <c r="AD310" s="22"/>
      <c r="AE310" s="22"/>
      <c r="AF310" s="24"/>
    </row>
    <row r="311" spans="1:32" x14ac:dyDescent="0.25">
      <c r="A311" s="19"/>
      <c r="B311" s="21"/>
      <c r="C311" s="21"/>
      <c r="D311" s="24"/>
      <c r="E311" s="24"/>
      <c r="F311" s="24"/>
      <c r="G311" s="19"/>
      <c r="H311" s="19"/>
      <c r="I311" s="22"/>
      <c r="J311" s="22"/>
      <c r="K311" s="24"/>
      <c r="L311" s="19"/>
      <c r="V311" s="19"/>
      <c r="W311" s="21"/>
      <c r="X311" s="21"/>
      <c r="Y311" s="24"/>
      <c r="Z311" s="24"/>
      <c r="AA311" s="24"/>
      <c r="AB311" s="19"/>
      <c r="AC311" s="19"/>
      <c r="AD311" s="22"/>
      <c r="AE311" s="22"/>
      <c r="AF311" s="24"/>
    </row>
    <row r="312" spans="1:32" x14ac:dyDescent="0.25">
      <c r="A312" s="19"/>
      <c r="B312" s="21"/>
      <c r="C312" s="21"/>
      <c r="D312" s="24"/>
      <c r="E312" s="24"/>
      <c r="F312" s="24"/>
      <c r="G312" s="19"/>
      <c r="H312" s="19"/>
      <c r="I312" s="22"/>
      <c r="J312" s="22"/>
      <c r="K312" s="24"/>
      <c r="L312" s="19"/>
      <c r="V312" s="19"/>
      <c r="W312" s="21"/>
      <c r="X312" s="21"/>
      <c r="Y312" s="24"/>
      <c r="Z312" s="24"/>
      <c r="AA312" s="24"/>
      <c r="AB312" s="19"/>
      <c r="AC312" s="19"/>
      <c r="AD312" s="22"/>
      <c r="AE312" s="22"/>
      <c r="AF312" s="24"/>
    </row>
    <row r="313" spans="1:32" x14ac:dyDescent="0.25">
      <c r="A313" s="19"/>
      <c r="B313" s="21"/>
      <c r="C313" s="21"/>
      <c r="D313" s="24"/>
      <c r="E313" s="24"/>
      <c r="F313" s="24"/>
      <c r="G313" s="19"/>
      <c r="H313" s="19"/>
      <c r="I313" s="22"/>
      <c r="J313" s="22"/>
      <c r="K313" s="24"/>
      <c r="L313" s="19"/>
      <c r="V313" s="19"/>
      <c r="W313" s="21"/>
      <c r="X313" s="21"/>
      <c r="Y313" s="24"/>
      <c r="Z313" s="24"/>
      <c r="AA313" s="24"/>
      <c r="AB313" s="19"/>
      <c r="AC313" s="19"/>
      <c r="AD313" s="22"/>
      <c r="AE313" s="22"/>
      <c r="AF313" s="24"/>
    </row>
    <row r="314" spans="1:32" x14ac:dyDescent="0.25">
      <c r="A314" s="19"/>
      <c r="B314" s="21"/>
      <c r="C314" s="21"/>
      <c r="D314" s="24"/>
      <c r="E314" s="24"/>
      <c r="F314" s="24"/>
      <c r="G314" s="19"/>
      <c r="H314" s="19"/>
      <c r="I314" s="22"/>
      <c r="J314" s="22"/>
      <c r="K314" s="24"/>
      <c r="L314" s="19"/>
      <c r="V314" s="19"/>
      <c r="W314" s="21"/>
      <c r="X314" s="21"/>
      <c r="Y314" s="24"/>
      <c r="Z314" s="24"/>
      <c r="AA314" s="24"/>
      <c r="AB314" s="19"/>
      <c r="AC314" s="19"/>
      <c r="AD314" s="22"/>
      <c r="AE314" s="22"/>
      <c r="AF314" s="24"/>
    </row>
    <row r="315" spans="1:32" x14ac:dyDescent="0.25">
      <c r="A315" s="19"/>
      <c r="B315" s="21"/>
      <c r="C315" s="21"/>
      <c r="D315" s="24"/>
      <c r="E315" s="24"/>
      <c r="F315" s="24"/>
      <c r="G315" s="19"/>
      <c r="H315" s="19"/>
      <c r="I315" s="22"/>
      <c r="J315" s="22"/>
      <c r="K315" s="24"/>
      <c r="L315" s="19"/>
      <c r="V315" s="19"/>
      <c r="W315" s="21"/>
      <c r="X315" s="21"/>
      <c r="Y315" s="24"/>
      <c r="Z315" s="24"/>
      <c r="AA315" s="24"/>
      <c r="AB315" s="19"/>
      <c r="AC315" s="19"/>
      <c r="AD315" s="22"/>
      <c r="AE315" s="22"/>
      <c r="AF315" s="24"/>
    </row>
    <row r="316" spans="1:32" x14ac:dyDescent="0.25">
      <c r="A316" s="19"/>
      <c r="B316" s="21"/>
      <c r="C316" s="21"/>
      <c r="D316" s="24"/>
      <c r="E316" s="24"/>
      <c r="F316" s="24"/>
      <c r="G316" s="19"/>
      <c r="H316" s="19"/>
      <c r="I316" s="22"/>
      <c r="J316" s="22"/>
      <c r="K316" s="24"/>
      <c r="L316" s="19"/>
      <c r="V316" s="19"/>
      <c r="W316" s="21"/>
      <c r="X316" s="21"/>
      <c r="Y316" s="24"/>
      <c r="Z316" s="24"/>
      <c r="AA316" s="24"/>
      <c r="AB316" s="19"/>
      <c r="AC316" s="19"/>
      <c r="AD316" s="22"/>
      <c r="AE316" s="22"/>
      <c r="AF316" s="24"/>
    </row>
    <row r="317" spans="1:32" x14ac:dyDescent="0.25">
      <c r="A317" s="19"/>
      <c r="B317" s="21"/>
      <c r="C317" s="21"/>
      <c r="D317" s="24"/>
      <c r="E317" s="24"/>
      <c r="F317" s="24"/>
      <c r="G317" s="19"/>
      <c r="H317" s="19"/>
      <c r="I317" s="22"/>
      <c r="J317" s="22"/>
      <c r="K317" s="24"/>
      <c r="L317" s="19"/>
      <c r="V317" s="19"/>
      <c r="W317" s="21"/>
      <c r="X317" s="21"/>
      <c r="Y317" s="24"/>
      <c r="Z317" s="24"/>
      <c r="AA317" s="24"/>
      <c r="AB317" s="19"/>
      <c r="AC317" s="19"/>
      <c r="AD317" s="22"/>
      <c r="AE317" s="22"/>
      <c r="AF317" s="24"/>
    </row>
    <row r="318" spans="1:32" x14ac:dyDescent="0.25">
      <c r="A318" s="19"/>
      <c r="B318" s="21"/>
      <c r="C318" s="21"/>
      <c r="D318" s="24"/>
      <c r="E318" s="24"/>
      <c r="F318" s="24"/>
      <c r="G318" s="19"/>
      <c r="H318" s="19"/>
      <c r="I318" s="22"/>
      <c r="J318" s="22"/>
      <c r="K318" s="24"/>
      <c r="L318" s="19"/>
      <c r="V318" s="19"/>
      <c r="W318" s="21"/>
      <c r="X318" s="21"/>
      <c r="Y318" s="24"/>
      <c r="Z318" s="24"/>
      <c r="AA318" s="24"/>
      <c r="AB318" s="19"/>
      <c r="AC318" s="19"/>
      <c r="AD318" s="22"/>
      <c r="AE318" s="22"/>
      <c r="AF318" s="24"/>
    </row>
    <row r="319" spans="1:32" x14ac:dyDescent="0.25">
      <c r="A319" s="19"/>
      <c r="B319" s="21"/>
      <c r="C319" s="21"/>
      <c r="D319" s="24"/>
      <c r="E319" s="24"/>
      <c r="F319" s="24"/>
      <c r="G319" s="19"/>
      <c r="H319" s="19"/>
      <c r="I319" s="22"/>
      <c r="J319" s="22"/>
      <c r="K319" s="24"/>
      <c r="L319" s="19"/>
      <c r="V319" s="19"/>
      <c r="W319" s="21"/>
      <c r="X319" s="21"/>
      <c r="Y319" s="24"/>
      <c r="Z319" s="24"/>
      <c r="AA319" s="24"/>
      <c r="AB319" s="19"/>
      <c r="AC319" s="19"/>
      <c r="AD319" s="22"/>
      <c r="AE319" s="22"/>
      <c r="AF319" s="24"/>
    </row>
    <row r="320" spans="1:32" x14ac:dyDescent="0.25">
      <c r="A320" s="19"/>
      <c r="B320" s="21"/>
      <c r="C320" s="21"/>
      <c r="D320" s="24"/>
      <c r="E320" s="24"/>
      <c r="F320" s="24"/>
      <c r="G320" s="19"/>
      <c r="H320" s="19"/>
      <c r="I320" s="22"/>
      <c r="J320" s="22"/>
      <c r="K320" s="24"/>
      <c r="L320" s="19"/>
      <c r="V320" s="19"/>
      <c r="W320" s="21"/>
      <c r="X320" s="21"/>
      <c r="Y320" s="24"/>
      <c r="Z320" s="24"/>
      <c r="AA320" s="24"/>
      <c r="AB320" s="19"/>
      <c r="AC320" s="19"/>
      <c r="AD320" s="22"/>
      <c r="AE320" s="22"/>
      <c r="AF320" s="24"/>
    </row>
    <row r="321" spans="1:32" x14ac:dyDescent="0.25">
      <c r="A321" s="19"/>
      <c r="B321" s="21"/>
      <c r="C321" s="21"/>
      <c r="D321" s="24"/>
      <c r="E321" s="24"/>
      <c r="F321" s="24"/>
      <c r="G321" s="19"/>
      <c r="H321" s="19"/>
      <c r="I321" s="22"/>
      <c r="J321" s="22"/>
      <c r="K321" s="24"/>
      <c r="L321" s="19"/>
      <c r="V321" s="19"/>
      <c r="W321" s="21"/>
      <c r="X321" s="21"/>
      <c r="Y321" s="24"/>
      <c r="Z321" s="24"/>
      <c r="AA321" s="24"/>
      <c r="AB321" s="19"/>
      <c r="AC321" s="19"/>
      <c r="AD321" s="22"/>
      <c r="AE321" s="22"/>
      <c r="AF321" s="24"/>
    </row>
    <row r="322" spans="1:32" x14ac:dyDescent="0.25">
      <c r="A322" s="19"/>
      <c r="B322" s="21"/>
      <c r="C322" s="21"/>
      <c r="D322" s="24"/>
      <c r="E322" s="24"/>
      <c r="F322" s="24"/>
      <c r="G322" s="19"/>
      <c r="H322" s="19"/>
      <c r="I322" s="22"/>
      <c r="J322" s="22"/>
      <c r="K322" s="24"/>
      <c r="L322" s="19"/>
      <c r="V322" s="19"/>
      <c r="W322" s="21"/>
      <c r="X322" s="21"/>
      <c r="Y322" s="24"/>
      <c r="Z322" s="24"/>
      <c r="AA322" s="24"/>
      <c r="AB322" s="19"/>
      <c r="AC322" s="19"/>
      <c r="AD322" s="22"/>
      <c r="AE322" s="22"/>
      <c r="AF322" s="24"/>
    </row>
    <row r="323" spans="1:32" x14ac:dyDescent="0.25">
      <c r="A323" s="19"/>
      <c r="B323" s="21"/>
      <c r="C323" s="21"/>
      <c r="D323" s="24"/>
      <c r="E323" s="24"/>
      <c r="F323" s="24"/>
      <c r="G323" s="19"/>
      <c r="H323" s="19"/>
      <c r="I323" s="22"/>
      <c r="J323" s="22"/>
      <c r="K323" s="24"/>
      <c r="L323" s="19"/>
      <c r="V323" s="19"/>
      <c r="W323" s="21"/>
      <c r="X323" s="21"/>
      <c r="Y323" s="24"/>
      <c r="Z323" s="24"/>
      <c r="AA323" s="24"/>
      <c r="AB323" s="19"/>
      <c r="AC323" s="19"/>
      <c r="AD323" s="22"/>
      <c r="AE323" s="22"/>
      <c r="AF323" s="24"/>
    </row>
    <row r="324" spans="1:32" x14ac:dyDescent="0.25">
      <c r="A324" s="19"/>
      <c r="B324" s="21"/>
      <c r="C324" s="21"/>
      <c r="D324" s="24"/>
      <c r="E324" s="24"/>
      <c r="F324" s="24"/>
      <c r="G324" s="19"/>
      <c r="H324" s="19"/>
      <c r="I324" s="22"/>
      <c r="J324" s="22"/>
      <c r="K324" s="24"/>
      <c r="L324" s="19"/>
      <c r="V324" s="19"/>
      <c r="W324" s="21"/>
      <c r="X324" s="21"/>
      <c r="Y324" s="24"/>
      <c r="Z324" s="24"/>
      <c r="AA324" s="24"/>
      <c r="AB324" s="19"/>
      <c r="AC324" s="19"/>
      <c r="AD324" s="22"/>
      <c r="AE324" s="22"/>
      <c r="AF324" s="24"/>
    </row>
    <row r="325" spans="1:32" x14ac:dyDescent="0.25">
      <c r="A325" s="19"/>
      <c r="B325" s="21"/>
      <c r="C325" s="21"/>
      <c r="D325" s="24"/>
      <c r="E325" s="24"/>
      <c r="F325" s="24"/>
      <c r="G325" s="19"/>
      <c r="H325" s="19"/>
      <c r="I325" s="22"/>
      <c r="J325" s="22"/>
      <c r="K325" s="24"/>
      <c r="L325" s="19"/>
      <c r="V325" s="19"/>
      <c r="W325" s="21"/>
      <c r="X325" s="21"/>
      <c r="Y325" s="24"/>
      <c r="Z325" s="24"/>
      <c r="AA325" s="24"/>
      <c r="AB325" s="19"/>
      <c r="AC325" s="19"/>
      <c r="AD325" s="22"/>
      <c r="AE325" s="22"/>
      <c r="AF325" s="24"/>
    </row>
    <row r="326" spans="1:32" x14ac:dyDescent="0.25">
      <c r="A326" s="19"/>
      <c r="B326" s="21"/>
      <c r="C326" s="21"/>
      <c r="D326" s="24"/>
      <c r="E326" s="24"/>
      <c r="F326" s="24"/>
      <c r="G326" s="19"/>
      <c r="H326" s="19"/>
      <c r="I326" s="22"/>
      <c r="J326" s="22"/>
      <c r="K326" s="24"/>
      <c r="L326" s="19"/>
      <c r="V326" s="19"/>
      <c r="W326" s="21"/>
      <c r="X326" s="21"/>
      <c r="Y326" s="24"/>
      <c r="Z326" s="24"/>
      <c r="AA326" s="24"/>
      <c r="AB326" s="19"/>
      <c r="AC326" s="19"/>
      <c r="AD326" s="22"/>
      <c r="AE326" s="22"/>
      <c r="AF326" s="24"/>
    </row>
    <row r="327" spans="1:32" x14ac:dyDescent="0.25">
      <c r="A327" s="19"/>
      <c r="B327" s="21"/>
      <c r="C327" s="21"/>
      <c r="D327" s="24"/>
      <c r="E327" s="24"/>
      <c r="F327" s="24"/>
      <c r="G327" s="19"/>
      <c r="H327" s="19"/>
      <c r="I327" s="22"/>
      <c r="J327" s="22"/>
      <c r="K327" s="24"/>
      <c r="L327" s="19"/>
      <c r="V327" s="19"/>
      <c r="W327" s="21"/>
      <c r="X327" s="21"/>
      <c r="Y327" s="24"/>
      <c r="Z327" s="24"/>
      <c r="AA327" s="24"/>
      <c r="AB327" s="19"/>
      <c r="AC327" s="19"/>
      <c r="AD327" s="22"/>
      <c r="AE327" s="22"/>
      <c r="AF327" s="24"/>
    </row>
    <row r="328" spans="1:32" x14ac:dyDescent="0.25">
      <c r="A328" s="19"/>
      <c r="B328" s="21"/>
      <c r="C328" s="21"/>
      <c r="D328" s="24"/>
      <c r="E328" s="24"/>
      <c r="F328" s="24"/>
      <c r="G328" s="19"/>
      <c r="H328" s="19"/>
      <c r="I328" s="22"/>
      <c r="J328" s="22"/>
      <c r="K328" s="24"/>
      <c r="L328" s="19"/>
      <c r="V328" s="19"/>
      <c r="W328" s="21"/>
      <c r="X328" s="21"/>
      <c r="Y328" s="24"/>
      <c r="Z328" s="24"/>
      <c r="AA328" s="24"/>
      <c r="AB328" s="19"/>
      <c r="AC328" s="19"/>
      <c r="AD328" s="22"/>
      <c r="AE328" s="22"/>
      <c r="AF328" s="24"/>
    </row>
    <row r="329" spans="1:32" x14ac:dyDescent="0.25">
      <c r="A329" s="19"/>
      <c r="B329" s="21"/>
      <c r="C329" s="21"/>
      <c r="D329" s="24"/>
      <c r="E329" s="24"/>
      <c r="F329" s="24"/>
      <c r="G329" s="19"/>
      <c r="H329" s="19"/>
      <c r="I329" s="22"/>
      <c r="J329" s="22"/>
      <c r="K329" s="24"/>
      <c r="L329" s="19"/>
      <c r="V329" s="19"/>
      <c r="W329" s="21"/>
      <c r="X329" s="21"/>
      <c r="Y329" s="24"/>
      <c r="Z329" s="24"/>
      <c r="AA329" s="24"/>
      <c r="AB329" s="19"/>
      <c r="AC329" s="19"/>
      <c r="AD329" s="22"/>
      <c r="AE329" s="22"/>
      <c r="AF329" s="24"/>
    </row>
    <row r="330" spans="1:32" x14ac:dyDescent="0.25">
      <c r="A330" s="19"/>
      <c r="B330" s="21"/>
      <c r="C330" s="21"/>
      <c r="D330" s="24"/>
      <c r="E330" s="24"/>
      <c r="F330" s="24"/>
      <c r="G330" s="19"/>
      <c r="H330" s="19"/>
      <c r="I330" s="22"/>
      <c r="J330" s="22"/>
      <c r="K330" s="24"/>
      <c r="L330" s="19"/>
      <c r="V330" s="19"/>
      <c r="W330" s="21"/>
      <c r="X330" s="21"/>
      <c r="Y330" s="24"/>
      <c r="Z330" s="24"/>
      <c r="AA330" s="24"/>
      <c r="AB330" s="19"/>
      <c r="AC330" s="19"/>
      <c r="AD330" s="22"/>
      <c r="AE330" s="22"/>
      <c r="AF330" s="24"/>
    </row>
    <row r="331" spans="1:32" x14ac:dyDescent="0.25">
      <c r="A331" s="19"/>
      <c r="B331" s="21"/>
      <c r="C331" s="21"/>
      <c r="D331" s="24"/>
      <c r="E331" s="24"/>
      <c r="F331" s="24"/>
      <c r="G331" s="19"/>
      <c r="H331" s="19"/>
      <c r="I331" s="22"/>
      <c r="J331" s="22"/>
      <c r="K331" s="24"/>
      <c r="L331" s="19"/>
      <c r="V331" s="19"/>
      <c r="W331" s="21"/>
      <c r="X331" s="21"/>
      <c r="Y331" s="24"/>
      <c r="Z331" s="24"/>
      <c r="AA331" s="24"/>
      <c r="AB331" s="19"/>
      <c r="AC331" s="19"/>
      <c r="AD331" s="22"/>
      <c r="AE331" s="22"/>
      <c r="AF331" s="24"/>
    </row>
    <row r="332" spans="1:32" x14ac:dyDescent="0.25">
      <c r="A332" s="19"/>
      <c r="B332" s="21"/>
      <c r="C332" s="21"/>
      <c r="D332" s="24"/>
      <c r="E332" s="24"/>
      <c r="F332" s="24"/>
      <c r="G332" s="19"/>
      <c r="H332" s="19"/>
      <c r="I332" s="22"/>
      <c r="J332" s="22"/>
      <c r="K332" s="24"/>
      <c r="L332" s="19"/>
      <c r="V332" s="19"/>
      <c r="W332" s="21"/>
      <c r="X332" s="21"/>
      <c r="Y332" s="24"/>
      <c r="Z332" s="24"/>
      <c r="AA332" s="24"/>
      <c r="AB332" s="19"/>
      <c r="AC332" s="19"/>
      <c r="AD332" s="22"/>
      <c r="AE332" s="22"/>
      <c r="AF332" s="24"/>
    </row>
    <row r="333" spans="1:32" x14ac:dyDescent="0.25">
      <c r="A333" s="19"/>
      <c r="B333" s="21"/>
      <c r="C333" s="21"/>
      <c r="D333" s="24"/>
      <c r="E333" s="24"/>
      <c r="F333" s="24"/>
      <c r="G333" s="19"/>
      <c r="H333" s="19"/>
      <c r="I333" s="22"/>
      <c r="J333" s="22"/>
      <c r="K333" s="24"/>
      <c r="L333" s="19"/>
      <c r="V333" s="19"/>
      <c r="W333" s="21"/>
      <c r="X333" s="21"/>
      <c r="Y333" s="24"/>
      <c r="Z333" s="24"/>
      <c r="AA333" s="24"/>
      <c r="AB333" s="19"/>
      <c r="AC333" s="19"/>
      <c r="AD333" s="22"/>
      <c r="AE333" s="22"/>
      <c r="AF333" s="24"/>
    </row>
    <row r="334" spans="1:32" x14ac:dyDescent="0.25">
      <c r="A334" s="19"/>
      <c r="B334" s="21"/>
      <c r="C334" s="21"/>
      <c r="D334" s="24"/>
      <c r="E334" s="24"/>
      <c r="F334" s="24"/>
      <c r="G334" s="19"/>
      <c r="H334" s="19"/>
      <c r="I334" s="22"/>
      <c r="J334" s="22"/>
      <c r="K334" s="24"/>
      <c r="L334" s="19"/>
      <c r="V334" s="19"/>
      <c r="W334" s="21"/>
      <c r="X334" s="21"/>
      <c r="Y334" s="24"/>
      <c r="Z334" s="24"/>
      <c r="AA334" s="24"/>
      <c r="AB334" s="19"/>
      <c r="AC334" s="19"/>
      <c r="AD334" s="22"/>
      <c r="AE334" s="22"/>
      <c r="AF334" s="24"/>
    </row>
    <row r="335" spans="1:32" x14ac:dyDescent="0.25">
      <c r="A335" s="19"/>
      <c r="B335" s="21"/>
      <c r="C335" s="21"/>
      <c r="D335" s="24"/>
      <c r="E335" s="24"/>
      <c r="F335" s="24"/>
      <c r="G335" s="19"/>
      <c r="H335" s="19"/>
      <c r="I335" s="22"/>
      <c r="J335" s="22"/>
      <c r="K335" s="24"/>
      <c r="L335" s="19"/>
      <c r="V335" s="19"/>
      <c r="W335" s="21"/>
      <c r="X335" s="21"/>
      <c r="Y335" s="24"/>
      <c r="Z335" s="24"/>
      <c r="AA335" s="24"/>
      <c r="AB335" s="19"/>
      <c r="AC335" s="19"/>
      <c r="AD335" s="22"/>
      <c r="AE335" s="22"/>
      <c r="AF335" s="24"/>
    </row>
    <row r="336" spans="1:32" x14ac:dyDescent="0.25">
      <c r="A336" s="19"/>
      <c r="B336" s="21"/>
      <c r="C336" s="21"/>
      <c r="D336" s="24"/>
      <c r="E336" s="24"/>
      <c r="F336" s="24"/>
      <c r="G336" s="19"/>
      <c r="H336" s="19"/>
      <c r="I336" s="22"/>
      <c r="J336" s="22"/>
      <c r="K336" s="24"/>
      <c r="L336" s="19"/>
      <c r="V336" s="19"/>
      <c r="W336" s="21"/>
      <c r="X336" s="21"/>
      <c r="Y336" s="24"/>
      <c r="Z336" s="24"/>
      <c r="AA336" s="24"/>
      <c r="AB336" s="19"/>
      <c r="AC336" s="19"/>
      <c r="AD336" s="22"/>
      <c r="AE336" s="22"/>
      <c r="AF336" s="24"/>
    </row>
    <row r="337" spans="1:32" x14ac:dyDescent="0.25">
      <c r="A337" s="19"/>
      <c r="B337" s="21"/>
      <c r="C337" s="21"/>
      <c r="D337" s="24"/>
      <c r="E337" s="24"/>
      <c r="F337" s="24"/>
      <c r="G337" s="19"/>
      <c r="H337" s="19"/>
      <c r="I337" s="22"/>
      <c r="J337" s="22"/>
      <c r="K337" s="24"/>
      <c r="L337" s="19"/>
      <c r="V337" s="19"/>
      <c r="W337" s="21"/>
      <c r="X337" s="21"/>
      <c r="Y337" s="24"/>
      <c r="Z337" s="24"/>
      <c r="AA337" s="24"/>
      <c r="AB337" s="19"/>
      <c r="AC337" s="19"/>
      <c r="AD337" s="22"/>
      <c r="AE337" s="22"/>
      <c r="AF337" s="24"/>
    </row>
    <row r="338" spans="1:32" x14ac:dyDescent="0.25">
      <c r="A338" s="19"/>
      <c r="B338" s="21"/>
      <c r="C338" s="21"/>
      <c r="D338" s="24"/>
      <c r="E338" s="24"/>
      <c r="F338" s="24"/>
      <c r="G338" s="19"/>
      <c r="H338" s="19"/>
      <c r="I338" s="22"/>
      <c r="J338" s="22"/>
      <c r="K338" s="24"/>
      <c r="L338" s="19"/>
      <c r="V338" s="19"/>
      <c r="W338" s="21"/>
      <c r="X338" s="21"/>
      <c r="Y338" s="24"/>
      <c r="Z338" s="24"/>
      <c r="AA338" s="24"/>
      <c r="AB338" s="19"/>
      <c r="AC338" s="19"/>
      <c r="AD338" s="22"/>
      <c r="AE338" s="22"/>
      <c r="AF338" s="24"/>
    </row>
    <row r="339" spans="1:32" x14ac:dyDescent="0.25">
      <c r="A339" s="19"/>
      <c r="B339" s="21"/>
      <c r="C339" s="21"/>
      <c r="D339" s="24"/>
      <c r="E339" s="24"/>
      <c r="F339" s="24"/>
      <c r="G339" s="19"/>
      <c r="H339" s="19"/>
      <c r="I339" s="22"/>
      <c r="J339" s="22"/>
      <c r="K339" s="24"/>
      <c r="L339" s="19"/>
      <c r="V339" s="19"/>
      <c r="W339" s="21"/>
      <c r="X339" s="21"/>
      <c r="Y339" s="24"/>
      <c r="Z339" s="24"/>
      <c r="AA339" s="24"/>
      <c r="AB339" s="19"/>
      <c r="AC339" s="19"/>
      <c r="AD339" s="22"/>
      <c r="AE339" s="22"/>
      <c r="AF339" s="24"/>
    </row>
    <row r="340" spans="1:32" x14ac:dyDescent="0.25">
      <c r="A340" s="19"/>
      <c r="B340" s="21"/>
      <c r="C340" s="21"/>
      <c r="D340" s="24"/>
      <c r="E340" s="24"/>
      <c r="F340" s="24"/>
      <c r="G340" s="19"/>
      <c r="H340" s="19"/>
      <c r="I340" s="22"/>
      <c r="J340" s="22"/>
      <c r="K340" s="24"/>
      <c r="L340" s="19"/>
      <c r="V340" s="19"/>
      <c r="W340" s="21"/>
      <c r="X340" s="21"/>
      <c r="Y340" s="24"/>
      <c r="Z340" s="24"/>
      <c r="AA340" s="24"/>
      <c r="AB340" s="19"/>
      <c r="AC340" s="19"/>
      <c r="AD340" s="22"/>
      <c r="AE340" s="22"/>
      <c r="AF340" s="24"/>
    </row>
    <row r="341" spans="1:32" x14ac:dyDescent="0.25">
      <c r="A341" s="19"/>
      <c r="B341" s="21"/>
      <c r="C341" s="21"/>
      <c r="D341" s="24"/>
      <c r="E341" s="24"/>
      <c r="F341" s="24"/>
      <c r="G341" s="19"/>
      <c r="H341" s="19"/>
      <c r="I341" s="22"/>
      <c r="J341" s="22"/>
      <c r="K341" s="24"/>
      <c r="L341" s="19"/>
      <c r="V341" s="19"/>
      <c r="W341" s="21"/>
      <c r="X341" s="21"/>
      <c r="Y341" s="24"/>
      <c r="Z341" s="24"/>
      <c r="AA341" s="24"/>
      <c r="AB341" s="19"/>
      <c r="AC341" s="19"/>
      <c r="AD341" s="22"/>
      <c r="AE341" s="22"/>
      <c r="AF341" s="24"/>
    </row>
    <row r="342" spans="1:32" x14ac:dyDescent="0.25">
      <c r="A342" s="19"/>
      <c r="B342" s="21"/>
      <c r="C342" s="21"/>
      <c r="D342" s="24"/>
      <c r="E342" s="24"/>
      <c r="F342" s="24"/>
      <c r="G342" s="19"/>
      <c r="H342" s="19"/>
      <c r="I342" s="22"/>
      <c r="J342" s="22"/>
      <c r="K342" s="24"/>
      <c r="L342" s="19"/>
      <c r="V342" s="19"/>
      <c r="W342" s="21"/>
      <c r="X342" s="21"/>
      <c r="Y342" s="24"/>
      <c r="Z342" s="24"/>
      <c r="AA342" s="24"/>
      <c r="AB342" s="19"/>
      <c r="AC342" s="19"/>
      <c r="AD342" s="22"/>
      <c r="AE342" s="22"/>
      <c r="AF342" s="24"/>
    </row>
    <row r="343" spans="1:32" x14ac:dyDescent="0.25">
      <c r="A343" s="19"/>
      <c r="B343" s="21"/>
      <c r="C343" s="21"/>
      <c r="D343" s="24"/>
      <c r="E343" s="24"/>
      <c r="F343" s="24"/>
      <c r="G343" s="19"/>
      <c r="H343" s="19"/>
      <c r="I343" s="22"/>
      <c r="J343" s="22"/>
      <c r="K343" s="24"/>
      <c r="L343" s="19"/>
      <c r="V343" s="19"/>
      <c r="W343" s="21"/>
      <c r="X343" s="21"/>
      <c r="Y343" s="24"/>
      <c r="Z343" s="24"/>
      <c r="AA343" s="24"/>
      <c r="AB343" s="19"/>
      <c r="AC343" s="19"/>
      <c r="AD343" s="22"/>
      <c r="AE343" s="22"/>
      <c r="AF343" s="24"/>
    </row>
    <row r="344" spans="1:32" x14ac:dyDescent="0.25">
      <c r="A344" s="19"/>
      <c r="B344" s="21"/>
      <c r="C344" s="21"/>
      <c r="D344" s="24"/>
      <c r="E344" s="24"/>
      <c r="F344" s="24"/>
      <c r="G344" s="19"/>
      <c r="H344" s="19"/>
      <c r="I344" s="22"/>
      <c r="J344" s="22"/>
      <c r="K344" s="24"/>
      <c r="L344" s="19"/>
      <c r="V344" s="19"/>
      <c r="W344" s="21"/>
      <c r="X344" s="21"/>
      <c r="Y344" s="24"/>
      <c r="Z344" s="24"/>
      <c r="AA344" s="24"/>
      <c r="AB344" s="19"/>
      <c r="AC344" s="19"/>
      <c r="AD344" s="22"/>
      <c r="AE344" s="22"/>
      <c r="AF344" s="24"/>
    </row>
    <row r="345" spans="1:32" x14ac:dyDescent="0.25">
      <c r="A345" s="19"/>
      <c r="B345" s="21"/>
      <c r="C345" s="21"/>
      <c r="D345" s="24"/>
      <c r="E345" s="24"/>
      <c r="F345" s="24"/>
      <c r="G345" s="19"/>
      <c r="H345" s="19"/>
      <c r="I345" s="22"/>
      <c r="J345" s="22"/>
      <c r="K345" s="24"/>
      <c r="L345" s="19"/>
      <c r="V345" s="19"/>
      <c r="W345" s="21"/>
      <c r="X345" s="21"/>
      <c r="Y345" s="24"/>
      <c r="Z345" s="24"/>
      <c r="AA345" s="24"/>
      <c r="AB345" s="19"/>
      <c r="AC345" s="19"/>
      <c r="AD345" s="22"/>
      <c r="AE345" s="22"/>
      <c r="AF345" s="24"/>
    </row>
    <row r="346" spans="1:32" x14ac:dyDescent="0.25">
      <c r="A346" s="19"/>
      <c r="B346" s="21"/>
      <c r="C346" s="21"/>
      <c r="D346" s="24"/>
      <c r="E346" s="24"/>
      <c r="F346" s="24"/>
      <c r="G346" s="19"/>
      <c r="H346" s="19"/>
      <c r="I346" s="22"/>
      <c r="J346" s="22"/>
      <c r="K346" s="24"/>
      <c r="L346" s="19"/>
      <c r="V346" s="19"/>
      <c r="W346" s="21"/>
      <c r="X346" s="21"/>
      <c r="Y346" s="24"/>
      <c r="Z346" s="24"/>
      <c r="AA346" s="24"/>
      <c r="AB346" s="19"/>
      <c r="AC346" s="19"/>
      <c r="AD346" s="22"/>
      <c r="AE346" s="22"/>
      <c r="AF346" s="24"/>
    </row>
    <row r="347" spans="1:32" x14ac:dyDescent="0.25">
      <c r="A347" s="19"/>
      <c r="B347" s="21"/>
      <c r="C347" s="21"/>
      <c r="D347" s="24"/>
      <c r="E347" s="24"/>
      <c r="F347" s="24"/>
      <c r="G347" s="19"/>
      <c r="H347" s="19"/>
      <c r="I347" s="22"/>
      <c r="J347" s="22"/>
      <c r="K347" s="24"/>
      <c r="L347" s="19"/>
      <c r="V347" s="19"/>
      <c r="W347" s="21"/>
      <c r="X347" s="21"/>
      <c r="Y347" s="24"/>
      <c r="Z347" s="24"/>
      <c r="AA347" s="24"/>
      <c r="AB347" s="19"/>
      <c r="AC347" s="19"/>
      <c r="AD347" s="22"/>
      <c r="AE347" s="22"/>
      <c r="AF347" s="24"/>
    </row>
    <row r="348" spans="1:32" x14ac:dyDescent="0.25">
      <c r="A348" s="19"/>
      <c r="B348" s="21"/>
      <c r="C348" s="21"/>
      <c r="D348" s="24"/>
      <c r="E348" s="24"/>
      <c r="F348" s="24"/>
      <c r="G348" s="19"/>
      <c r="H348" s="19"/>
      <c r="I348" s="22"/>
      <c r="J348" s="22"/>
      <c r="K348" s="24"/>
      <c r="L348" s="19"/>
      <c r="V348" s="19"/>
      <c r="W348" s="21"/>
      <c r="X348" s="21"/>
      <c r="Y348" s="24"/>
      <c r="Z348" s="24"/>
      <c r="AA348" s="24"/>
      <c r="AB348" s="19"/>
      <c r="AC348" s="19"/>
      <c r="AD348" s="22"/>
      <c r="AE348" s="22"/>
      <c r="AF348" s="24"/>
    </row>
    <row r="349" spans="1:32" x14ac:dyDescent="0.25">
      <c r="A349" s="19"/>
      <c r="B349" s="21"/>
      <c r="C349" s="21"/>
      <c r="D349" s="24"/>
      <c r="E349" s="24"/>
      <c r="F349" s="24"/>
      <c r="G349" s="19"/>
      <c r="H349" s="19"/>
      <c r="I349" s="22"/>
      <c r="J349" s="22"/>
      <c r="K349" s="24"/>
      <c r="L349" s="19"/>
      <c r="V349" s="19"/>
      <c r="W349" s="21"/>
      <c r="X349" s="21"/>
      <c r="Y349" s="24"/>
      <c r="Z349" s="24"/>
      <c r="AA349" s="24"/>
      <c r="AB349" s="19"/>
      <c r="AC349" s="19"/>
      <c r="AD349" s="22"/>
      <c r="AE349" s="22"/>
      <c r="AF349" s="24"/>
    </row>
    <row r="350" spans="1:32" x14ac:dyDescent="0.25">
      <c r="A350" s="19"/>
      <c r="B350" s="21"/>
      <c r="C350" s="21"/>
      <c r="D350" s="24"/>
      <c r="E350" s="24"/>
      <c r="F350" s="24"/>
      <c r="G350" s="19"/>
      <c r="H350" s="19"/>
      <c r="I350" s="22"/>
      <c r="J350" s="22"/>
      <c r="K350" s="24"/>
      <c r="L350" s="19"/>
      <c r="V350" s="19"/>
      <c r="W350" s="21"/>
      <c r="X350" s="21"/>
      <c r="Y350" s="24"/>
      <c r="Z350" s="24"/>
      <c r="AA350" s="24"/>
      <c r="AB350" s="19"/>
      <c r="AC350" s="19"/>
      <c r="AD350" s="22"/>
      <c r="AE350" s="22"/>
      <c r="AF350" s="24"/>
    </row>
    <row r="351" spans="1:32" x14ac:dyDescent="0.25">
      <c r="A351" s="19"/>
      <c r="B351" s="21"/>
      <c r="C351" s="21"/>
      <c r="D351" s="24"/>
      <c r="E351" s="24"/>
      <c r="F351" s="24"/>
      <c r="G351" s="19"/>
      <c r="H351" s="19"/>
      <c r="I351" s="22"/>
      <c r="J351" s="22"/>
      <c r="K351" s="24"/>
      <c r="L351" s="19"/>
      <c r="V351" s="19"/>
      <c r="W351" s="21"/>
      <c r="X351" s="21"/>
      <c r="Y351" s="24"/>
      <c r="Z351" s="24"/>
      <c r="AA351" s="24"/>
      <c r="AB351" s="19"/>
      <c r="AC351" s="19"/>
      <c r="AD351" s="22"/>
      <c r="AE351" s="22"/>
      <c r="AF351" s="24"/>
    </row>
    <row r="352" spans="1:32" x14ac:dyDescent="0.25">
      <c r="A352" s="19"/>
      <c r="B352" s="21"/>
      <c r="C352" s="21"/>
      <c r="D352" s="24"/>
      <c r="E352" s="24"/>
      <c r="F352" s="24"/>
      <c r="G352" s="19"/>
      <c r="H352" s="19"/>
      <c r="I352" s="22"/>
      <c r="J352" s="22"/>
      <c r="K352" s="24"/>
      <c r="L352" s="19"/>
      <c r="V352" s="19"/>
      <c r="W352" s="21"/>
      <c r="X352" s="21"/>
      <c r="Y352" s="24"/>
      <c r="Z352" s="24"/>
      <c r="AA352" s="24"/>
      <c r="AB352" s="19"/>
      <c r="AC352" s="19"/>
      <c r="AD352" s="22"/>
      <c r="AE352" s="22"/>
      <c r="AF352" s="24"/>
    </row>
    <row r="353" spans="1:32" x14ac:dyDescent="0.25">
      <c r="A353" s="19"/>
      <c r="B353" s="21"/>
      <c r="C353" s="21"/>
      <c r="D353" s="24"/>
      <c r="E353" s="24"/>
      <c r="F353" s="24"/>
      <c r="G353" s="19"/>
      <c r="H353" s="19"/>
      <c r="I353" s="22"/>
      <c r="J353" s="22"/>
      <c r="K353" s="24"/>
      <c r="L353" s="19"/>
      <c r="V353" s="19"/>
      <c r="W353" s="21"/>
      <c r="X353" s="21"/>
      <c r="Y353" s="24"/>
      <c r="Z353" s="24"/>
      <c r="AA353" s="24"/>
      <c r="AB353" s="19"/>
      <c r="AC353" s="19"/>
      <c r="AD353" s="22"/>
      <c r="AE353" s="22"/>
      <c r="AF353" s="24"/>
    </row>
    <row r="354" spans="1:32" x14ac:dyDescent="0.25">
      <c r="A354" s="19"/>
      <c r="B354" s="21"/>
      <c r="C354" s="21"/>
      <c r="D354" s="24"/>
      <c r="E354" s="24"/>
      <c r="F354" s="24"/>
      <c r="G354" s="19"/>
      <c r="H354" s="19"/>
      <c r="I354" s="22"/>
      <c r="J354" s="22"/>
      <c r="K354" s="24"/>
      <c r="L354" s="19"/>
      <c r="V354" s="19"/>
      <c r="W354" s="21"/>
      <c r="X354" s="21"/>
      <c r="Y354" s="24"/>
      <c r="Z354" s="24"/>
      <c r="AA354" s="24"/>
      <c r="AB354" s="19"/>
      <c r="AC354" s="19"/>
      <c r="AD354" s="22"/>
      <c r="AE354" s="22"/>
      <c r="AF354" s="24"/>
    </row>
    <row r="355" spans="1:32" x14ac:dyDescent="0.25">
      <c r="A355" s="19"/>
      <c r="B355" s="21"/>
      <c r="C355" s="21"/>
      <c r="D355" s="24"/>
      <c r="E355" s="24"/>
      <c r="F355" s="24"/>
      <c r="G355" s="19"/>
      <c r="H355" s="19"/>
      <c r="I355" s="22"/>
      <c r="J355" s="22"/>
      <c r="K355" s="24"/>
      <c r="L355" s="19"/>
      <c r="V355" s="19"/>
      <c r="W355" s="21"/>
      <c r="X355" s="21"/>
      <c r="Y355" s="24"/>
      <c r="Z355" s="24"/>
      <c r="AA355" s="24"/>
      <c r="AB355" s="19"/>
      <c r="AC355" s="19"/>
      <c r="AD355" s="22"/>
      <c r="AE355" s="22"/>
      <c r="AF355" s="24"/>
    </row>
    <row r="356" spans="1:32" x14ac:dyDescent="0.25">
      <c r="A356" s="19"/>
      <c r="B356" s="21"/>
      <c r="C356" s="21"/>
      <c r="D356" s="24"/>
      <c r="E356" s="24"/>
      <c r="F356" s="24"/>
      <c r="G356" s="19"/>
      <c r="H356" s="19"/>
      <c r="I356" s="22"/>
      <c r="J356" s="22"/>
      <c r="K356" s="24"/>
      <c r="L356" s="19"/>
      <c r="V356" s="19"/>
      <c r="W356" s="21"/>
      <c r="X356" s="21"/>
      <c r="Y356" s="24"/>
      <c r="Z356" s="24"/>
      <c r="AA356" s="24"/>
      <c r="AB356" s="19"/>
      <c r="AC356" s="19"/>
      <c r="AD356" s="22"/>
      <c r="AE356" s="22"/>
      <c r="AF356" s="24"/>
    </row>
    <row r="357" spans="1:32" x14ac:dyDescent="0.25">
      <c r="A357" s="19"/>
      <c r="B357" s="21"/>
      <c r="C357" s="21"/>
      <c r="D357" s="24"/>
      <c r="E357" s="24"/>
      <c r="F357" s="24"/>
      <c r="G357" s="19"/>
      <c r="H357" s="19"/>
      <c r="I357" s="22"/>
      <c r="J357" s="22"/>
      <c r="K357" s="24"/>
      <c r="L357" s="19"/>
      <c r="V357" s="19"/>
      <c r="W357" s="21"/>
      <c r="X357" s="21"/>
      <c r="Y357" s="24"/>
      <c r="Z357" s="24"/>
      <c r="AA357" s="24"/>
      <c r="AB357" s="19"/>
      <c r="AC357" s="19"/>
      <c r="AD357" s="22"/>
      <c r="AE357" s="22"/>
      <c r="AF357" s="24"/>
    </row>
    <row r="358" spans="1:32" x14ac:dyDescent="0.25">
      <c r="A358" s="19"/>
      <c r="B358" s="21"/>
      <c r="C358" s="21"/>
      <c r="D358" s="24"/>
      <c r="E358" s="24"/>
      <c r="F358" s="24"/>
      <c r="G358" s="19"/>
      <c r="H358" s="19"/>
      <c r="I358" s="22"/>
      <c r="J358" s="22"/>
      <c r="K358" s="24"/>
      <c r="L358" s="19"/>
      <c r="V358" s="19"/>
      <c r="W358" s="21"/>
      <c r="X358" s="21"/>
      <c r="Y358" s="24"/>
      <c r="Z358" s="24"/>
      <c r="AA358" s="24"/>
      <c r="AB358" s="19"/>
      <c r="AC358" s="19"/>
      <c r="AD358" s="22"/>
      <c r="AE358" s="22"/>
      <c r="AF358" s="24"/>
    </row>
    <row r="359" spans="1:32" x14ac:dyDescent="0.25">
      <c r="A359" s="19"/>
      <c r="B359" s="21"/>
      <c r="C359" s="21"/>
      <c r="D359" s="24"/>
      <c r="E359" s="24"/>
      <c r="F359" s="24"/>
      <c r="G359" s="19"/>
      <c r="H359" s="19"/>
      <c r="I359" s="22"/>
      <c r="J359" s="22"/>
      <c r="K359" s="24"/>
      <c r="L359" s="19"/>
      <c r="V359" s="19"/>
      <c r="W359" s="21"/>
      <c r="X359" s="21"/>
      <c r="Y359" s="24"/>
      <c r="Z359" s="24"/>
      <c r="AA359" s="24"/>
      <c r="AB359" s="19"/>
      <c r="AC359" s="19"/>
      <c r="AD359" s="22"/>
      <c r="AE359" s="22"/>
      <c r="AF359" s="24"/>
    </row>
    <row r="360" spans="1:32" x14ac:dyDescent="0.25">
      <c r="A360" s="19"/>
      <c r="B360" s="21"/>
      <c r="C360" s="21"/>
      <c r="D360" s="24"/>
      <c r="E360" s="24"/>
      <c r="F360" s="24"/>
      <c r="G360" s="19"/>
      <c r="H360" s="19"/>
      <c r="I360" s="22"/>
      <c r="J360" s="22"/>
      <c r="K360" s="24"/>
      <c r="L360" s="19"/>
      <c r="V360" s="19"/>
      <c r="W360" s="21"/>
      <c r="X360" s="21"/>
      <c r="Y360" s="24"/>
      <c r="Z360" s="24"/>
      <c r="AA360" s="24"/>
      <c r="AB360" s="19"/>
      <c r="AC360" s="19"/>
      <c r="AD360" s="22"/>
      <c r="AE360" s="22"/>
      <c r="AF360" s="24"/>
    </row>
    <row r="361" spans="1:32" x14ac:dyDescent="0.25">
      <c r="A361" s="19"/>
      <c r="B361" s="21"/>
      <c r="C361" s="21"/>
      <c r="D361" s="24"/>
      <c r="E361" s="24"/>
      <c r="F361" s="24"/>
      <c r="G361" s="19"/>
      <c r="H361" s="19"/>
      <c r="I361" s="22"/>
      <c r="J361" s="22"/>
      <c r="K361" s="24"/>
      <c r="L361" s="19"/>
      <c r="V361" s="19"/>
      <c r="W361" s="21"/>
      <c r="X361" s="21"/>
      <c r="Y361" s="24"/>
      <c r="Z361" s="24"/>
      <c r="AA361" s="24"/>
      <c r="AB361" s="19"/>
      <c r="AC361" s="19"/>
      <c r="AD361" s="22"/>
      <c r="AE361" s="22"/>
      <c r="AF361" s="24"/>
    </row>
    <row r="362" spans="1:32" x14ac:dyDescent="0.25">
      <c r="A362" s="19"/>
      <c r="B362" s="21"/>
      <c r="C362" s="21"/>
      <c r="D362" s="24"/>
      <c r="E362" s="24"/>
      <c r="F362" s="24"/>
      <c r="G362" s="19"/>
      <c r="H362" s="19"/>
      <c r="I362" s="22"/>
      <c r="J362" s="22"/>
      <c r="K362" s="24"/>
      <c r="L362" s="19"/>
      <c r="V362" s="19"/>
      <c r="W362" s="21"/>
      <c r="X362" s="21"/>
      <c r="Y362" s="24"/>
      <c r="Z362" s="24"/>
      <c r="AA362" s="24"/>
      <c r="AB362" s="19"/>
      <c r="AC362" s="19"/>
      <c r="AD362" s="22"/>
      <c r="AE362" s="22"/>
      <c r="AF362" s="24"/>
    </row>
    <row r="363" spans="1:32" x14ac:dyDescent="0.25">
      <c r="A363" s="19"/>
      <c r="B363" s="21"/>
      <c r="C363" s="21"/>
      <c r="D363" s="24"/>
      <c r="E363" s="24"/>
      <c r="F363" s="24"/>
      <c r="G363" s="19"/>
      <c r="H363" s="19"/>
      <c r="I363" s="22"/>
      <c r="J363" s="22"/>
      <c r="K363" s="24"/>
      <c r="L363" s="19"/>
      <c r="V363" s="19"/>
      <c r="W363" s="21"/>
      <c r="X363" s="21"/>
      <c r="Y363" s="24"/>
      <c r="Z363" s="24"/>
      <c r="AA363" s="24"/>
      <c r="AB363" s="19"/>
      <c r="AC363" s="19"/>
      <c r="AD363" s="22"/>
      <c r="AE363" s="22"/>
      <c r="AF363" s="24"/>
    </row>
    <row r="364" spans="1:32" x14ac:dyDescent="0.25">
      <c r="A364" s="19"/>
      <c r="B364" s="21"/>
      <c r="C364" s="21"/>
      <c r="D364" s="24"/>
      <c r="E364" s="24"/>
      <c r="F364" s="24"/>
      <c r="G364" s="19"/>
      <c r="H364" s="19"/>
      <c r="I364" s="22"/>
      <c r="J364" s="22"/>
      <c r="K364" s="24"/>
      <c r="L364" s="19"/>
      <c r="V364" s="19"/>
      <c r="W364" s="21"/>
      <c r="X364" s="21"/>
      <c r="Y364" s="24"/>
      <c r="Z364" s="24"/>
      <c r="AA364" s="24"/>
      <c r="AB364" s="19"/>
      <c r="AC364" s="19"/>
      <c r="AD364" s="22"/>
      <c r="AE364" s="22"/>
      <c r="AF364" s="24"/>
    </row>
    <row r="365" spans="1:32" x14ac:dyDescent="0.25">
      <c r="A365" s="19"/>
      <c r="B365" s="21"/>
      <c r="C365" s="21"/>
      <c r="D365" s="24"/>
      <c r="E365" s="24"/>
      <c r="F365" s="24"/>
      <c r="G365" s="19"/>
      <c r="H365" s="19"/>
      <c r="I365" s="22"/>
      <c r="J365" s="22"/>
      <c r="K365" s="24"/>
      <c r="L365" s="19"/>
      <c r="V365" s="19"/>
      <c r="W365" s="21"/>
      <c r="X365" s="21"/>
      <c r="Y365" s="24"/>
      <c r="Z365" s="24"/>
      <c r="AA365" s="24"/>
      <c r="AB365" s="19"/>
      <c r="AC365" s="19"/>
      <c r="AD365" s="22"/>
      <c r="AE365" s="22"/>
      <c r="AF365" s="24"/>
    </row>
    <row r="366" spans="1:32" x14ac:dyDescent="0.25">
      <c r="A366" s="19"/>
      <c r="B366" s="21"/>
      <c r="C366" s="21"/>
      <c r="D366" s="24"/>
      <c r="E366" s="24"/>
      <c r="F366" s="24"/>
      <c r="G366" s="19"/>
      <c r="H366" s="19"/>
      <c r="I366" s="22"/>
      <c r="J366" s="22"/>
      <c r="K366" s="24"/>
      <c r="L366" s="19"/>
      <c r="V366" s="19"/>
      <c r="W366" s="21"/>
      <c r="X366" s="21"/>
      <c r="Y366" s="24"/>
      <c r="Z366" s="24"/>
      <c r="AA366" s="24"/>
      <c r="AB366" s="19"/>
      <c r="AC366" s="19"/>
      <c r="AD366" s="22"/>
      <c r="AE366" s="22"/>
      <c r="AF366" s="24"/>
    </row>
    <row r="367" spans="1:32" x14ac:dyDescent="0.25">
      <c r="A367" s="19"/>
      <c r="B367" s="21"/>
      <c r="C367" s="21"/>
      <c r="D367" s="24"/>
      <c r="E367" s="24"/>
      <c r="F367" s="24"/>
      <c r="G367" s="19"/>
      <c r="H367" s="19"/>
      <c r="I367" s="22"/>
      <c r="J367" s="22"/>
      <c r="K367" s="24"/>
      <c r="L367" s="19"/>
      <c r="V367" s="19"/>
      <c r="W367" s="21"/>
      <c r="X367" s="21"/>
      <c r="Y367" s="24"/>
      <c r="Z367" s="24"/>
      <c r="AA367" s="24"/>
      <c r="AB367" s="19"/>
      <c r="AC367" s="19"/>
      <c r="AD367" s="22"/>
      <c r="AE367" s="22"/>
      <c r="AF367" s="24"/>
    </row>
    <row r="368" spans="1:32" x14ac:dyDescent="0.25">
      <c r="A368" s="19"/>
      <c r="B368" s="21"/>
      <c r="C368" s="21"/>
      <c r="D368" s="24"/>
      <c r="E368" s="24"/>
      <c r="F368" s="24"/>
      <c r="G368" s="19"/>
      <c r="H368" s="19"/>
      <c r="I368" s="22"/>
      <c r="J368" s="22"/>
      <c r="K368" s="24"/>
      <c r="L368" s="19"/>
      <c r="V368" s="19"/>
      <c r="W368" s="21"/>
      <c r="X368" s="21"/>
      <c r="Y368" s="24"/>
      <c r="Z368" s="24"/>
      <c r="AA368" s="24"/>
      <c r="AB368" s="19"/>
      <c r="AC368" s="19"/>
      <c r="AD368" s="22"/>
      <c r="AE368" s="22"/>
      <c r="AF368" s="24"/>
    </row>
    <row r="369" spans="1:32" x14ac:dyDescent="0.25">
      <c r="A369" s="19"/>
      <c r="B369" s="21"/>
      <c r="C369" s="21"/>
      <c r="D369" s="24"/>
      <c r="E369" s="24"/>
      <c r="F369" s="24"/>
      <c r="G369" s="19"/>
      <c r="H369" s="19"/>
      <c r="I369" s="22"/>
      <c r="J369" s="22"/>
      <c r="K369" s="24"/>
      <c r="L369" s="19"/>
      <c r="V369" s="19"/>
      <c r="W369" s="21"/>
      <c r="X369" s="21"/>
      <c r="Y369" s="24"/>
      <c r="Z369" s="24"/>
      <c r="AA369" s="24"/>
      <c r="AB369" s="19"/>
      <c r="AC369" s="19"/>
      <c r="AD369" s="22"/>
      <c r="AE369" s="22"/>
      <c r="AF369" s="24"/>
    </row>
    <row r="370" spans="1:32" x14ac:dyDescent="0.25">
      <c r="A370" s="19"/>
      <c r="B370" s="21"/>
      <c r="C370" s="21"/>
      <c r="D370" s="24"/>
      <c r="E370" s="24"/>
      <c r="F370" s="24"/>
      <c r="G370" s="19"/>
      <c r="H370" s="19"/>
      <c r="I370" s="22"/>
      <c r="J370" s="22"/>
      <c r="K370" s="24"/>
      <c r="L370" s="19"/>
      <c r="V370" s="19"/>
      <c r="W370" s="21"/>
      <c r="X370" s="21"/>
      <c r="Y370" s="24"/>
      <c r="Z370" s="24"/>
      <c r="AA370" s="24"/>
      <c r="AB370" s="19"/>
      <c r="AC370" s="19"/>
      <c r="AD370" s="22"/>
      <c r="AE370" s="22"/>
      <c r="AF370" s="24"/>
    </row>
    <row r="371" spans="1:32" x14ac:dyDescent="0.25">
      <c r="A371" s="19"/>
      <c r="B371" s="21"/>
      <c r="C371" s="21"/>
      <c r="D371" s="24"/>
      <c r="E371" s="24"/>
      <c r="F371" s="24"/>
      <c r="G371" s="19"/>
      <c r="H371" s="19"/>
      <c r="I371" s="22"/>
      <c r="J371" s="22"/>
      <c r="K371" s="24"/>
      <c r="L371" s="19"/>
      <c r="V371" s="19"/>
      <c r="W371" s="21"/>
      <c r="X371" s="21"/>
      <c r="Y371" s="24"/>
      <c r="Z371" s="24"/>
      <c r="AA371" s="24"/>
      <c r="AB371" s="19"/>
      <c r="AC371" s="19"/>
      <c r="AD371" s="22"/>
      <c r="AE371" s="22"/>
      <c r="AF371" s="24"/>
    </row>
    <row r="372" spans="1:32" x14ac:dyDescent="0.25">
      <c r="A372" s="19"/>
      <c r="B372" s="21"/>
      <c r="C372" s="21"/>
      <c r="D372" s="24"/>
      <c r="E372" s="24"/>
      <c r="F372" s="24"/>
      <c r="G372" s="19"/>
      <c r="H372" s="19"/>
      <c r="I372" s="22"/>
      <c r="J372" s="22"/>
      <c r="K372" s="24"/>
      <c r="L372" s="19"/>
      <c r="V372" s="19"/>
      <c r="W372" s="21"/>
      <c r="X372" s="21"/>
      <c r="Y372" s="24"/>
      <c r="Z372" s="24"/>
      <c r="AA372" s="24"/>
      <c r="AB372" s="19"/>
      <c r="AC372" s="19"/>
      <c r="AD372" s="22"/>
      <c r="AE372" s="22"/>
      <c r="AF372" s="24"/>
    </row>
    <row r="373" spans="1:32" x14ac:dyDescent="0.25">
      <c r="A373" s="19"/>
      <c r="B373" s="21"/>
      <c r="C373" s="21"/>
      <c r="D373" s="24"/>
      <c r="E373" s="24"/>
      <c r="F373" s="24"/>
      <c r="G373" s="19"/>
      <c r="H373" s="19"/>
      <c r="I373" s="22"/>
      <c r="J373" s="22"/>
      <c r="K373" s="24"/>
      <c r="L373" s="19"/>
      <c r="V373" s="19"/>
      <c r="W373" s="21"/>
      <c r="X373" s="21"/>
      <c r="Y373" s="24"/>
      <c r="Z373" s="24"/>
      <c r="AA373" s="24"/>
      <c r="AB373" s="19"/>
      <c r="AC373" s="19"/>
      <c r="AD373" s="22"/>
      <c r="AE373" s="22"/>
      <c r="AF373" s="24"/>
    </row>
    <row r="374" spans="1:32" x14ac:dyDescent="0.25">
      <c r="A374" s="19"/>
      <c r="B374" s="21"/>
      <c r="C374" s="21"/>
      <c r="D374" s="24"/>
      <c r="E374" s="24"/>
      <c r="F374" s="24"/>
      <c r="G374" s="19"/>
      <c r="H374" s="19"/>
      <c r="I374" s="22"/>
      <c r="J374" s="22"/>
      <c r="K374" s="24"/>
      <c r="L374" s="19"/>
      <c r="V374" s="19"/>
      <c r="W374" s="21"/>
      <c r="X374" s="21"/>
      <c r="Y374" s="24"/>
      <c r="Z374" s="24"/>
      <c r="AA374" s="24"/>
      <c r="AB374" s="19"/>
      <c r="AC374" s="19"/>
      <c r="AD374" s="22"/>
      <c r="AE374" s="22"/>
      <c r="AF374" s="24"/>
    </row>
    <row r="375" spans="1:32" x14ac:dyDescent="0.25">
      <c r="A375" s="19"/>
      <c r="B375" s="21"/>
      <c r="C375" s="21"/>
      <c r="D375" s="24"/>
      <c r="E375" s="24"/>
      <c r="F375" s="24"/>
      <c r="G375" s="19"/>
      <c r="H375" s="19"/>
      <c r="I375" s="22"/>
      <c r="J375" s="22"/>
      <c r="K375" s="24"/>
      <c r="L375" s="19"/>
      <c r="V375" s="19"/>
      <c r="W375" s="21"/>
      <c r="X375" s="21"/>
      <c r="Y375" s="24"/>
      <c r="Z375" s="24"/>
      <c r="AA375" s="24"/>
      <c r="AB375" s="19"/>
      <c r="AC375" s="19"/>
      <c r="AD375" s="22"/>
      <c r="AE375" s="22"/>
      <c r="AF375" s="24"/>
    </row>
    <row r="376" spans="1:32" x14ac:dyDescent="0.25">
      <c r="A376" s="19"/>
      <c r="B376" s="21"/>
      <c r="C376" s="21"/>
      <c r="D376" s="24"/>
      <c r="E376" s="24"/>
      <c r="F376" s="24"/>
      <c r="G376" s="19"/>
      <c r="H376" s="19"/>
      <c r="I376" s="22"/>
      <c r="J376" s="22"/>
      <c r="K376" s="24"/>
      <c r="L376" s="19"/>
      <c r="V376" s="19"/>
      <c r="W376" s="21"/>
      <c r="X376" s="21"/>
      <c r="Y376" s="24"/>
      <c r="Z376" s="24"/>
      <c r="AA376" s="24"/>
      <c r="AB376" s="19"/>
      <c r="AC376" s="19"/>
      <c r="AD376" s="22"/>
      <c r="AE376" s="22"/>
      <c r="AF376" s="24"/>
    </row>
    <row r="377" spans="1:32" x14ac:dyDescent="0.25">
      <c r="A377" s="19"/>
      <c r="B377" s="21"/>
      <c r="C377" s="21"/>
      <c r="D377" s="24"/>
      <c r="E377" s="24"/>
      <c r="F377" s="24"/>
      <c r="G377" s="19"/>
      <c r="H377" s="19"/>
      <c r="I377" s="22"/>
      <c r="J377" s="22"/>
      <c r="K377" s="24"/>
      <c r="L377" s="19"/>
      <c r="V377" s="19"/>
      <c r="W377" s="21"/>
      <c r="X377" s="21"/>
      <c r="Y377" s="24"/>
      <c r="Z377" s="24"/>
      <c r="AA377" s="24"/>
      <c r="AB377" s="19"/>
      <c r="AC377" s="19"/>
      <c r="AD377" s="22"/>
      <c r="AE377" s="22"/>
      <c r="AF377" s="24"/>
    </row>
    <row r="378" spans="1:32" x14ac:dyDescent="0.25">
      <c r="A378" s="19"/>
      <c r="B378" s="21"/>
      <c r="C378" s="21"/>
      <c r="D378" s="24"/>
      <c r="E378" s="24"/>
      <c r="F378" s="24"/>
      <c r="G378" s="19"/>
      <c r="H378" s="19"/>
      <c r="I378" s="22"/>
      <c r="J378" s="22"/>
      <c r="K378" s="24"/>
      <c r="L378" s="19"/>
      <c r="V378" s="19"/>
      <c r="W378" s="21"/>
      <c r="X378" s="21"/>
      <c r="Y378" s="24"/>
      <c r="Z378" s="24"/>
      <c r="AA378" s="24"/>
      <c r="AB378" s="19"/>
      <c r="AC378" s="19"/>
      <c r="AD378" s="22"/>
      <c r="AE378" s="22"/>
      <c r="AF378" s="24"/>
    </row>
    <row r="379" spans="1:32" x14ac:dyDescent="0.25">
      <c r="A379" s="19"/>
      <c r="B379" s="21"/>
      <c r="C379" s="21"/>
      <c r="D379" s="24"/>
      <c r="E379" s="24"/>
      <c r="F379" s="24"/>
      <c r="G379" s="19"/>
      <c r="H379" s="19"/>
      <c r="I379" s="22"/>
      <c r="J379" s="22"/>
      <c r="K379" s="24"/>
      <c r="L379" s="19"/>
      <c r="V379" s="19"/>
      <c r="W379" s="21"/>
      <c r="X379" s="21"/>
      <c r="Y379" s="24"/>
      <c r="Z379" s="24"/>
      <c r="AA379" s="24"/>
      <c r="AB379" s="19"/>
      <c r="AC379" s="19"/>
      <c r="AD379" s="22"/>
      <c r="AE379" s="22"/>
      <c r="AF379" s="24"/>
    </row>
    <row r="380" spans="1:32" x14ac:dyDescent="0.25">
      <c r="A380" s="19"/>
      <c r="B380" s="21"/>
      <c r="C380" s="21"/>
      <c r="D380" s="24"/>
      <c r="E380" s="24"/>
      <c r="F380" s="24"/>
      <c r="G380" s="19"/>
      <c r="H380" s="19"/>
      <c r="I380" s="22"/>
      <c r="J380" s="22"/>
      <c r="K380" s="24"/>
      <c r="L380" s="19"/>
      <c r="V380" s="19"/>
      <c r="W380" s="21"/>
      <c r="X380" s="21"/>
      <c r="Y380" s="24"/>
      <c r="Z380" s="24"/>
      <c r="AA380" s="24"/>
      <c r="AB380" s="19"/>
      <c r="AC380" s="19"/>
      <c r="AD380" s="22"/>
      <c r="AE380" s="22"/>
      <c r="AF380" s="24"/>
    </row>
    <row r="381" spans="1:32" x14ac:dyDescent="0.25">
      <c r="A381" s="19"/>
      <c r="B381" s="21"/>
      <c r="C381" s="21"/>
      <c r="D381" s="24"/>
      <c r="E381" s="24"/>
      <c r="F381" s="24"/>
      <c r="G381" s="19"/>
      <c r="H381" s="19"/>
      <c r="I381" s="22"/>
      <c r="J381" s="22"/>
      <c r="K381" s="24"/>
      <c r="L381" s="19"/>
      <c r="V381" s="19"/>
      <c r="W381" s="21"/>
      <c r="X381" s="21"/>
      <c r="Y381" s="24"/>
      <c r="Z381" s="24"/>
      <c r="AA381" s="24"/>
      <c r="AB381" s="19"/>
      <c r="AC381" s="19"/>
      <c r="AD381" s="22"/>
      <c r="AE381" s="22"/>
      <c r="AF381" s="24"/>
    </row>
    <row r="382" spans="1:32" x14ac:dyDescent="0.25">
      <c r="A382" s="19"/>
      <c r="B382" s="21"/>
      <c r="C382" s="21"/>
      <c r="D382" s="24"/>
      <c r="E382" s="24"/>
      <c r="F382" s="24"/>
      <c r="G382" s="19"/>
      <c r="H382" s="19"/>
      <c r="I382" s="22"/>
      <c r="J382" s="22"/>
      <c r="K382" s="24"/>
      <c r="L382" s="19"/>
      <c r="V382" s="19"/>
      <c r="W382" s="21"/>
      <c r="X382" s="21"/>
      <c r="Y382" s="24"/>
      <c r="Z382" s="24"/>
      <c r="AA382" s="24"/>
      <c r="AB382" s="19"/>
      <c r="AC382" s="19"/>
      <c r="AD382" s="22"/>
      <c r="AE382" s="22"/>
      <c r="AF382" s="24"/>
    </row>
    <row r="383" spans="1:32" x14ac:dyDescent="0.25">
      <c r="A383" s="19"/>
      <c r="B383" s="21"/>
      <c r="C383" s="21"/>
      <c r="D383" s="24"/>
      <c r="E383" s="24"/>
      <c r="F383" s="24"/>
      <c r="G383" s="19"/>
      <c r="H383" s="19"/>
      <c r="I383" s="22"/>
      <c r="J383" s="22"/>
      <c r="K383" s="24"/>
      <c r="L383" s="19"/>
      <c r="V383" s="19"/>
      <c r="W383" s="21"/>
      <c r="X383" s="21"/>
      <c r="Y383" s="24"/>
      <c r="Z383" s="24"/>
      <c r="AA383" s="24"/>
      <c r="AB383" s="19"/>
      <c r="AC383" s="19"/>
      <c r="AD383" s="22"/>
      <c r="AE383" s="22"/>
      <c r="AF383" s="24"/>
    </row>
    <row r="384" spans="1:32" x14ac:dyDescent="0.25">
      <c r="A384" s="19"/>
      <c r="B384" s="21"/>
      <c r="C384" s="21"/>
      <c r="D384" s="24"/>
      <c r="E384" s="24"/>
      <c r="F384" s="24"/>
      <c r="G384" s="19"/>
      <c r="H384" s="19"/>
      <c r="I384" s="22"/>
      <c r="J384" s="22"/>
      <c r="K384" s="24"/>
      <c r="L384" s="19"/>
      <c r="V384" s="19"/>
      <c r="W384" s="21"/>
      <c r="X384" s="21"/>
      <c r="Y384" s="24"/>
      <c r="Z384" s="24"/>
      <c r="AA384" s="24"/>
      <c r="AB384" s="19"/>
      <c r="AC384" s="19"/>
      <c r="AD384" s="22"/>
      <c r="AE384" s="22"/>
      <c r="AF384" s="24"/>
    </row>
    <row r="385" spans="1:32" x14ac:dyDescent="0.25">
      <c r="A385" s="19"/>
      <c r="B385" s="21"/>
      <c r="C385" s="21"/>
      <c r="D385" s="24"/>
      <c r="E385" s="24"/>
      <c r="F385" s="24"/>
      <c r="G385" s="19"/>
      <c r="H385" s="19"/>
      <c r="I385" s="22"/>
      <c r="J385" s="22"/>
      <c r="K385" s="24"/>
      <c r="L385" s="19"/>
      <c r="V385" s="19"/>
      <c r="W385" s="21"/>
      <c r="X385" s="21"/>
      <c r="Y385" s="24"/>
      <c r="Z385" s="24"/>
      <c r="AA385" s="24"/>
      <c r="AB385" s="19"/>
      <c r="AC385" s="19"/>
      <c r="AD385" s="22"/>
      <c r="AE385" s="22"/>
      <c r="AF385" s="24"/>
    </row>
    <row r="386" spans="1:32" x14ac:dyDescent="0.25">
      <c r="A386" s="19"/>
      <c r="B386" s="21"/>
      <c r="C386" s="21"/>
      <c r="D386" s="24"/>
      <c r="E386" s="24"/>
      <c r="F386" s="24"/>
      <c r="G386" s="19"/>
      <c r="H386" s="19"/>
      <c r="I386" s="22"/>
      <c r="J386" s="22"/>
      <c r="K386" s="24"/>
      <c r="L386" s="19"/>
      <c r="V386" s="19"/>
      <c r="W386" s="21"/>
      <c r="X386" s="21"/>
      <c r="Y386" s="24"/>
      <c r="Z386" s="24"/>
      <c r="AA386" s="24"/>
      <c r="AB386" s="19"/>
      <c r="AC386" s="19"/>
      <c r="AD386" s="22"/>
      <c r="AE386" s="22"/>
      <c r="AF386" s="24"/>
    </row>
    <row r="387" spans="1:32" x14ac:dyDescent="0.25">
      <c r="A387" s="19"/>
      <c r="B387" s="21"/>
      <c r="C387" s="21"/>
      <c r="D387" s="24"/>
      <c r="E387" s="24"/>
      <c r="F387" s="24"/>
      <c r="G387" s="19"/>
      <c r="H387" s="19"/>
      <c r="I387" s="22"/>
      <c r="J387" s="22"/>
      <c r="K387" s="24"/>
      <c r="L387" s="19"/>
      <c r="V387" s="19"/>
      <c r="W387" s="21"/>
      <c r="X387" s="21"/>
      <c r="Y387" s="24"/>
      <c r="Z387" s="24"/>
      <c r="AA387" s="24"/>
      <c r="AB387" s="19"/>
      <c r="AC387" s="19"/>
      <c r="AD387" s="22"/>
      <c r="AE387" s="22"/>
      <c r="AF387" s="24"/>
    </row>
    <row r="388" spans="1:32" x14ac:dyDescent="0.25">
      <c r="A388" s="19"/>
      <c r="B388" s="21"/>
      <c r="C388" s="21"/>
      <c r="D388" s="24"/>
      <c r="E388" s="24"/>
      <c r="F388" s="24"/>
      <c r="G388" s="19"/>
      <c r="H388" s="19"/>
      <c r="I388" s="22"/>
      <c r="J388" s="22"/>
      <c r="K388" s="24"/>
      <c r="L388" s="19"/>
      <c r="V388" s="19"/>
      <c r="W388" s="21"/>
      <c r="X388" s="21"/>
      <c r="Y388" s="24"/>
      <c r="Z388" s="24"/>
      <c r="AA388" s="24"/>
      <c r="AB388" s="19"/>
      <c r="AC388" s="19"/>
      <c r="AD388" s="22"/>
      <c r="AE388" s="22"/>
      <c r="AF388" s="24"/>
    </row>
    <row r="389" spans="1:32" x14ac:dyDescent="0.25">
      <c r="A389" s="19"/>
      <c r="B389" s="21"/>
      <c r="C389" s="21"/>
      <c r="D389" s="24"/>
      <c r="E389" s="24"/>
      <c r="F389" s="24"/>
      <c r="G389" s="19"/>
      <c r="H389" s="19"/>
      <c r="I389" s="22"/>
      <c r="J389" s="22"/>
      <c r="K389" s="24"/>
      <c r="L389" s="19"/>
      <c r="V389" s="19"/>
      <c r="W389" s="21"/>
      <c r="X389" s="21"/>
      <c r="Y389" s="24"/>
      <c r="Z389" s="24"/>
      <c r="AA389" s="24"/>
      <c r="AB389" s="19"/>
      <c r="AC389" s="19"/>
      <c r="AD389" s="22"/>
      <c r="AE389" s="22"/>
      <c r="AF389" s="24"/>
    </row>
    <row r="390" spans="1:32" x14ac:dyDescent="0.25">
      <c r="A390" s="19"/>
      <c r="B390" s="21"/>
      <c r="C390" s="21"/>
      <c r="D390" s="24"/>
      <c r="E390" s="24"/>
      <c r="F390" s="24"/>
      <c r="G390" s="19"/>
      <c r="H390" s="19"/>
      <c r="I390" s="22"/>
      <c r="J390" s="22"/>
      <c r="K390" s="24"/>
      <c r="L390" s="19"/>
      <c r="V390" s="19"/>
      <c r="W390" s="21"/>
      <c r="X390" s="21"/>
      <c r="Y390" s="24"/>
      <c r="Z390" s="24"/>
      <c r="AA390" s="24"/>
      <c r="AB390" s="19"/>
      <c r="AC390" s="19"/>
      <c r="AD390" s="22"/>
      <c r="AE390" s="22"/>
      <c r="AF390" s="24"/>
    </row>
    <row r="391" spans="1:32" x14ac:dyDescent="0.25">
      <c r="A391" s="19"/>
      <c r="B391" s="21"/>
      <c r="C391" s="21"/>
      <c r="D391" s="24"/>
      <c r="E391" s="24"/>
      <c r="F391" s="24"/>
      <c r="G391" s="19"/>
      <c r="H391" s="19"/>
      <c r="I391" s="22"/>
      <c r="J391" s="22"/>
      <c r="K391" s="24"/>
      <c r="L391" s="19"/>
      <c r="V391" s="19"/>
      <c r="W391" s="21"/>
      <c r="X391" s="21"/>
      <c r="Y391" s="24"/>
      <c r="Z391" s="24"/>
      <c r="AA391" s="24"/>
      <c r="AB391" s="19"/>
      <c r="AC391" s="19"/>
      <c r="AD391" s="22"/>
      <c r="AE391" s="22"/>
      <c r="AF391" s="24"/>
    </row>
    <row r="392" spans="1:32" x14ac:dyDescent="0.25">
      <c r="A392" s="19"/>
      <c r="B392" s="21"/>
      <c r="C392" s="21"/>
      <c r="D392" s="24"/>
      <c r="E392" s="24"/>
      <c r="F392" s="24"/>
      <c r="G392" s="19"/>
      <c r="H392" s="19"/>
      <c r="I392" s="22"/>
      <c r="J392" s="22"/>
      <c r="K392" s="24"/>
      <c r="L392" s="19"/>
      <c r="V392" s="19"/>
      <c r="W392" s="21"/>
      <c r="X392" s="21"/>
      <c r="Y392" s="24"/>
      <c r="Z392" s="24"/>
      <c r="AA392" s="24"/>
      <c r="AB392" s="19"/>
      <c r="AC392" s="19"/>
      <c r="AD392" s="22"/>
      <c r="AE392" s="22"/>
      <c r="AF392" s="24"/>
    </row>
    <row r="393" spans="1:32" x14ac:dyDescent="0.25">
      <c r="A393" s="19"/>
      <c r="B393" s="21"/>
      <c r="C393" s="21"/>
      <c r="D393" s="24"/>
      <c r="E393" s="24"/>
      <c r="F393" s="24"/>
      <c r="G393" s="19"/>
      <c r="H393" s="19"/>
      <c r="I393" s="22"/>
      <c r="J393" s="22"/>
      <c r="K393" s="24"/>
      <c r="L393" s="19"/>
      <c r="V393" s="19"/>
      <c r="W393" s="21"/>
      <c r="X393" s="21"/>
      <c r="Y393" s="24"/>
      <c r="Z393" s="24"/>
      <c r="AA393" s="24"/>
      <c r="AB393" s="19"/>
      <c r="AC393" s="19"/>
      <c r="AD393" s="22"/>
      <c r="AE393" s="22"/>
      <c r="AF393" s="24"/>
    </row>
    <row r="394" spans="1:32" x14ac:dyDescent="0.25">
      <c r="A394" s="19"/>
      <c r="B394" s="21"/>
      <c r="C394" s="21"/>
      <c r="D394" s="24"/>
      <c r="E394" s="24"/>
      <c r="F394" s="24"/>
      <c r="G394" s="19"/>
      <c r="H394" s="19"/>
      <c r="I394" s="22"/>
      <c r="J394" s="22"/>
      <c r="K394" s="24"/>
      <c r="L394" s="19"/>
      <c r="V394" s="19"/>
      <c r="W394" s="21"/>
      <c r="X394" s="21"/>
      <c r="Y394" s="24"/>
      <c r="Z394" s="24"/>
      <c r="AA394" s="24"/>
      <c r="AB394" s="19"/>
      <c r="AC394" s="19"/>
      <c r="AD394" s="22"/>
      <c r="AE394" s="22"/>
      <c r="AF394" s="24"/>
    </row>
    <row r="395" spans="1:32" x14ac:dyDescent="0.25">
      <c r="A395" s="19"/>
      <c r="B395" s="21"/>
      <c r="C395" s="21"/>
      <c r="D395" s="24"/>
      <c r="E395" s="24"/>
      <c r="F395" s="24"/>
      <c r="G395" s="19"/>
      <c r="H395" s="19"/>
      <c r="I395" s="22"/>
      <c r="J395" s="22"/>
      <c r="K395" s="24"/>
      <c r="L395" s="19"/>
      <c r="V395" s="19"/>
      <c r="W395" s="21"/>
      <c r="X395" s="21"/>
      <c r="Y395" s="24"/>
      <c r="Z395" s="24"/>
      <c r="AA395" s="24"/>
      <c r="AB395" s="19"/>
      <c r="AC395" s="19"/>
      <c r="AD395" s="22"/>
      <c r="AE395" s="22"/>
      <c r="AF395" s="24"/>
    </row>
    <row r="396" spans="1:32" x14ac:dyDescent="0.25">
      <c r="A396" s="19"/>
      <c r="B396" s="21"/>
      <c r="C396" s="21"/>
      <c r="D396" s="24"/>
      <c r="E396" s="24"/>
      <c r="F396" s="24"/>
      <c r="G396" s="19"/>
      <c r="H396" s="19"/>
      <c r="I396" s="22"/>
      <c r="J396" s="22"/>
      <c r="K396" s="24"/>
      <c r="L396" s="19"/>
      <c r="V396" s="19"/>
      <c r="W396" s="21"/>
      <c r="X396" s="21"/>
      <c r="Y396" s="24"/>
      <c r="Z396" s="24"/>
      <c r="AA396" s="24"/>
      <c r="AB396" s="19"/>
      <c r="AC396" s="19"/>
      <c r="AD396" s="22"/>
      <c r="AE396" s="22"/>
      <c r="AF396" s="24"/>
    </row>
    <row r="397" spans="1:32" x14ac:dyDescent="0.25">
      <c r="A397" s="19"/>
      <c r="B397" s="21"/>
      <c r="C397" s="21"/>
      <c r="D397" s="24"/>
      <c r="E397" s="24"/>
      <c r="F397" s="24"/>
      <c r="G397" s="19"/>
      <c r="H397" s="19"/>
      <c r="I397" s="22"/>
      <c r="J397" s="22"/>
      <c r="K397" s="24"/>
      <c r="L397" s="19"/>
      <c r="V397" s="19"/>
      <c r="W397" s="21"/>
      <c r="X397" s="21"/>
      <c r="Y397" s="24"/>
      <c r="Z397" s="24"/>
      <c r="AA397" s="24"/>
      <c r="AB397" s="19"/>
      <c r="AC397" s="19"/>
      <c r="AD397" s="22"/>
      <c r="AE397" s="22"/>
      <c r="AF397" s="24"/>
    </row>
    <row r="398" spans="1:32" x14ac:dyDescent="0.25">
      <c r="A398" s="19"/>
      <c r="B398" s="21"/>
      <c r="C398" s="21"/>
      <c r="D398" s="24"/>
      <c r="E398" s="24"/>
      <c r="F398" s="24"/>
      <c r="G398" s="19"/>
      <c r="H398" s="19"/>
      <c r="I398" s="22"/>
      <c r="J398" s="22"/>
      <c r="K398" s="24"/>
      <c r="L398" s="19"/>
      <c r="V398" s="19"/>
      <c r="W398" s="21"/>
      <c r="X398" s="21"/>
      <c r="Y398" s="24"/>
      <c r="Z398" s="24"/>
      <c r="AA398" s="24"/>
      <c r="AB398" s="19"/>
      <c r="AC398" s="19"/>
      <c r="AD398" s="22"/>
      <c r="AE398" s="22"/>
      <c r="AF398" s="24"/>
    </row>
    <row r="399" spans="1:32" x14ac:dyDescent="0.25">
      <c r="A399" s="19"/>
      <c r="B399" s="21"/>
      <c r="C399" s="21"/>
      <c r="D399" s="24"/>
      <c r="E399" s="24"/>
      <c r="F399" s="24"/>
      <c r="G399" s="19"/>
      <c r="H399" s="19"/>
      <c r="I399" s="22"/>
      <c r="J399" s="22"/>
      <c r="K399" s="24"/>
      <c r="L399" s="19"/>
      <c r="V399" s="19"/>
      <c r="W399" s="21"/>
      <c r="X399" s="21"/>
      <c r="Y399" s="24"/>
      <c r="Z399" s="24"/>
      <c r="AA399" s="24"/>
      <c r="AB399" s="19"/>
      <c r="AC399" s="19"/>
      <c r="AD399" s="22"/>
      <c r="AE399" s="22"/>
      <c r="AF399" s="24"/>
    </row>
    <row r="400" spans="1:32" x14ac:dyDescent="0.25">
      <c r="A400" s="19"/>
      <c r="B400" s="21"/>
      <c r="C400" s="21"/>
      <c r="D400" s="24"/>
      <c r="E400" s="24"/>
      <c r="F400" s="24"/>
      <c r="G400" s="19"/>
      <c r="H400" s="19"/>
      <c r="I400" s="22"/>
      <c r="J400" s="22"/>
      <c r="K400" s="24"/>
      <c r="L400" s="19"/>
      <c r="V400" s="19"/>
      <c r="W400" s="21"/>
      <c r="X400" s="21"/>
      <c r="Y400" s="24"/>
      <c r="Z400" s="24"/>
      <c r="AA400" s="24"/>
      <c r="AB400" s="19"/>
      <c r="AC400" s="19"/>
      <c r="AD400" s="22"/>
      <c r="AE400" s="22"/>
      <c r="AF400" s="24"/>
    </row>
    <row r="401" spans="1:32" x14ac:dyDescent="0.25">
      <c r="A401" s="19"/>
      <c r="B401" s="21"/>
      <c r="C401" s="21"/>
      <c r="D401" s="24"/>
      <c r="E401" s="24"/>
      <c r="F401" s="24"/>
      <c r="G401" s="19"/>
      <c r="H401" s="19"/>
      <c r="I401" s="22"/>
      <c r="J401" s="22"/>
      <c r="K401" s="24"/>
      <c r="L401" s="19"/>
      <c r="V401" s="19"/>
      <c r="W401" s="21"/>
      <c r="X401" s="21"/>
      <c r="Y401" s="24"/>
      <c r="Z401" s="24"/>
      <c r="AA401" s="24"/>
      <c r="AB401" s="19"/>
      <c r="AC401" s="19"/>
      <c r="AD401" s="22"/>
      <c r="AE401" s="22"/>
      <c r="AF401" s="24"/>
    </row>
    <row r="402" spans="1:32" x14ac:dyDescent="0.25">
      <c r="A402" s="19"/>
      <c r="B402" s="21"/>
      <c r="C402" s="21"/>
      <c r="D402" s="24"/>
      <c r="E402" s="24"/>
      <c r="F402" s="24"/>
      <c r="G402" s="19"/>
      <c r="H402" s="19"/>
      <c r="I402" s="22"/>
      <c r="J402" s="22"/>
      <c r="K402" s="24"/>
      <c r="L402" s="19"/>
      <c r="V402" s="19"/>
      <c r="W402" s="21"/>
      <c r="X402" s="21"/>
      <c r="Y402" s="24"/>
      <c r="Z402" s="24"/>
      <c r="AA402" s="24"/>
      <c r="AB402" s="19"/>
      <c r="AC402" s="19"/>
      <c r="AD402" s="22"/>
      <c r="AE402" s="22"/>
      <c r="AF402" s="24"/>
    </row>
    <row r="403" spans="1:32" x14ac:dyDescent="0.25">
      <c r="A403" s="19"/>
      <c r="B403" s="21"/>
      <c r="C403" s="21"/>
      <c r="D403" s="24"/>
      <c r="E403" s="24"/>
      <c r="F403" s="24"/>
      <c r="G403" s="19"/>
      <c r="H403" s="19"/>
      <c r="I403" s="22"/>
      <c r="J403" s="22"/>
      <c r="K403" s="24"/>
      <c r="L403" s="19"/>
      <c r="V403" s="19"/>
      <c r="W403" s="21"/>
      <c r="X403" s="21"/>
      <c r="Y403" s="24"/>
      <c r="Z403" s="24"/>
      <c r="AA403" s="24"/>
      <c r="AB403" s="19"/>
      <c r="AC403" s="19"/>
      <c r="AD403" s="22"/>
      <c r="AE403" s="22"/>
      <c r="AF403" s="24"/>
    </row>
    <row r="404" spans="1:32" x14ac:dyDescent="0.25">
      <c r="A404" s="19"/>
      <c r="B404" s="21"/>
      <c r="C404" s="21"/>
      <c r="D404" s="24"/>
      <c r="E404" s="24"/>
      <c r="F404" s="24"/>
      <c r="G404" s="19"/>
      <c r="H404" s="19"/>
      <c r="I404" s="22"/>
      <c r="J404" s="22"/>
      <c r="K404" s="24"/>
      <c r="L404" s="19"/>
      <c r="V404" s="19"/>
      <c r="W404" s="21"/>
      <c r="X404" s="21"/>
      <c r="Y404" s="24"/>
      <c r="Z404" s="24"/>
      <c r="AA404" s="24"/>
      <c r="AB404" s="19"/>
      <c r="AC404" s="19"/>
      <c r="AD404" s="22"/>
      <c r="AE404" s="22"/>
      <c r="AF404" s="24"/>
    </row>
    <row r="405" spans="1:32" x14ac:dyDescent="0.25">
      <c r="A405" s="19"/>
      <c r="B405" s="21"/>
      <c r="C405" s="21"/>
      <c r="D405" s="24"/>
      <c r="E405" s="24"/>
      <c r="F405" s="24"/>
      <c r="G405" s="19"/>
      <c r="H405" s="19"/>
      <c r="I405" s="22"/>
      <c r="J405" s="22"/>
      <c r="K405" s="24"/>
      <c r="L405" s="19"/>
      <c r="V405" s="19"/>
      <c r="W405" s="21"/>
      <c r="X405" s="21"/>
      <c r="Y405" s="24"/>
      <c r="Z405" s="24"/>
      <c r="AA405" s="24"/>
      <c r="AB405" s="19"/>
      <c r="AC405" s="19"/>
      <c r="AD405" s="22"/>
      <c r="AE405" s="22"/>
      <c r="AF405" s="24"/>
    </row>
    <row r="406" spans="1:32" x14ac:dyDescent="0.25">
      <c r="A406" s="19"/>
      <c r="B406" s="21"/>
      <c r="C406" s="21"/>
      <c r="D406" s="24"/>
      <c r="E406" s="24"/>
      <c r="F406" s="24"/>
      <c r="G406" s="19"/>
      <c r="H406" s="19"/>
      <c r="I406" s="22"/>
      <c r="J406" s="22"/>
      <c r="K406" s="24"/>
      <c r="L406" s="19"/>
      <c r="V406" s="19"/>
      <c r="W406" s="21"/>
      <c r="X406" s="21"/>
      <c r="Y406" s="24"/>
      <c r="Z406" s="24"/>
      <c r="AA406" s="24"/>
      <c r="AB406" s="19"/>
      <c r="AC406" s="19"/>
      <c r="AD406" s="22"/>
      <c r="AE406" s="22"/>
      <c r="AF406" s="24"/>
    </row>
    <row r="407" spans="1:32" x14ac:dyDescent="0.25">
      <c r="A407" s="19"/>
      <c r="B407" s="21"/>
      <c r="C407" s="21"/>
      <c r="D407" s="24"/>
      <c r="E407" s="24"/>
      <c r="F407" s="24"/>
      <c r="G407" s="19"/>
      <c r="H407" s="19"/>
      <c r="I407" s="22"/>
      <c r="J407" s="22"/>
      <c r="K407" s="24"/>
      <c r="L407" s="19"/>
      <c r="V407" s="19"/>
      <c r="W407" s="21"/>
      <c r="X407" s="21"/>
      <c r="Y407" s="24"/>
      <c r="Z407" s="24"/>
      <c r="AA407" s="24"/>
      <c r="AB407" s="19"/>
      <c r="AC407" s="19"/>
      <c r="AD407" s="22"/>
      <c r="AE407" s="22"/>
      <c r="AF407" s="24"/>
    </row>
    <row r="408" spans="1:32" x14ac:dyDescent="0.25">
      <c r="A408" s="19"/>
      <c r="B408" s="21"/>
      <c r="C408" s="21"/>
      <c r="D408" s="24"/>
      <c r="E408" s="24"/>
      <c r="F408" s="24"/>
      <c r="G408" s="19"/>
      <c r="H408" s="19"/>
      <c r="I408" s="22"/>
      <c r="J408" s="22"/>
      <c r="K408" s="24"/>
      <c r="L408" s="19"/>
      <c r="V408" s="19"/>
      <c r="W408" s="21"/>
      <c r="X408" s="21"/>
      <c r="Y408" s="24"/>
      <c r="Z408" s="24"/>
      <c r="AA408" s="24"/>
      <c r="AB408" s="19"/>
      <c r="AC408" s="19"/>
      <c r="AD408" s="22"/>
      <c r="AE408" s="22"/>
      <c r="AF408" s="24"/>
    </row>
    <row r="409" spans="1:32" x14ac:dyDescent="0.25">
      <c r="A409" s="19"/>
      <c r="B409" s="21"/>
      <c r="C409" s="21"/>
      <c r="D409" s="24"/>
      <c r="E409" s="24"/>
      <c r="F409" s="24"/>
      <c r="G409" s="19"/>
      <c r="H409" s="19"/>
      <c r="I409" s="22"/>
      <c r="J409" s="22"/>
      <c r="K409" s="24"/>
      <c r="L409" s="19"/>
      <c r="V409" s="19"/>
      <c r="W409" s="21"/>
      <c r="X409" s="21"/>
      <c r="Y409" s="24"/>
      <c r="Z409" s="24"/>
      <c r="AA409" s="24"/>
      <c r="AB409" s="19"/>
      <c r="AC409" s="19"/>
      <c r="AD409" s="22"/>
      <c r="AE409" s="22"/>
      <c r="AF409" s="24"/>
    </row>
    <row r="410" spans="1:32" x14ac:dyDescent="0.25">
      <c r="A410" s="19"/>
      <c r="B410" s="21"/>
      <c r="C410" s="21"/>
      <c r="D410" s="24"/>
      <c r="E410" s="24"/>
      <c r="F410" s="24"/>
      <c r="G410" s="19"/>
      <c r="H410" s="19"/>
      <c r="I410" s="22"/>
      <c r="J410" s="22"/>
      <c r="K410" s="24"/>
      <c r="L410" s="19"/>
      <c r="V410" s="19"/>
      <c r="W410" s="21"/>
      <c r="X410" s="21"/>
      <c r="Y410" s="24"/>
      <c r="Z410" s="24"/>
      <c r="AA410" s="24"/>
      <c r="AB410" s="19"/>
      <c r="AC410" s="19"/>
      <c r="AD410" s="22"/>
      <c r="AE410" s="22"/>
      <c r="AF410" s="24"/>
    </row>
    <row r="411" spans="1:32" x14ac:dyDescent="0.25">
      <c r="A411" s="19"/>
      <c r="B411" s="21"/>
      <c r="C411" s="21"/>
      <c r="D411" s="24"/>
      <c r="E411" s="24"/>
      <c r="F411" s="24"/>
      <c r="G411" s="19"/>
      <c r="H411" s="19"/>
      <c r="I411" s="22"/>
      <c r="J411" s="22"/>
      <c r="K411" s="24"/>
      <c r="L411" s="19"/>
      <c r="V411" s="19"/>
      <c r="W411" s="21"/>
      <c r="X411" s="21"/>
      <c r="Y411" s="24"/>
      <c r="Z411" s="24"/>
      <c r="AA411" s="24"/>
      <c r="AB411" s="19"/>
      <c r="AC411" s="19"/>
      <c r="AD411" s="22"/>
      <c r="AE411" s="22"/>
      <c r="AF411" s="24"/>
    </row>
    <row r="412" spans="1:32" x14ac:dyDescent="0.25">
      <c r="A412" s="19"/>
      <c r="B412" s="21"/>
      <c r="C412" s="21"/>
      <c r="D412" s="24"/>
      <c r="E412" s="24"/>
      <c r="F412" s="24"/>
      <c r="G412" s="19"/>
      <c r="H412" s="19"/>
      <c r="I412" s="22"/>
      <c r="J412" s="22"/>
      <c r="K412" s="24"/>
      <c r="L412" s="19"/>
      <c r="V412" s="19"/>
      <c r="W412" s="21"/>
      <c r="X412" s="21"/>
      <c r="Y412" s="24"/>
      <c r="Z412" s="24"/>
      <c r="AA412" s="24"/>
      <c r="AB412" s="19"/>
      <c r="AC412" s="19"/>
      <c r="AD412" s="22"/>
      <c r="AE412" s="22"/>
      <c r="AF412" s="24"/>
    </row>
    <row r="413" spans="1:32" x14ac:dyDescent="0.25">
      <c r="A413" s="19"/>
      <c r="B413" s="21"/>
      <c r="C413" s="21"/>
      <c r="D413" s="24"/>
      <c r="E413" s="24"/>
      <c r="F413" s="24"/>
      <c r="G413" s="19"/>
      <c r="H413" s="19"/>
      <c r="I413" s="22"/>
      <c r="J413" s="22"/>
      <c r="K413" s="24"/>
      <c r="L413" s="19"/>
      <c r="V413" s="19"/>
      <c r="W413" s="21"/>
      <c r="X413" s="21"/>
      <c r="Y413" s="24"/>
      <c r="Z413" s="24"/>
      <c r="AA413" s="24"/>
      <c r="AB413" s="19"/>
      <c r="AC413" s="19"/>
      <c r="AD413" s="22"/>
      <c r="AE413" s="22"/>
      <c r="AF413" s="24"/>
    </row>
    <row r="414" spans="1:32" x14ac:dyDescent="0.25">
      <c r="A414" s="19"/>
      <c r="B414" s="21"/>
      <c r="C414" s="21"/>
      <c r="D414" s="24"/>
      <c r="E414" s="24"/>
      <c r="F414" s="24"/>
      <c r="G414" s="19"/>
      <c r="H414" s="19"/>
      <c r="I414" s="22"/>
      <c r="J414" s="22"/>
      <c r="K414" s="24"/>
      <c r="L414" s="19"/>
      <c r="V414" s="19"/>
      <c r="W414" s="21"/>
      <c r="X414" s="21"/>
      <c r="Y414" s="24"/>
      <c r="Z414" s="24"/>
      <c r="AA414" s="24"/>
      <c r="AB414" s="19"/>
      <c r="AC414" s="19"/>
      <c r="AD414" s="22"/>
      <c r="AE414" s="22"/>
      <c r="AF414" s="24"/>
    </row>
    <row r="415" spans="1:32" x14ac:dyDescent="0.25">
      <c r="A415" s="19"/>
      <c r="B415" s="21"/>
      <c r="C415" s="21"/>
      <c r="D415" s="24"/>
      <c r="E415" s="24"/>
      <c r="F415" s="24"/>
      <c r="G415" s="19"/>
      <c r="H415" s="19"/>
      <c r="I415" s="22"/>
      <c r="J415" s="22"/>
      <c r="K415" s="24"/>
      <c r="L415" s="19"/>
      <c r="V415" s="19"/>
      <c r="W415" s="21"/>
      <c r="X415" s="21"/>
      <c r="Y415" s="24"/>
      <c r="Z415" s="24"/>
      <c r="AA415" s="24"/>
      <c r="AB415" s="19"/>
      <c r="AC415" s="19"/>
      <c r="AD415" s="22"/>
      <c r="AE415" s="22"/>
      <c r="AF415" s="24"/>
    </row>
    <row r="416" spans="1:32" x14ac:dyDescent="0.25">
      <c r="A416" s="19"/>
      <c r="B416" s="21"/>
      <c r="C416" s="21"/>
      <c r="D416" s="24"/>
      <c r="E416" s="24"/>
      <c r="F416" s="24"/>
      <c r="G416" s="19"/>
      <c r="H416" s="19"/>
      <c r="I416" s="22"/>
      <c r="J416" s="22"/>
      <c r="K416" s="24"/>
      <c r="L416" s="19"/>
      <c r="V416" s="19"/>
      <c r="W416" s="21"/>
      <c r="X416" s="21"/>
      <c r="Y416" s="24"/>
      <c r="Z416" s="24"/>
      <c r="AA416" s="24"/>
      <c r="AB416" s="19"/>
      <c r="AC416" s="19"/>
      <c r="AD416" s="22"/>
      <c r="AE416" s="22"/>
      <c r="AF416" s="24"/>
    </row>
    <row r="417" spans="1:32" x14ac:dyDescent="0.25">
      <c r="A417" s="19"/>
      <c r="B417" s="21"/>
      <c r="C417" s="21"/>
      <c r="D417" s="24"/>
      <c r="E417" s="24"/>
      <c r="F417" s="24"/>
      <c r="G417" s="19"/>
      <c r="H417" s="19"/>
      <c r="I417" s="22"/>
      <c r="J417" s="22"/>
      <c r="K417" s="24"/>
      <c r="L417" s="19"/>
      <c r="V417" s="19"/>
      <c r="W417" s="21"/>
      <c r="X417" s="21"/>
      <c r="Y417" s="24"/>
      <c r="Z417" s="24"/>
      <c r="AA417" s="24"/>
      <c r="AB417" s="19"/>
      <c r="AC417" s="19"/>
      <c r="AD417" s="22"/>
      <c r="AE417" s="22"/>
      <c r="AF417" s="24"/>
    </row>
    <row r="418" spans="1:32" x14ac:dyDescent="0.25">
      <c r="A418" s="19"/>
      <c r="B418" s="21"/>
      <c r="C418" s="21"/>
      <c r="D418" s="24"/>
      <c r="E418" s="24"/>
      <c r="F418" s="24"/>
      <c r="G418" s="19"/>
      <c r="H418" s="19"/>
      <c r="I418" s="22"/>
      <c r="J418" s="22"/>
      <c r="K418" s="24"/>
      <c r="L418" s="19"/>
      <c r="V418" s="19"/>
      <c r="W418" s="21"/>
      <c r="X418" s="21"/>
      <c r="Y418" s="24"/>
      <c r="Z418" s="24"/>
      <c r="AA418" s="24"/>
      <c r="AB418" s="19"/>
      <c r="AC418" s="19"/>
      <c r="AD418" s="22"/>
      <c r="AE418" s="22"/>
      <c r="AF418" s="24"/>
    </row>
    <row r="419" spans="1:32" x14ac:dyDescent="0.25">
      <c r="A419" s="19"/>
      <c r="B419" s="21"/>
      <c r="C419" s="21"/>
      <c r="D419" s="24"/>
      <c r="E419" s="24"/>
      <c r="F419" s="24"/>
      <c r="G419" s="19"/>
      <c r="H419" s="19"/>
      <c r="I419" s="22"/>
      <c r="J419" s="22"/>
      <c r="K419" s="24"/>
      <c r="L419" s="19"/>
      <c r="V419" s="19"/>
      <c r="W419" s="21"/>
      <c r="X419" s="21"/>
      <c r="Y419" s="24"/>
      <c r="Z419" s="24"/>
      <c r="AA419" s="24"/>
      <c r="AB419" s="19"/>
      <c r="AC419" s="19"/>
      <c r="AD419" s="22"/>
      <c r="AE419" s="22"/>
      <c r="AF419" s="24"/>
    </row>
    <row r="420" spans="1:32" x14ac:dyDescent="0.25">
      <c r="A420" s="19"/>
      <c r="B420" s="21"/>
      <c r="C420" s="21"/>
      <c r="D420" s="24"/>
      <c r="E420" s="24"/>
      <c r="F420" s="24"/>
      <c r="G420" s="19"/>
      <c r="H420" s="19"/>
      <c r="I420" s="22"/>
      <c r="J420" s="22"/>
      <c r="K420" s="24"/>
      <c r="L420" s="19"/>
      <c r="V420" s="19"/>
      <c r="W420" s="21"/>
      <c r="X420" s="21"/>
      <c r="Y420" s="24"/>
      <c r="Z420" s="24"/>
      <c r="AA420" s="24"/>
      <c r="AB420" s="19"/>
      <c r="AC420" s="19"/>
      <c r="AD420" s="22"/>
      <c r="AE420" s="22"/>
      <c r="AF420" s="24"/>
    </row>
    <row r="421" spans="1:32" x14ac:dyDescent="0.25">
      <c r="A421" s="19"/>
      <c r="B421" s="21"/>
      <c r="C421" s="21"/>
      <c r="D421" s="24"/>
      <c r="E421" s="24"/>
      <c r="F421" s="24"/>
      <c r="G421" s="19"/>
      <c r="H421" s="19"/>
      <c r="I421" s="22"/>
      <c r="J421" s="22"/>
      <c r="K421" s="24"/>
      <c r="L421" s="19"/>
      <c r="V421" s="19"/>
      <c r="W421" s="21"/>
      <c r="X421" s="21"/>
      <c r="Y421" s="24"/>
      <c r="Z421" s="24"/>
      <c r="AA421" s="24"/>
      <c r="AB421" s="19"/>
      <c r="AC421" s="19"/>
      <c r="AD421" s="22"/>
      <c r="AE421" s="22"/>
      <c r="AF421" s="24"/>
    </row>
    <row r="422" spans="1:32" x14ac:dyDescent="0.25">
      <c r="A422" s="19"/>
      <c r="B422" s="21"/>
      <c r="C422" s="21"/>
      <c r="D422" s="24"/>
      <c r="E422" s="24"/>
      <c r="F422" s="24"/>
      <c r="G422" s="19"/>
      <c r="H422" s="19"/>
      <c r="I422" s="22"/>
      <c r="J422" s="22"/>
      <c r="K422" s="24"/>
      <c r="L422" s="19"/>
      <c r="V422" s="19"/>
      <c r="W422" s="21"/>
      <c r="X422" s="21"/>
      <c r="Y422" s="24"/>
      <c r="Z422" s="24"/>
      <c r="AA422" s="24"/>
      <c r="AB422" s="19"/>
      <c r="AC422" s="19"/>
      <c r="AD422" s="22"/>
      <c r="AE422" s="22"/>
      <c r="AF422" s="24"/>
    </row>
    <row r="423" spans="1:32" x14ac:dyDescent="0.25">
      <c r="A423" s="19"/>
      <c r="B423" s="21"/>
      <c r="C423" s="21"/>
      <c r="D423" s="24"/>
      <c r="E423" s="24"/>
      <c r="F423" s="24"/>
      <c r="G423" s="19"/>
      <c r="H423" s="19"/>
      <c r="I423" s="22"/>
      <c r="J423" s="22"/>
      <c r="K423" s="24"/>
      <c r="L423" s="19"/>
      <c r="V423" s="19"/>
      <c r="W423" s="21"/>
      <c r="X423" s="21"/>
      <c r="Y423" s="24"/>
      <c r="Z423" s="24"/>
      <c r="AA423" s="24"/>
      <c r="AB423" s="19"/>
      <c r="AC423" s="19"/>
      <c r="AD423" s="22"/>
      <c r="AE423" s="22"/>
      <c r="AF423" s="24"/>
    </row>
    <row r="424" spans="1:32" x14ac:dyDescent="0.25">
      <c r="A424" s="19"/>
      <c r="B424" s="21"/>
      <c r="C424" s="21"/>
      <c r="D424" s="24"/>
      <c r="E424" s="24"/>
      <c r="F424" s="24"/>
      <c r="G424" s="19"/>
      <c r="H424" s="19"/>
      <c r="I424" s="22"/>
      <c r="J424" s="22"/>
      <c r="K424" s="24"/>
      <c r="L424" s="19"/>
      <c r="V424" s="19"/>
      <c r="W424" s="21"/>
      <c r="X424" s="21"/>
      <c r="Y424" s="24"/>
      <c r="Z424" s="24"/>
      <c r="AA424" s="24"/>
      <c r="AB424" s="19"/>
      <c r="AC424" s="19"/>
      <c r="AD424" s="22"/>
      <c r="AE424" s="22"/>
      <c r="AF424" s="24"/>
    </row>
    <row r="425" spans="1:32" x14ac:dyDescent="0.25">
      <c r="A425" s="19"/>
      <c r="B425" s="21"/>
      <c r="C425" s="21"/>
      <c r="D425" s="24"/>
      <c r="E425" s="24"/>
      <c r="F425" s="24"/>
      <c r="G425" s="19"/>
      <c r="H425" s="19"/>
      <c r="I425" s="22"/>
      <c r="J425" s="22"/>
      <c r="K425" s="24"/>
      <c r="L425" s="19"/>
      <c r="V425" s="19"/>
      <c r="W425" s="21"/>
      <c r="X425" s="21"/>
      <c r="Y425" s="24"/>
      <c r="Z425" s="24"/>
      <c r="AA425" s="24"/>
      <c r="AB425" s="19"/>
      <c r="AC425" s="19"/>
      <c r="AD425" s="22"/>
      <c r="AE425" s="22"/>
      <c r="AF425" s="24"/>
    </row>
    <row r="426" spans="1:32" x14ac:dyDescent="0.25">
      <c r="A426" s="19"/>
      <c r="B426" s="21"/>
      <c r="C426" s="21"/>
      <c r="D426" s="24"/>
      <c r="E426" s="24"/>
      <c r="F426" s="24"/>
      <c r="G426" s="19"/>
      <c r="H426" s="19"/>
      <c r="I426" s="22"/>
      <c r="J426" s="22"/>
      <c r="K426" s="24"/>
      <c r="L426" s="19"/>
      <c r="V426" s="19"/>
      <c r="W426" s="21"/>
      <c r="X426" s="21"/>
      <c r="Y426" s="24"/>
      <c r="Z426" s="24"/>
      <c r="AA426" s="24"/>
      <c r="AB426" s="19"/>
      <c r="AC426" s="19"/>
      <c r="AD426" s="22"/>
      <c r="AE426" s="22"/>
      <c r="AF426" s="24"/>
    </row>
    <row r="427" spans="1:32" x14ac:dyDescent="0.25">
      <c r="A427" s="19"/>
      <c r="B427" s="21"/>
      <c r="C427" s="21"/>
      <c r="D427" s="24"/>
      <c r="E427" s="24"/>
      <c r="F427" s="24"/>
      <c r="G427" s="19"/>
      <c r="H427" s="19"/>
      <c r="I427" s="22"/>
      <c r="J427" s="22"/>
      <c r="K427" s="24"/>
      <c r="L427" s="19"/>
      <c r="V427" s="19"/>
      <c r="W427" s="21"/>
      <c r="X427" s="21"/>
      <c r="Y427" s="24"/>
      <c r="Z427" s="24"/>
      <c r="AA427" s="24"/>
      <c r="AB427" s="19"/>
      <c r="AC427" s="19"/>
      <c r="AD427" s="22"/>
      <c r="AE427" s="22"/>
      <c r="AF427" s="24"/>
    </row>
    <row r="428" spans="1:32" x14ac:dyDescent="0.25">
      <c r="A428" s="19"/>
      <c r="B428" s="21"/>
      <c r="C428" s="21"/>
      <c r="D428" s="24"/>
      <c r="E428" s="24"/>
      <c r="F428" s="24"/>
      <c r="G428" s="19"/>
      <c r="H428" s="19"/>
      <c r="I428" s="22"/>
      <c r="J428" s="22"/>
      <c r="K428" s="24"/>
      <c r="L428" s="19"/>
      <c r="V428" s="19"/>
      <c r="W428" s="21"/>
      <c r="X428" s="21"/>
      <c r="Y428" s="24"/>
      <c r="Z428" s="24"/>
      <c r="AA428" s="24"/>
      <c r="AB428" s="19"/>
      <c r="AC428" s="19"/>
      <c r="AD428" s="22"/>
      <c r="AE428" s="22"/>
      <c r="AF428" s="24"/>
    </row>
    <row r="429" spans="1:32" x14ac:dyDescent="0.25">
      <c r="A429" s="19"/>
      <c r="B429" s="21"/>
      <c r="C429" s="21"/>
      <c r="D429" s="24"/>
      <c r="E429" s="24"/>
      <c r="F429" s="24"/>
      <c r="G429" s="19"/>
      <c r="H429" s="19"/>
      <c r="I429" s="22"/>
      <c r="J429" s="22"/>
      <c r="K429" s="24"/>
      <c r="L429" s="19"/>
      <c r="V429" s="19"/>
      <c r="W429" s="21"/>
      <c r="X429" s="21"/>
      <c r="Y429" s="24"/>
      <c r="Z429" s="24"/>
      <c r="AA429" s="24"/>
      <c r="AB429" s="19"/>
      <c r="AC429" s="19"/>
      <c r="AD429" s="22"/>
      <c r="AE429" s="22"/>
      <c r="AF429" s="24"/>
    </row>
    <row r="430" spans="1:32" x14ac:dyDescent="0.25">
      <c r="A430" s="19"/>
      <c r="B430" s="21"/>
      <c r="C430" s="21"/>
      <c r="D430" s="24"/>
      <c r="E430" s="24"/>
      <c r="F430" s="24"/>
      <c r="G430" s="19"/>
      <c r="H430" s="19"/>
      <c r="I430" s="22"/>
      <c r="J430" s="22"/>
      <c r="K430" s="24"/>
      <c r="L430" s="19"/>
      <c r="V430" s="19"/>
      <c r="W430" s="21"/>
      <c r="X430" s="21"/>
      <c r="Y430" s="24"/>
      <c r="Z430" s="24"/>
      <c r="AA430" s="24"/>
      <c r="AB430" s="19"/>
      <c r="AC430" s="19"/>
      <c r="AD430" s="22"/>
      <c r="AE430" s="22"/>
      <c r="AF430" s="24"/>
    </row>
    <row r="431" spans="1:32" x14ac:dyDescent="0.25">
      <c r="A431" s="19"/>
      <c r="B431" s="21"/>
      <c r="C431" s="21"/>
      <c r="D431" s="24"/>
      <c r="E431" s="24"/>
      <c r="F431" s="24"/>
      <c r="G431" s="19"/>
      <c r="H431" s="19"/>
      <c r="I431" s="22"/>
      <c r="J431" s="22"/>
      <c r="K431" s="24"/>
      <c r="L431" s="19"/>
      <c r="V431" s="19"/>
      <c r="W431" s="21"/>
      <c r="X431" s="21"/>
      <c r="Y431" s="24"/>
      <c r="Z431" s="24"/>
      <c r="AA431" s="24"/>
      <c r="AB431" s="19"/>
      <c r="AC431" s="19"/>
      <c r="AD431" s="22"/>
      <c r="AE431" s="22"/>
      <c r="AF431" s="24"/>
    </row>
    <row r="432" spans="1:32" x14ac:dyDescent="0.25">
      <c r="A432" s="19"/>
      <c r="B432" s="21"/>
      <c r="C432" s="21"/>
      <c r="D432" s="24"/>
      <c r="E432" s="24"/>
      <c r="F432" s="24"/>
      <c r="G432" s="19"/>
      <c r="H432" s="19"/>
      <c r="I432" s="22"/>
      <c r="J432" s="22"/>
      <c r="K432" s="24"/>
      <c r="L432" s="19"/>
      <c r="V432" s="19"/>
      <c r="W432" s="21"/>
      <c r="X432" s="21"/>
      <c r="Y432" s="24"/>
      <c r="Z432" s="24"/>
      <c r="AA432" s="24"/>
      <c r="AB432" s="19"/>
      <c r="AC432" s="19"/>
      <c r="AD432" s="22"/>
      <c r="AE432" s="22"/>
      <c r="AF432" s="24"/>
    </row>
    <row r="433" spans="1:32" x14ac:dyDescent="0.25">
      <c r="A433" s="19"/>
      <c r="B433" s="21"/>
      <c r="C433" s="21"/>
      <c r="D433" s="24"/>
      <c r="E433" s="24"/>
      <c r="F433" s="24"/>
      <c r="G433" s="19"/>
      <c r="H433" s="19"/>
      <c r="I433" s="22"/>
      <c r="J433" s="22"/>
      <c r="K433" s="24"/>
      <c r="L433" s="19"/>
      <c r="V433" s="19"/>
      <c r="W433" s="21"/>
      <c r="X433" s="21"/>
      <c r="Y433" s="24"/>
      <c r="Z433" s="24"/>
      <c r="AA433" s="24"/>
      <c r="AB433" s="19"/>
      <c r="AC433" s="19"/>
      <c r="AD433" s="22"/>
      <c r="AE433" s="22"/>
      <c r="AF433" s="24"/>
    </row>
    <row r="434" spans="1:32" x14ac:dyDescent="0.25">
      <c r="A434" s="19"/>
      <c r="B434" s="21"/>
      <c r="C434" s="21"/>
      <c r="D434" s="24"/>
      <c r="E434" s="24"/>
      <c r="F434" s="24"/>
      <c r="G434" s="19"/>
      <c r="H434" s="19"/>
      <c r="I434" s="22"/>
      <c r="J434" s="22"/>
      <c r="K434" s="24"/>
      <c r="L434" s="19"/>
      <c r="V434" s="19"/>
      <c r="W434" s="21"/>
      <c r="X434" s="21"/>
      <c r="Y434" s="24"/>
      <c r="Z434" s="24"/>
      <c r="AA434" s="24"/>
      <c r="AB434" s="19"/>
      <c r="AC434" s="19"/>
      <c r="AD434" s="22"/>
      <c r="AE434" s="22"/>
      <c r="AF434" s="24"/>
    </row>
    <row r="435" spans="1:32" x14ac:dyDescent="0.25">
      <c r="A435" s="19"/>
      <c r="B435" s="21"/>
      <c r="C435" s="21"/>
      <c r="D435" s="24"/>
      <c r="E435" s="24"/>
      <c r="F435" s="24"/>
      <c r="G435" s="19"/>
      <c r="H435" s="19"/>
      <c r="I435" s="22"/>
      <c r="J435" s="22"/>
      <c r="K435" s="24"/>
      <c r="L435" s="19"/>
      <c r="V435" s="19"/>
      <c r="W435" s="21"/>
      <c r="X435" s="21"/>
      <c r="Y435" s="24"/>
      <c r="Z435" s="24"/>
      <c r="AA435" s="24"/>
      <c r="AB435" s="19"/>
      <c r="AC435" s="19"/>
      <c r="AD435" s="22"/>
      <c r="AE435" s="22"/>
      <c r="AF435" s="24"/>
    </row>
    <row r="436" spans="1:32" x14ac:dyDescent="0.25">
      <c r="A436" s="19"/>
      <c r="B436" s="21"/>
      <c r="C436" s="21"/>
      <c r="D436" s="24"/>
      <c r="E436" s="24"/>
      <c r="F436" s="24"/>
      <c r="G436" s="19"/>
      <c r="H436" s="19"/>
      <c r="I436" s="22"/>
      <c r="J436" s="22"/>
      <c r="K436" s="24"/>
      <c r="L436" s="19"/>
      <c r="V436" s="19"/>
      <c r="W436" s="21"/>
      <c r="X436" s="21"/>
      <c r="Y436" s="24"/>
      <c r="Z436" s="24"/>
      <c r="AA436" s="24"/>
      <c r="AB436" s="19"/>
      <c r="AC436" s="19"/>
      <c r="AD436" s="22"/>
      <c r="AE436" s="22"/>
      <c r="AF436" s="24"/>
    </row>
    <row r="437" spans="1:32" x14ac:dyDescent="0.25">
      <c r="A437" s="19"/>
      <c r="B437" s="21"/>
      <c r="C437" s="21"/>
      <c r="D437" s="24"/>
      <c r="E437" s="24"/>
      <c r="F437" s="24"/>
      <c r="G437" s="19"/>
      <c r="H437" s="19"/>
      <c r="I437" s="22"/>
      <c r="J437" s="22"/>
      <c r="K437" s="24"/>
      <c r="L437" s="19"/>
      <c r="V437" s="19"/>
      <c r="W437" s="21"/>
      <c r="X437" s="21"/>
      <c r="Y437" s="24"/>
      <c r="Z437" s="24"/>
      <c r="AA437" s="24"/>
      <c r="AB437" s="19"/>
      <c r="AC437" s="19"/>
      <c r="AD437" s="22"/>
      <c r="AE437" s="22"/>
      <c r="AF437" s="24"/>
    </row>
    <row r="438" spans="1:32" x14ac:dyDescent="0.25">
      <c r="A438" s="19"/>
      <c r="B438" s="21"/>
      <c r="C438" s="21"/>
      <c r="D438" s="24"/>
      <c r="E438" s="24"/>
      <c r="F438" s="24"/>
      <c r="G438" s="19"/>
      <c r="H438" s="19"/>
      <c r="I438" s="22"/>
      <c r="J438" s="22"/>
      <c r="K438" s="24"/>
      <c r="L438" s="19"/>
      <c r="V438" s="19"/>
      <c r="W438" s="21"/>
      <c r="X438" s="21"/>
      <c r="Y438" s="24"/>
      <c r="Z438" s="24"/>
      <c r="AA438" s="24"/>
      <c r="AB438" s="19"/>
      <c r="AC438" s="19"/>
      <c r="AD438" s="22"/>
      <c r="AE438" s="22"/>
      <c r="AF438" s="24"/>
    </row>
    <row r="439" spans="1:32" x14ac:dyDescent="0.25">
      <c r="A439" s="19"/>
      <c r="B439" s="21"/>
      <c r="C439" s="21"/>
      <c r="D439" s="24"/>
      <c r="E439" s="24"/>
      <c r="F439" s="24"/>
      <c r="G439" s="19"/>
      <c r="H439" s="19"/>
      <c r="I439" s="22"/>
      <c r="J439" s="22"/>
      <c r="K439" s="24"/>
      <c r="L439" s="19"/>
      <c r="V439" s="19"/>
      <c r="W439" s="21"/>
      <c r="X439" s="21"/>
      <c r="Y439" s="24"/>
      <c r="Z439" s="24"/>
      <c r="AA439" s="24"/>
      <c r="AB439" s="19"/>
      <c r="AC439" s="19"/>
      <c r="AD439" s="22"/>
      <c r="AE439" s="22"/>
      <c r="AF439" s="24"/>
    </row>
    <row r="440" spans="1:32" x14ac:dyDescent="0.25">
      <c r="A440" s="19"/>
      <c r="B440" s="21"/>
      <c r="C440" s="21"/>
      <c r="D440" s="24"/>
      <c r="E440" s="24"/>
      <c r="F440" s="24"/>
      <c r="G440" s="19"/>
      <c r="H440" s="19"/>
      <c r="I440" s="22"/>
      <c r="J440" s="22"/>
      <c r="K440" s="24"/>
      <c r="L440" s="19"/>
      <c r="V440" s="19"/>
      <c r="W440" s="21"/>
      <c r="X440" s="21"/>
      <c r="Y440" s="24"/>
      <c r="Z440" s="24"/>
      <c r="AA440" s="24"/>
      <c r="AB440" s="19"/>
      <c r="AC440" s="19"/>
      <c r="AD440" s="22"/>
      <c r="AE440" s="22"/>
      <c r="AF440" s="24"/>
    </row>
    <row r="441" spans="1:32" x14ac:dyDescent="0.25">
      <c r="A441" s="19"/>
      <c r="B441" s="21"/>
      <c r="C441" s="21"/>
      <c r="D441" s="24"/>
      <c r="E441" s="24"/>
      <c r="F441" s="24"/>
      <c r="G441" s="19"/>
      <c r="H441" s="19"/>
      <c r="I441" s="22"/>
      <c r="J441" s="22"/>
      <c r="K441" s="24"/>
      <c r="L441" s="19"/>
      <c r="V441" s="19"/>
      <c r="W441" s="21"/>
      <c r="X441" s="21"/>
      <c r="Y441" s="24"/>
      <c r="Z441" s="24"/>
      <c r="AA441" s="24"/>
      <c r="AB441" s="19"/>
      <c r="AC441" s="19"/>
      <c r="AD441" s="22"/>
      <c r="AE441" s="22"/>
      <c r="AF441" s="24"/>
    </row>
    <row r="442" spans="1:32" x14ac:dyDescent="0.25">
      <c r="A442" s="19"/>
      <c r="B442" s="21"/>
      <c r="C442" s="21"/>
      <c r="D442" s="24"/>
      <c r="E442" s="24"/>
      <c r="F442" s="24"/>
      <c r="G442" s="19"/>
      <c r="H442" s="19"/>
      <c r="I442" s="22"/>
      <c r="J442" s="22"/>
      <c r="K442" s="24"/>
      <c r="L442" s="19"/>
      <c r="V442" s="19"/>
      <c r="W442" s="21"/>
      <c r="X442" s="21"/>
      <c r="Y442" s="24"/>
      <c r="Z442" s="24"/>
      <c r="AA442" s="24"/>
      <c r="AB442" s="19"/>
      <c r="AC442" s="19"/>
      <c r="AD442" s="22"/>
      <c r="AE442" s="22"/>
      <c r="AF442" s="24"/>
    </row>
    <row r="443" spans="1:32" x14ac:dyDescent="0.25">
      <c r="A443" s="19"/>
      <c r="B443" s="21"/>
      <c r="C443" s="21"/>
      <c r="D443" s="24"/>
      <c r="E443" s="24"/>
      <c r="F443" s="24"/>
      <c r="G443" s="19"/>
      <c r="H443" s="19"/>
      <c r="I443" s="22"/>
      <c r="J443" s="22"/>
      <c r="K443" s="24"/>
      <c r="L443" s="19"/>
      <c r="V443" s="19"/>
      <c r="W443" s="21"/>
      <c r="X443" s="21"/>
      <c r="Y443" s="24"/>
      <c r="Z443" s="24"/>
      <c r="AA443" s="24"/>
      <c r="AB443" s="19"/>
      <c r="AC443" s="19"/>
      <c r="AD443" s="22"/>
      <c r="AE443" s="22"/>
      <c r="AF443" s="24"/>
    </row>
    <row r="444" spans="1:32" x14ac:dyDescent="0.25">
      <c r="A444" s="19"/>
      <c r="B444" s="21"/>
      <c r="C444" s="21"/>
      <c r="D444" s="24"/>
      <c r="E444" s="24"/>
      <c r="F444" s="24"/>
      <c r="G444" s="19"/>
      <c r="H444" s="19"/>
      <c r="I444" s="22"/>
      <c r="J444" s="22"/>
      <c r="K444" s="24"/>
      <c r="L444" s="19"/>
      <c r="V444" s="19"/>
      <c r="W444" s="21"/>
      <c r="X444" s="21"/>
      <c r="Y444" s="24"/>
      <c r="Z444" s="24"/>
      <c r="AA444" s="24"/>
      <c r="AB444" s="19"/>
      <c r="AC444" s="19"/>
      <c r="AD444" s="22"/>
      <c r="AE444" s="22"/>
      <c r="AF444" s="24"/>
    </row>
    <row r="445" spans="1:32" x14ac:dyDescent="0.25">
      <c r="A445" s="19"/>
      <c r="B445" s="21"/>
      <c r="C445" s="21"/>
      <c r="D445" s="24"/>
      <c r="E445" s="24"/>
      <c r="F445" s="24"/>
      <c r="G445" s="19"/>
      <c r="H445" s="19"/>
      <c r="I445" s="22"/>
      <c r="J445" s="22"/>
      <c r="K445" s="24"/>
      <c r="L445" s="19"/>
      <c r="V445" s="19"/>
      <c r="W445" s="21"/>
      <c r="X445" s="21"/>
      <c r="Y445" s="24"/>
      <c r="Z445" s="24"/>
      <c r="AA445" s="24"/>
      <c r="AB445" s="19"/>
      <c r="AC445" s="19"/>
      <c r="AD445" s="22"/>
      <c r="AE445" s="22"/>
      <c r="AF445" s="24"/>
    </row>
    <row r="446" spans="1:32" x14ac:dyDescent="0.25">
      <c r="A446" s="19"/>
      <c r="B446" s="21"/>
      <c r="C446" s="21"/>
      <c r="D446" s="24"/>
      <c r="E446" s="24"/>
      <c r="F446" s="24"/>
      <c r="G446" s="19"/>
      <c r="H446" s="19"/>
      <c r="I446" s="22"/>
      <c r="J446" s="22"/>
      <c r="K446" s="24"/>
      <c r="L446" s="19"/>
      <c r="V446" s="19"/>
      <c r="W446" s="21"/>
      <c r="X446" s="21"/>
      <c r="Y446" s="24"/>
      <c r="Z446" s="24"/>
      <c r="AA446" s="24"/>
      <c r="AB446" s="19"/>
      <c r="AC446" s="19"/>
      <c r="AD446" s="22"/>
      <c r="AE446" s="22"/>
      <c r="AF446" s="24"/>
    </row>
    <row r="447" spans="1:32" x14ac:dyDescent="0.25">
      <c r="A447" s="19"/>
      <c r="B447" s="21"/>
      <c r="C447" s="21"/>
      <c r="D447" s="24"/>
      <c r="E447" s="24"/>
      <c r="F447" s="24"/>
      <c r="G447" s="19"/>
      <c r="H447" s="19"/>
      <c r="I447" s="22"/>
      <c r="J447" s="22"/>
      <c r="K447" s="24"/>
      <c r="L447" s="19"/>
      <c r="V447" s="19"/>
      <c r="W447" s="21"/>
      <c r="X447" s="21"/>
      <c r="Y447" s="24"/>
      <c r="Z447" s="24"/>
      <c r="AA447" s="24"/>
      <c r="AB447" s="19"/>
      <c r="AC447" s="19"/>
      <c r="AD447" s="22"/>
      <c r="AE447" s="22"/>
      <c r="AF447" s="24"/>
    </row>
    <row r="448" spans="1:32" x14ac:dyDescent="0.25">
      <c r="A448" s="19"/>
      <c r="B448" s="21"/>
      <c r="C448" s="21"/>
      <c r="D448" s="24"/>
      <c r="E448" s="24"/>
      <c r="F448" s="24"/>
      <c r="G448" s="19"/>
      <c r="H448" s="19"/>
      <c r="I448" s="22"/>
      <c r="J448" s="22"/>
      <c r="K448" s="24"/>
      <c r="L448" s="19"/>
      <c r="V448" s="19"/>
      <c r="W448" s="21"/>
      <c r="X448" s="21"/>
      <c r="Y448" s="24"/>
      <c r="Z448" s="24"/>
      <c r="AA448" s="24"/>
      <c r="AB448" s="19"/>
      <c r="AC448" s="19"/>
      <c r="AD448" s="22"/>
      <c r="AE448" s="22"/>
      <c r="AF448" s="24"/>
    </row>
    <row r="449" spans="1:32" x14ac:dyDescent="0.25">
      <c r="A449" s="19"/>
      <c r="B449" s="21"/>
      <c r="C449" s="21"/>
      <c r="D449" s="24"/>
      <c r="E449" s="24"/>
      <c r="F449" s="24"/>
      <c r="G449" s="19"/>
      <c r="H449" s="19"/>
      <c r="I449" s="22"/>
      <c r="J449" s="22"/>
      <c r="K449" s="24"/>
      <c r="L449" s="19"/>
      <c r="V449" s="19"/>
      <c r="W449" s="21"/>
      <c r="X449" s="21"/>
      <c r="Y449" s="24"/>
      <c r="Z449" s="24"/>
      <c r="AA449" s="24"/>
      <c r="AB449" s="19"/>
      <c r="AC449" s="19"/>
      <c r="AD449" s="22"/>
      <c r="AE449" s="22"/>
      <c r="AF449" s="24"/>
    </row>
    <row r="450" spans="1:32" x14ac:dyDescent="0.25">
      <c r="A450" s="19"/>
      <c r="B450" s="21"/>
      <c r="C450" s="21"/>
      <c r="D450" s="24"/>
      <c r="E450" s="24"/>
      <c r="F450" s="24"/>
      <c r="G450" s="19"/>
      <c r="H450" s="19"/>
      <c r="I450" s="22"/>
      <c r="J450" s="22"/>
      <c r="K450" s="24"/>
      <c r="L450" s="19"/>
      <c r="V450" s="19"/>
      <c r="W450" s="21"/>
      <c r="X450" s="21"/>
      <c r="Y450" s="24"/>
      <c r="Z450" s="24"/>
      <c r="AA450" s="24"/>
      <c r="AB450" s="19"/>
      <c r="AC450" s="19"/>
      <c r="AD450" s="22"/>
      <c r="AE450" s="22"/>
      <c r="AF450" s="24"/>
    </row>
    <row r="451" spans="1:32" x14ac:dyDescent="0.25">
      <c r="A451" s="19"/>
      <c r="B451" s="21"/>
      <c r="C451" s="21"/>
      <c r="D451" s="24"/>
      <c r="E451" s="24"/>
      <c r="F451" s="24"/>
      <c r="G451" s="19"/>
      <c r="H451" s="19"/>
      <c r="I451" s="22"/>
      <c r="J451" s="22"/>
      <c r="K451" s="24"/>
      <c r="L451" s="19"/>
      <c r="V451" s="19"/>
      <c r="W451" s="21"/>
      <c r="X451" s="21"/>
      <c r="Y451" s="24"/>
      <c r="Z451" s="24"/>
      <c r="AA451" s="24"/>
      <c r="AB451" s="19"/>
      <c r="AC451" s="19"/>
      <c r="AD451" s="22"/>
      <c r="AE451" s="22"/>
      <c r="AF451" s="24"/>
    </row>
    <row r="452" spans="1:32" x14ac:dyDescent="0.25">
      <c r="A452" s="19"/>
      <c r="B452" s="21"/>
      <c r="C452" s="21"/>
      <c r="D452" s="24"/>
      <c r="E452" s="24"/>
      <c r="F452" s="24"/>
      <c r="G452" s="19"/>
      <c r="H452" s="19"/>
      <c r="I452" s="22"/>
      <c r="J452" s="22"/>
      <c r="K452" s="24"/>
      <c r="L452" s="19"/>
      <c r="V452" s="19"/>
      <c r="W452" s="21"/>
      <c r="X452" s="21"/>
      <c r="Y452" s="24"/>
      <c r="Z452" s="24"/>
      <c r="AA452" s="24"/>
      <c r="AB452" s="19"/>
      <c r="AC452" s="19"/>
      <c r="AD452" s="22"/>
      <c r="AE452" s="22"/>
      <c r="AF452" s="24"/>
    </row>
    <row r="453" spans="1:32" x14ac:dyDescent="0.25">
      <c r="A453" s="19"/>
      <c r="B453" s="21"/>
      <c r="C453" s="21"/>
      <c r="D453" s="24"/>
      <c r="E453" s="24"/>
      <c r="F453" s="24"/>
      <c r="G453" s="19"/>
      <c r="H453" s="19"/>
      <c r="I453" s="22"/>
      <c r="J453" s="22"/>
      <c r="K453" s="24"/>
      <c r="L453" s="19"/>
      <c r="V453" s="19"/>
      <c r="W453" s="21"/>
      <c r="X453" s="21"/>
      <c r="Y453" s="24"/>
      <c r="Z453" s="24"/>
      <c r="AA453" s="24"/>
      <c r="AB453" s="19"/>
      <c r="AC453" s="19"/>
      <c r="AD453" s="22"/>
      <c r="AE453" s="22"/>
      <c r="AF453" s="24"/>
    </row>
    <row r="454" spans="1:32" x14ac:dyDescent="0.25">
      <c r="A454" s="19"/>
      <c r="B454" s="21"/>
      <c r="C454" s="21"/>
      <c r="D454" s="24"/>
      <c r="E454" s="24"/>
      <c r="F454" s="24"/>
      <c r="G454" s="19"/>
      <c r="H454" s="19"/>
      <c r="I454" s="22"/>
      <c r="J454" s="22"/>
      <c r="K454" s="24"/>
      <c r="L454" s="19"/>
      <c r="V454" s="19"/>
      <c r="W454" s="21"/>
      <c r="X454" s="21"/>
      <c r="Y454" s="24"/>
      <c r="Z454" s="24"/>
      <c r="AA454" s="24"/>
      <c r="AB454" s="19"/>
      <c r="AC454" s="19"/>
      <c r="AD454" s="22"/>
      <c r="AE454" s="22"/>
      <c r="AF454" s="24"/>
    </row>
    <row r="455" spans="1:32" x14ac:dyDescent="0.25">
      <c r="A455" s="19"/>
      <c r="B455" s="21"/>
      <c r="C455" s="21"/>
      <c r="D455" s="24"/>
      <c r="E455" s="24"/>
      <c r="F455" s="24"/>
      <c r="G455" s="19"/>
      <c r="H455" s="19"/>
      <c r="I455" s="22"/>
      <c r="J455" s="22"/>
      <c r="K455" s="24"/>
      <c r="L455" s="19"/>
      <c r="V455" s="19"/>
      <c r="W455" s="21"/>
      <c r="X455" s="21"/>
      <c r="Y455" s="24"/>
      <c r="Z455" s="24"/>
      <c r="AA455" s="24"/>
      <c r="AB455" s="19"/>
      <c r="AC455" s="19"/>
      <c r="AD455" s="22"/>
      <c r="AE455" s="22"/>
      <c r="AF455" s="24"/>
    </row>
    <row r="456" spans="1:32" x14ac:dyDescent="0.25">
      <c r="A456" s="19"/>
      <c r="B456" s="21"/>
      <c r="C456" s="21"/>
      <c r="D456" s="24"/>
      <c r="E456" s="24"/>
      <c r="F456" s="24"/>
      <c r="G456" s="19"/>
      <c r="H456" s="19"/>
      <c r="I456" s="22"/>
      <c r="J456" s="22"/>
      <c r="K456" s="24"/>
      <c r="L456" s="19"/>
      <c r="V456" s="19"/>
      <c r="W456" s="21"/>
      <c r="X456" s="21"/>
      <c r="Y456" s="24"/>
      <c r="Z456" s="24"/>
      <c r="AA456" s="24"/>
      <c r="AB456" s="19"/>
      <c r="AC456" s="19"/>
      <c r="AD456" s="22"/>
      <c r="AE456" s="22"/>
      <c r="AF456" s="24"/>
    </row>
    <row r="457" spans="1:32" x14ac:dyDescent="0.25">
      <c r="A457" s="19"/>
      <c r="B457" s="21"/>
      <c r="C457" s="21"/>
      <c r="D457" s="24"/>
      <c r="E457" s="24"/>
      <c r="F457" s="24"/>
      <c r="G457" s="19"/>
      <c r="H457" s="19"/>
      <c r="I457" s="22"/>
      <c r="J457" s="22"/>
      <c r="K457" s="24"/>
      <c r="L457" s="19"/>
      <c r="V457" s="19"/>
      <c r="W457" s="21"/>
      <c r="X457" s="21"/>
      <c r="Y457" s="24"/>
      <c r="Z457" s="24"/>
      <c r="AA457" s="24"/>
      <c r="AB457" s="19"/>
      <c r="AC457" s="19"/>
      <c r="AD457" s="22"/>
      <c r="AE457" s="22"/>
      <c r="AF457" s="24"/>
    </row>
    <row r="458" spans="1:32" x14ac:dyDescent="0.25">
      <c r="A458" s="19"/>
      <c r="B458" s="21"/>
      <c r="C458" s="21"/>
      <c r="D458" s="24"/>
      <c r="E458" s="24"/>
      <c r="F458" s="24"/>
      <c r="G458" s="19"/>
      <c r="H458" s="19"/>
      <c r="I458" s="22"/>
      <c r="J458" s="22"/>
      <c r="K458" s="24"/>
      <c r="L458" s="19"/>
      <c r="V458" s="19"/>
      <c r="W458" s="21"/>
      <c r="X458" s="21"/>
      <c r="Y458" s="24"/>
      <c r="Z458" s="24"/>
      <c r="AA458" s="24"/>
      <c r="AB458" s="19"/>
      <c r="AC458" s="19"/>
      <c r="AD458" s="22"/>
      <c r="AE458" s="22"/>
      <c r="AF458" s="24"/>
    </row>
    <row r="459" spans="1:32" x14ac:dyDescent="0.25">
      <c r="A459" s="19"/>
      <c r="B459" s="21"/>
      <c r="C459" s="21"/>
      <c r="D459" s="24"/>
      <c r="E459" s="24"/>
      <c r="F459" s="24"/>
      <c r="G459" s="19"/>
      <c r="H459" s="19"/>
      <c r="I459" s="22"/>
      <c r="J459" s="22"/>
      <c r="K459" s="24"/>
      <c r="L459" s="19"/>
      <c r="V459" s="19"/>
      <c r="W459" s="21"/>
      <c r="X459" s="21"/>
      <c r="Y459" s="24"/>
      <c r="Z459" s="24"/>
      <c r="AA459" s="24"/>
      <c r="AB459" s="19"/>
      <c r="AC459" s="19"/>
      <c r="AD459" s="22"/>
      <c r="AE459" s="22"/>
      <c r="AF459" s="24"/>
    </row>
    <row r="460" spans="1:32" x14ac:dyDescent="0.25">
      <c r="A460" s="19"/>
      <c r="B460" s="21"/>
      <c r="C460" s="21"/>
      <c r="D460" s="24"/>
      <c r="E460" s="24"/>
      <c r="F460" s="24"/>
      <c r="G460" s="19"/>
      <c r="H460" s="19"/>
      <c r="I460" s="22"/>
      <c r="J460" s="22"/>
      <c r="K460" s="24"/>
      <c r="L460" s="19"/>
      <c r="V460" s="19"/>
      <c r="W460" s="21"/>
      <c r="X460" s="21"/>
      <c r="Y460" s="24"/>
      <c r="Z460" s="24"/>
      <c r="AA460" s="24"/>
      <c r="AB460" s="19"/>
      <c r="AC460" s="19"/>
      <c r="AD460" s="22"/>
      <c r="AE460" s="22"/>
      <c r="AF460" s="24"/>
    </row>
    <row r="461" spans="1:32" x14ac:dyDescent="0.25">
      <c r="A461" s="19"/>
      <c r="B461" s="21"/>
      <c r="C461" s="21"/>
      <c r="D461" s="24"/>
      <c r="E461" s="24"/>
      <c r="F461" s="24"/>
      <c r="G461" s="19"/>
      <c r="H461" s="19"/>
      <c r="I461" s="22"/>
      <c r="J461" s="22"/>
      <c r="K461" s="24"/>
      <c r="L461" s="19"/>
      <c r="V461" s="19"/>
      <c r="W461" s="21"/>
      <c r="X461" s="21"/>
      <c r="Y461" s="24"/>
      <c r="Z461" s="24"/>
      <c r="AA461" s="24"/>
      <c r="AB461" s="19"/>
      <c r="AC461" s="19"/>
      <c r="AD461" s="22"/>
      <c r="AE461" s="22"/>
      <c r="AF461" s="24"/>
    </row>
    <row r="462" spans="1:32" x14ac:dyDescent="0.25">
      <c r="A462" s="19"/>
      <c r="B462" s="21"/>
      <c r="C462" s="21"/>
      <c r="D462" s="24"/>
      <c r="E462" s="24"/>
      <c r="F462" s="24"/>
      <c r="G462" s="19"/>
      <c r="H462" s="19"/>
      <c r="I462" s="22"/>
      <c r="J462" s="22"/>
      <c r="K462" s="24"/>
      <c r="L462" s="19"/>
      <c r="V462" s="19"/>
      <c r="W462" s="21"/>
      <c r="X462" s="21"/>
      <c r="Y462" s="24"/>
      <c r="Z462" s="24"/>
      <c r="AA462" s="24"/>
      <c r="AB462" s="19"/>
      <c r="AC462" s="19"/>
      <c r="AD462" s="22"/>
      <c r="AE462" s="22"/>
      <c r="AF462" s="24"/>
    </row>
    <row r="463" spans="1:32" x14ac:dyDescent="0.25">
      <c r="A463" s="19"/>
      <c r="B463" s="21"/>
      <c r="C463" s="21"/>
      <c r="D463" s="24"/>
      <c r="E463" s="24"/>
      <c r="F463" s="24"/>
      <c r="G463" s="19"/>
      <c r="H463" s="19"/>
      <c r="I463" s="22"/>
      <c r="J463" s="22"/>
      <c r="K463" s="24"/>
      <c r="L463" s="19"/>
      <c r="V463" s="19"/>
      <c r="W463" s="21"/>
      <c r="X463" s="21"/>
      <c r="Y463" s="24"/>
      <c r="Z463" s="24"/>
      <c r="AA463" s="24"/>
      <c r="AB463" s="19"/>
      <c r="AC463" s="19"/>
      <c r="AD463" s="22"/>
      <c r="AE463" s="22"/>
      <c r="AF463" s="24"/>
    </row>
    <row r="464" spans="1:32" x14ac:dyDescent="0.25">
      <c r="A464" s="19"/>
      <c r="B464" s="21"/>
      <c r="C464" s="21"/>
      <c r="D464" s="24"/>
      <c r="E464" s="24"/>
      <c r="F464" s="24"/>
      <c r="G464" s="19"/>
      <c r="H464" s="19"/>
      <c r="I464" s="22"/>
      <c r="J464" s="22"/>
      <c r="K464" s="24"/>
      <c r="L464" s="19"/>
      <c r="V464" s="19"/>
      <c r="W464" s="21"/>
      <c r="X464" s="21"/>
      <c r="Y464" s="24"/>
      <c r="Z464" s="24"/>
      <c r="AA464" s="24"/>
      <c r="AB464" s="19"/>
      <c r="AC464" s="19"/>
      <c r="AD464" s="22"/>
      <c r="AE464" s="22"/>
      <c r="AF464" s="24"/>
    </row>
    <row r="465" spans="1:32" x14ac:dyDescent="0.25">
      <c r="A465" s="19"/>
      <c r="B465" s="21"/>
      <c r="C465" s="21"/>
      <c r="D465" s="24"/>
      <c r="E465" s="24"/>
      <c r="F465" s="24"/>
      <c r="G465" s="19"/>
      <c r="H465" s="19"/>
      <c r="I465" s="22"/>
      <c r="J465" s="22"/>
      <c r="K465" s="24"/>
      <c r="L465" s="19"/>
      <c r="V465" s="19"/>
      <c r="W465" s="21"/>
      <c r="X465" s="21"/>
      <c r="Y465" s="24"/>
      <c r="Z465" s="24"/>
      <c r="AA465" s="24"/>
      <c r="AB465" s="19"/>
      <c r="AC465" s="19"/>
      <c r="AD465" s="22"/>
      <c r="AE465" s="22"/>
      <c r="AF465" s="24"/>
    </row>
    <row r="466" spans="1:32" x14ac:dyDescent="0.25">
      <c r="A466" s="19"/>
      <c r="B466" s="21"/>
      <c r="C466" s="21"/>
      <c r="D466" s="24"/>
      <c r="E466" s="24"/>
      <c r="F466" s="24"/>
      <c r="G466" s="19"/>
      <c r="H466" s="19"/>
      <c r="I466" s="22"/>
      <c r="J466" s="22"/>
      <c r="K466" s="24"/>
      <c r="L466" s="19"/>
      <c r="V466" s="19"/>
      <c r="W466" s="21"/>
      <c r="X466" s="21"/>
      <c r="Y466" s="24"/>
      <c r="Z466" s="24"/>
      <c r="AA466" s="24"/>
      <c r="AB466" s="19"/>
      <c r="AC466" s="19"/>
      <c r="AD466" s="22"/>
      <c r="AE466" s="22"/>
      <c r="AF466" s="24"/>
    </row>
    <row r="467" spans="1:32" x14ac:dyDescent="0.25">
      <c r="A467" s="19"/>
      <c r="B467" s="21"/>
      <c r="C467" s="21"/>
      <c r="D467" s="24"/>
      <c r="E467" s="24"/>
      <c r="F467" s="24"/>
      <c r="G467" s="19"/>
      <c r="H467" s="19"/>
      <c r="I467" s="22"/>
      <c r="J467" s="22"/>
      <c r="K467" s="24"/>
      <c r="L467" s="19"/>
      <c r="V467" s="19"/>
      <c r="W467" s="21"/>
      <c r="X467" s="21"/>
      <c r="Y467" s="24"/>
      <c r="Z467" s="24"/>
      <c r="AA467" s="24"/>
      <c r="AB467" s="19"/>
      <c r="AC467" s="19"/>
      <c r="AD467" s="22"/>
      <c r="AE467" s="22"/>
      <c r="AF467" s="24"/>
    </row>
    <row r="468" spans="1:32" x14ac:dyDescent="0.25">
      <c r="A468" s="19"/>
      <c r="B468" s="21"/>
      <c r="C468" s="21"/>
      <c r="D468" s="24"/>
      <c r="E468" s="24"/>
      <c r="F468" s="24"/>
      <c r="G468" s="19"/>
      <c r="H468" s="19"/>
      <c r="I468" s="22"/>
      <c r="J468" s="22"/>
      <c r="K468" s="24"/>
      <c r="L468" s="19"/>
      <c r="V468" s="19"/>
      <c r="W468" s="21"/>
      <c r="X468" s="21"/>
      <c r="Y468" s="24"/>
      <c r="Z468" s="24"/>
      <c r="AA468" s="24"/>
      <c r="AB468" s="19"/>
      <c r="AC468" s="19"/>
      <c r="AD468" s="22"/>
      <c r="AE468" s="22"/>
      <c r="AF468" s="24"/>
    </row>
    <row r="469" spans="1:32" x14ac:dyDescent="0.25">
      <c r="A469" s="19"/>
      <c r="B469" s="21"/>
      <c r="C469" s="21"/>
      <c r="D469" s="24"/>
      <c r="E469" s="24"/>
      <c r="F469" s="24"/>
      <c r="G469" s="19"/>
      <c r="H469" s="19"/>
      <c r="I469" s="22"/>
      <c r="J469" s="22"/>
      <c r="K469" s="24"/>
      <c r="L469" s="19"/>
      <c r="V469" s="19"/>
      <c r="W469" s="21"/>
      <c r="X469" s="21"/>
      <c r="Y469" s="24"/>
      <c r="Z469" s="24"/>
      <c r="AA469" s="24"/>
      <c r="AB469" s="19"/>
      <c r="AC469" s="19"/>
      <c r="AD469" s="22"/>
      <c r="AE469" s="22"/>
      <c r="AF469" s="24"/>
    </row>
    <row r="470" spans="1:32" x14ac:dyDescent="0.25">
      <c r="A470" s="19"/>
      <c r="B470" s="21"/>
      <c r="C470" s="21"/>
      <c r="D470" s="24"/>
      <c r="E470" s="24"/>
      <c r="F470" s="24"/>
      <c r="G470" s="19"/>
      <c r="H470" s="19"/>
      <c r="I470" s="22"/>
      <c r="J470" s="22"/>
      <c r="K470" s="24"/>
      <c r="L470" s="19"/>
      <c r="V470" s="19"/>
      <c r="W470" s="21"/>
      <c r="X470" s="21"/>
      <c r="Y470" s="24"/>
      <c r="Z470" s="24"/>
      <c r="AA470" s="24"/>
      <c r="AB470" s="19"/>
      <c r="AC470" s="19"/>
      <c r="AD470" s="22"/>
      <c r="AE470" s="22"/>
      <c r="AF470" s="24"/>
    </row>
    <row r="471" spans="1:32" x14ac:dyDescent="0.25">
      <c r="A471" s="19"/>
      <c r="B471" s="21"/>
      <c r="C471" s="21"/>
      <c r="D471" s="24"/>
      <c r="E471" s="24"/>
      <c r="F471" s="24"/>
      <c r="G471" s="19"/>
      <c r="H471" s="19"/>
      <c r="I471" s="22"/>
      <c r="J471" s="22"/>
      <c r="K471" s="24"/>
      <c r="L471" s="19"/>
      <c r="V471" s="19"/>
      <c r="W471" s="21"/>
      <c r="X471" s="21"/>
      <c r="Y471" s="24"/>
      <c r="Z471" s="24"/>
      <c r="AA471" s="24"/>
      <c r="AB471" s="19"/>
      <c r="AC471" s="19"/>
      <c r="AD471" s="22"/>
      <c r="AE471" s="22"/>
      <c r="AF471" s="24"/>
    </row>
    <row r="472" spans="1:32" x14ac:dyDescent="0.25">
      <c r="A472" s="19"/>
      <c r="B472" s="21"/>
      <c r="C472" s="21"/>
      <c r="D472" s="24"/>
      <c r="E472" s="24"/>
      <c r="F472" s="24"/>
      <c r="G472" s="19"/>
      <c r="H472" s="19"/>
      <c r="I472" s="22"/>
      <c r="J472" s="22"/>
      <c r="K472" s="24"/>
      <c r="L472" s="19"/>
      <c r="V472" s="19"/>
      <c r="W472" s="21"/>
      <c r="X472" s="21"/>
      <c r="Y472" s="24"/>
      <c r="Z472" s="24"/>
      <c r="AA472" s="24"/>
      <c r="AB472" s="19"/>
      <c r="AC472" s="19"/>
      <c r="AD472" s="22"/>
      <c r="AE472" s="22"/>
      <c r="AF472" s="24"/>
    </row>
    <row r="473" spans="1:32" x14ac:dyDescent="0.25">
      <c r="A473" s="19"/>
      <c r="B473" s="21"/>
      <c r="C473" s="21"/>
      <c r="D473" s="24"/>
      <c r="E473" s="24"/>
      <c r="F473" s="24"/>
      <c r="G473" s="19"/>
      <c r="H473" s="19"/>
      <c r="I473" s="22"/>
      <c r="J473" s="22"/>
      <c r="K473" s="24"/>
      <c r="L473" s="19"/>
      <c r="V473" s="19"/>
      <c r="W473" s="21"/>
      <c r="X473" s="21"/>
      <c r="Y473" s="24"/>
      <c r="Z473" s="24"/>
      <c r="AA473" s="24"/>
      <c r="AB473" s="19"/>
      <c r="AC473" s="19"/>
      <c r="AD473" s="22"/>
      <c r="AE473" s="22"/>
      <c r="AF473" s="24"/>
    </row>
    <row r="474" spans="1:32" x14ac:dyDescent="0.25">
      <c r="A474" s="19"/>
      <c r="B474" s="21"/>
      <c r="C474" s="21"/>
      <c r="D474" s="24"/>
      <c r="E474" s="24"/>
      <c r="F474" s="24"/>
      <c r="G474" s="19"/>
      <c r="H474" s="19"/>
      <c r="I474" s="22"/>
      <c r="J474" s="22"/>
      <c r="K474" s="24"/>
      <c r="L474" s="19"/>
      <c r="V474" s="19"/>
      <c r="W474" s="21"/>
      <c r="X474" s="21"/>
      <c r="Y474" s="24"/>
      <c r="Z474" s="24"/>
      <c r="AA474" s="24"/>
      <c r="AB474" s="19"/>
      <c r="AC474" s="19"/>
      <c r="AD474" s="22"/>
      <c r="AE474" s="22"/>
      <c r="AF474" s="24"/>
    </row>
    <row r="475" spans="1:32" x14ac:dyDescent="0.25">
      <c r="A475" s="19"/>
      <c r="B475" s="21"/>
      <c r="C475" s="21"/>
      <c r="D475" s="24"/>
      <c r="E475" s="24"/>
      <c r="F475" s="24"/>
      <c r="G475" s="19"/>
      <c r="H475" s="19"/>
      <c r="I475" s="22"/>
      <c r="J475" s="22"/>
      <c r="K475" s="24"/>
      <c r="L475" s="19"/>
      <c r="V475" s="19"/>
      <c r="W475" s="21"/>
      <c r="X475" s="21"/>
      <c r="Y475" s="24"/>
      <c r="Z475" s="24"/>
      <c r="AA475" s="24"/>
      <c r="AB475" s="19"/>
      <c r="AC475" s="19"/>
      <c r="AD475" s="22"/>
      <c r="AE475" s="22"/>
      <c r="AF475" s="24"/>
    </row>
    <row r="476" spans="1:32" x14ac:dyDescent="0.25">
      <c r="A476" s="19"/>
      <c r="B476" s="21"/>
      <c r="C476" s="21"/>
      <c r="D476" s="24"/>
      <c r="E476" s="24"/>
      <c r="F476" s="24"/>
      <c r="G476" s="19"/>
      <c r="H476" s="19"/>
      <c r="I476" s="22"/>
      <c r="J476" s="22"/>
      <c r="K476" s="24"/>
      <c r="L476" s="19"/>
      <c r="V476" s="19"/>
      <c r="W476" s="21"/>
      <c r="X476" s="21"/>
      <c r="Y476" s="24"/>
      <c r="Z476" s="24"/>
      <c r="AA476" s="24"/>
      <c r="AB476" s="19"/>
      <c r="AC476" s="19"/>
      <c r="AD476" s="22"/>
      <c r="AE476" s="22"/>
      <c r="AF476" s="24"/>
    </row>
    <row r="477" spans="1:32" x14ac:dyDescent="0.25">
      <c r="A477" s="19"/>
      <c r="B477" s="21"/>
      <c r="C477" s="21"/>
      <c r="D477" s="24"/>
      <c r="E477" s="24"/>
      <c r="F477" s="24"/>
      <c r="G477" s="19"/>
      <c r="H477" s="19"/>
      <c r="I477" s="22"/>
      <c r="J477" s="22"/>
      <c r="K477" s="24"/>
      <c r="L477" s="19"/>
      <c r="V477" s="19"/>
      <c r="W477" s="21"/>
      <c r="X477" s="21"/>
      <c r="Y477" s="24"/>
      <c r="Z477" s="24"/>
      <c r="AA477" s="24"/>
      <c r="AB477" s="19"/>
      <c r="AC477" s="19"/>
      <c r="AD477" s="22"/>
      <c r="AE477" s="22"/>
      <c r="AF477" s="24"/>
    </row>
    <row r="478" spans="1:32" x14ac:dyDescent="0.25">
      <c r="A478" s="19"/>
      <c r="B478" s="21"/>
      <c r="C478" s="21"/>
      <c r="D478" s="24"/>
      <c r="E478" s="24"/>
      <c r="F478" s="24"/>
      <c r="G478" s="19"/>
      <c r="H478" s="19"/>
      <c r="I478" s="22"/>
      <c r="J478" s="22"/>
      <c r="K478" s="24"/>
      <c r="L478" s="19"/>
      <c r="V478" s="19"/>
      <c r="W478" s="21"/>
      <c r="X478" s="21"/>
      <c r="Y478" s="24"/>
      <c r="Z478" s="24"/>
      <c r="AA478" s="24"/>
      <c r="AB478" s="19"/>
      <c r="AC478" s="19"/>
      <c r="AD478" s="22"/>
      <c r="AE478" s="22"/>
      <c r="AF478" s="24"/>
    </row>
    <row r="479" spans="1:32" x14ac:dyDescent="0.25">
      <c r="A479" s="19"/>
      <c r="B479" s="21"/>
      <c r="C479" s="21"/>
      <c r="D479" s="24"/>
      <c r="E479" s="24"/>
      <c r="F479" s="24"/>
      <c r="G479" s="19"/>
      <c r="H479" s="19"/>
      <c r="I479" s="22"/>
      <c r="J479" s="22"/>
      <c r="K479" s="24"/>
      <c r="L479" s="19"/>
      <c r="V479" s="19"/>
      <c r="W479" s="21"/>
      <c r="X479" s="21"/>
      <c r="Y479" s="24"/>
      <c r="Z479" s="24"/>
      <c r="AA479" s="24"/>
      <c r="AB479" s="19"/>
      <c r="AC479" s="19"/>
      <c r="AD479" s="22"/>
      <c r="AE479" s="22"/>
      <c r="AF479" s="24"/>
    </row>
    <row r="480" spans="1:32" x14ac:dyDescent="0.25">
      <c r="A480" s="19"/>
      <c r="B480" s="21"/>
      <c r="C480" s="21"/>
      <c r="D480" s="24"/>
      <c r="E480" s="24"/>
      <c r="F480" s="24"/>
      <c r="G480" s="19"/>
      <c r="H480" s="19"/>
      <c r="I480" s="22"/>
      <c r="J480" s="22"/>
      <c r="K480" s="24"/>
      <c r="L480" s="19"/>
      <c r="V480" s="19"/>
      <c r="W480" s="21"/>
      <c r="X480" s="21"/>
      <c r="Y480" s="24"/>
      <c r="Z480" s="24"/>
      <c r="AA480" s="24"/>
      <c r="AB480" s="19"/>
      <c r="AC480" s="19"/>
      <c r="AD480" s="22"/>
      <c r="AE480" s="22"/>
      <c r="AF480" s="24"/>
    </row>
    <row r="481" spans="1:32" x14ac:dyDescent="0.25">
      <c r="A481" s="19"/>
      <c r="B481" s="21"/>
      <c r="C481" s="21"/>
      <c r="D481" s="24"/>
      <c r="E481" s="24"/>
      <c r="F481" s="24"/>
      <c r="G481" s="19"/>
      <c r="H481" s="19"/>
      <c r="I481" s="22"/>
      <c r="J481" s="22"/>
      <c r="K481" s="24"/>
      <c r="L481" s="19"/>
      <c r="V481" s="19"/>
      <c r="W481" s="21"/>
      <c r="X481" s="21"/>
      <c r="Y481" s="24"/>
      <c r="Z481" s="24"/>
      <c r="AA481" s="24"/>
      <c r="AB481" s="19"/>
      <c r="AC481" s="19"/>
      <c r="AD481" s="22"/>
      <c r="AE481" s="22"/>
      <c r="AF481" s="24"/>
    </row>
    <row r="482" spans="1:32" x14ac:dyDescent="0.25">
      <c r="A482" s="19"/>
      <c r="B482" s="21"/>
      <c r="C482" s="21"/>
      <c r="D482" s="24"/>
      <c r="E482" s="24"/>
      <c r="F482" s="24"/>
      <c r="G482" s="19"/>
      <c r="H482" s="19"/>
      <c r="I482" s="22"/>
      <c r="J482" s="22"/>
      <c r="K482" s="24"/>
      <c r="L482" s="19"/>
      <c r="V482" s="19"/>
      <c r="W482" s="21"/>
      <c r="X482" s="21"/>
      <c r="Y482" s="24"/>
      <c r="Z482" s="24"/>
      <c r="AA482" s="24"/>
      <c r="AB482" s="19"/>
      <c r="AC482" s="19"/>
      <c r="AD482" s="22"/>
      <c r="AE482" s="22"/>
      <c r="AF482" s="24"/>
    </row>
    <row r="483" spans="1:32" x14ac:dyDescent="0.25">
      <c r="A483" s="19"/>
      <c r="B483" s="21"/>
      <c r="C483" s="21"/>
      <c r="D483" s="24"/>
      <c r="E483" s="24"/>
      <c r="F483" s="24"/>
      <c r="G483" s="19"/>
      <c r="H483" s="19"/>
      <c r="I483" s="22"/>
      <c r="J483" s="22"/>
      <c r="K483" s="24"/>
      <c r="L483" s="19"/>
      <c r="V483" s="19"/>
      <c r="W483" s="21"/>
      <c r="X483" s="21"/>
      <c r="Y483" s="24"/>
      <c r="Z483" s="24"/>
      <c r="AA483" s="24"/>
      <c r="AB483" s="19"/>
      <c r="AC483" s="19"/>
      <c r="AD483" s="22"/>
      <c r="AE483" s="22"/>
      <c r="AF483" s="24"/>
    </row>
    <row r="484" spans="1:32" x14ac:dyDescent="0.25">
      <c r="A484" s="19"/>
      <c r="B484" s="21"/>
      <c r="C484" s="21"/>
      <c r="D484" s="24"/>
      <c r="E484" s="24"/>
      <c r="F484" s="24"/>
      <c r="G484" s="19"/>
      <c r="H484" s="19"/>
      <c r="I484" s="22"/>
      <c r="J484" s="22"/>
      <c r="K484" s="24"/>
      <c r="L484" s="19"/>
      <c r="V484" s="19"/>
      <c r="W484" s="21"/>
      <c r="X484" s="21"/>
      <c r="Y484" s="24"/>
      <c r="Z484" s="24"/>
      <c r="AA484" s="24"/>
      <c r="AB484" s="19"/>
      <c r="AC484" s="19"/>
      <c r="AD484" s="22"/>
      <c r="AE484" s="22"/>
      <c r="AF484" s="24"/>
    </row>
    <row r="485" spans="1:32" x14ac:dyDescent="0.25">
      <c r="A485" s="19"/>
      <c r="B485" s="21"/>
      <c r="C485" s="21"/>
      <c r="D485" s="24"/>
      <c r="E485" s="24"/>
      <c r="F485" s="24"/>
      <c r="G485" s="19"/>
      <c r="H485" s="19"/>
      <c r="I485" s="22"/>
      <c r="J485" s="22"/>
      <c r="K485" s="24"/>
      <c r="L485" s="19"/>
      <c r="V485" s="19"/>
      <c r="W485" s="21"/>
      <c r="X485" s="21"/>
      <c r="Y485" s="24"/>
      <c r="Z485" s="24"/>
      <c r="AA485" s="24"/>
      <c r="AB485" s="19"/>
      <c r="AC485" s="19"/>
      <c r="AD485" s="22"/>
      <c r="AE485" s="22"/>
      <c r="AF485" s="24"/>
    </row>
    <row r="486" spans="1:32" x14ac:dyDescent="0.25">
      <c r="A486" s="19"/>
      <c r="B486" s="21"/>
      <c r="C486" s="21"/>
      <c r="D486" s="24"/>
      <c r="E486" s="24"/>
      <c r="F486" s="24"/>
      <c r="G486" s="19"/>
      <c r="H486" s="19"/>
      <c r="I486" s="22"/>
      <c r="J486" s="22"/>
      <c r="K486" s="24"/>
      <c r="L486" s="19"/>
      <c r="V486" s="19"/>
      <c r="W486" s="21"/>
      <c r="X486" s="21"/>
      <c r="Y486" s="24"/>
      <c r="Z486" s="24"/>
      <c r="AA486" s="24"/>
      <c r="AB486" s="19"/>
      <c r="AC486" s="19"/>
      <c r="AD486" s="22"/>
      <c r="AE486" s="22"/>
      <c r="AF486" s="24"/>
    </row>
    <row r="487" spans="1:32" x14ac:dyDescent="0.25">
      <c r="A487" s="19"/>
      <c r="B487" s="21"/>
      <c r="C487" s="21"/>
      <c r="D487" s="24"/>
      <c r="E487" s="24"/>
      <c r="F487" s="24"/>
      <c r="G487" s="19"/>
      <c r="H487" s="19"/>
      <c r="I487" s="22"/>
      <c r="J487" s="22"/>
      <c r="K487" s="24"/>
      <c r="L487" s="19"/>
      <c r="V487" s="19"/>
      <c r="W487" s="21"/>
      <c r="X487" s="21"/>
      <c r="Y487" s="24"/>
      <c r="Z487" s="24"/>
      <c r="AA487" s="24"/>
      <c r="AB487" s="19"/>
      <c r="AC487" s="19"/>
      <c r="AD487" s="22"/>
      <c r="AE487" s="22"/>
      <c r="AF487" s="24"/>
    </row>
    <row r="488" spans="1:32" x14ac:dyDescent="0.25">
      <c r="A488" s="19"/>
      <c r="B488" s="21"/>
      <c r="C488" s="21"/>
      <c r="D488" s="24"/>
      <c r="E488" s="24"/>
      <c r="F488" s="24"/>
      <c r="G488" s="19"/>
      <c r="H488" s="19"/>
      <c r="I488" s="22"/>
      <c r="J488" s="22"/>
      <c r="K488" s="24"/>
      <c r="L488" s="19"/>
      <c r="V488" s="19"/>
      <c r="W488" s="21"/>
      <c r="X488" s="21"/>
      <c r="Y488" s="24"/>
      <c r="Z488" s="24"/>
      <c r="AA488" s="24"/>
      <c r="AB488" s="19"/>
      <c r="AC488" s="19"/>
      <c r="AD488" s="22"/>
      <c r="AE488" s="22"/>
      <c r="AF488" s="24"/>
    </row>
    <row r="489" spans="1:32" x14ac:dyDescent="0.25">
      <c r="A489" s="19"/>
      <c r="B489" s="21"/>
      <c r="C489" s="21"/>
      <c r="D489" s="24"/>
      <c r="E489" s="24"/>
      <c r="F489" s="24"/>
      <c r="G489" s="19"/>
      <c r="H489" s="19"/>
      <c r="I489" s="22"/>
      <c r="J489" s="22"/>
      <c r="K489" s="24"/>
      <c r="L489" s="19"/>
      <c r="V489" s="19"/>
      <c r="W489" s="21"/>
      <c r="X489" s="21"/>
      <c r="Y489" s="24"/>
      <c r="Z489" s="24"/>
      <c r="AA489" s="24"/>
      <c r="AB489" s="19"/>
      <c r="AC489" s="19"/>
      <c r="AD489" s="22"/>
      <c r="AE489" s="22"/>
      <c r="AF489" s="24"/>
    </row>
    <row r="490" spans="1:32" x14ac:dyDescent="0.25">
      <c r="A490" s="19"/>
      <c r="B490" s="21"/>
      <c r="C490" s="21"/>
      <c r="D490" s="24"/>
      <c r="E490" s="24"/>
      <c r="F490" s="24"/>
      <c r="G490" s="19"/>
      <c r="H490" s="19"/>
      <c r="I490" s="22"/>
      <c r="J490" s="22"/>
      <c r="K490" s="24"/>
      <c r="L490" s="19"/>
      <c r="V490" s="19"/>
      <c r="W490" s="21"/>
      <c r="X490" s="21"/>
      <c r="Y490" s="24"/>
      <c r="Z490" s="24"/>
      <c r="AA490" s="24"/>
      <c r="AB490" s="19"/>
      <c r="AC490" s="19"/>
      <c r="AD490" s="22"/>
      <c r="AE490" s="22"/>
      <c r="AF490" s="24"/>
    </row>
    <row r="491" spans="1:32" x14ac:dyDescent="0.25">
      <c r="A491" s="19"/>
      <c r="B491" s="21"/>
      <c r="C491" s="21"/>
      <c r="D491" s="24"/>
      <c r="E491" s="24"/>
      <c r="F491" s="24"/>
      <c r="G491" s="19"/>
      <c r="H491" s="19"/>
      <c r="I491" s="22"/>
      <c r="J491" s="22"/>
      <c r="K491" s="24"/>
      <c r="L491" s="19"/>
      <c r="V491" s="19"/>
      <c r="W491" s="21"/>
      <c r="X491" s="21"/>
      <c r="Y491" s="24"/>
      <c r="Z491" s="24"/>
      <c r="AA491" s="24"/>
      <c r="AB491" s="19"/>
      <c r="AC491" s="19"/>
      <c r="AD491" s="22"/>
      <c r="AE491" s="22"/>
      <c r="AF491" s="24"/>
    </row>
    <row r="492" spans="1:32" x14ac:dyDescent="0.25">
      <c r="A492" s="19"/>
      <c r="B492" s="21"/>
      <c r="C492" s="21"/>
      <c r="D492" s="24"/>
      <c r="E492" s="24"/>
      <c r="F492" s="24"/>
      <c r="G492" s="19"/>
      <c r="H492" s="19"/>
      <c r="I492" s="22"/>
      <c r="J492" s="22"/>
      <c r="K492" s="24"/>
      <c r="L492" s="19"/>
      <c r="V492" s="19"/>
      <c r="W492" s="21"/>
      <c r="X492" s="21"/>
      <c r="Y492" s="24"/>
      <c r="Z492" s="24"/>
      <c r="AA492" s="24"/>
      <c r="AB492" s="19"/>
      <c r="AC492" s="19"/>
      <c r="AD492" s="22"/>
      <c r="AE492" s="22"/>
      <c r="AF492" s="24"/>
    </row>
    <row r="493" spans="1:32" x14ac:dyDescent="0.25">
      <c r="A493" s="19"/>
      <c r="B493" s="21"/>
      <c r="C493" s="21"/>
      <c r="D493" s="24"/>
      <c r="E493" s="24"/>
      <c r="F493" s="24"/>
      <c r="G493" s="19"/>
      <c r="H493" s="19"/>
      <c r="I493" s="22"/>
      <c r="J493" s="22"/>
      <c r="K493" s="24"/>
      <c r="L493" s="19"/>
      <c r="V493" s="19"/>
      <c r="W493" s="21"/>
      <c r="X493" s="21"/>
      <c r="Y493" s="24"/>
      <c r="Z493" s="24"/>
      <c r="AA493" s="24"/>
      <c r="AB493" s="19"/>
      <c r="AC493" s="19"/>
      <c r="AD493" s="22"/>
      <c r="AE493" s="22"/>
      <c r="AF493" s="24"/>
    </row>
    <row r="494" spans="1:32" x14ac:dyDescent="0.25">
      <c r="A494" s="19"/>
      <c r="B494" s="21"/>
      <c r="C494" s="21"/>
      <c r="D494" s="24"/>
      <c r="E494" s="24"/>
      <c r="F494" s="24"/>
      <c r="G494" s="19"/>
      <c r="H494" s="19"/>
      <c r="I494" s="22"/>
      <c r="J494" s="22"/>
      <c r="K494" s="24"/>
      <c r="L494" s="19"/>
      <c r="V494" s="19"/>
      <c r="W494" s="21"/>
      <c r="X494" s="21"/>
      <c r="Y494" s="24"/>
      <c r="Z494" s="24"/>
      <c r="AA494" s="24"/>
      <c r="AB494" s="19"/>
      <c r="AC494" s="19"/>
      <c r="AD494" s="22"/>
      <c r="AE494" s="22"/>
      <c r="AF494" s="24"/>
    </row>
    <row r="495" spans="1:32" x14ac:dyDescent="0.25">
      <c r="A495" s="19"/>
      <c r="B495" s="21"/>
      <c r="C495" s="21"/>
      <c r="D495" s="24"/>
      <c r="E495" s="24"/>
      <c r="F495" s="24"/>
      <c r="G495" s="19"/>
      <c r="H495" s="19"/>
      <c r="I495" s="22"/>
      <c r="J495" s="22"/>
      <c r="K495" s="24"/>
      <c r="L495" s="19"/>
      <c r="V495" s="19"/>
      <c r="W495" s="21"/>
      <c r="X495" s="21"/>
      <c r="Y495" s="24"/>
      <c r="Z495" s="24"/>
      <c r="AA495" s="24"/>
      <c r="AB495" s="19"/>
      <c r="AC495" s="19"/>
      <c r="AD495" s="22"/>
      <c r="AE495" s="22"/>
      <c r="AF495" s="24"/>
    </row>
    <row r="496" spans="1:32" x14ac:dyDescent="0.25">
      <c r="A496" s="19"/>
      <c r="B496" s="21"/>
      <c r="C496" s="21"/>
      <c r="D496" s="24"/>
      <c r="E496" s="24"/>
      <c r="F496" s="24"/>
      <c r="G496" s="19"/>
      <c r="H496" s="19"/>
      <c r="I496" s="22"/>
      <c r="J496" s="22"/>
      <c r="K496" s="24"/>
      <c r="L496" s="19"/>
      <c r="V496" s="19"/>
      <c r="W496" s="21"/>
      <c r="X496" s="21"/>
      <c r="Y496" s="24"/>
      <c r="Z496" s="24"/>
      <c r="AA496" s="24"/>
      <c r="AB496" s="19"/>
      <c r="AC496" s="19"/>
      <c r="AD496" s="22"/>
      <c r="AE496" s="22"/>
      <c r="AF496" s="24"/>
    </row>
    <row r="497" spans="1:32" x14ac:dyDescent="0.25">
      <c r="A497" s="19"/>
      <c r="B497" s="21"/>
      <c r="C497" s="21"/>
      <c r="D497" s="24"/>
      <c r="E497" s="24"/>
      <c r="F497" s="24"/>
      <c r="G497" s="19"/>
      <c r="H497" s="19"/>
      <c r="I497" s="22"/>
      <c r="J497" s="22"/>
      <c r="K497" s="24"/>
      <c r="L497" s="19"/>
      <c r="V497" s="19"/>
      <c r="W497" s="21"/>
      <c r="X497" s="21"/>
      <c r="Y497" s="24"/>
      <c r="Z497" s="24"/>
      <c r="AA497" s="24"/>
      <c r="AB497" s="19"/>
      <c r="AC497" s="19"/>
      <c r="AD497" s="22"/>
      <c r="AE497" s="22"/>
      <c r="AF497" s="24"/>
    </row>
    <row r="498" spans="1:32" x14ac:dyDescent="0.25">
      <c r="A498" s="19"/>
      <c r="B498" s="21"/>
      <c r="C498" s="21"/>
      <c r="D498" s="24"/>
      <c r="E498" s="24"/>
      <c r="F498" s="24"/>
      <c r="G498" s="19"/>
      <c r="H498" s="19"/>
      <c r="I498" s="22"/>
      <c r="J498" s="22"/>
      <c r="K498" s="24"/>
      <c r="L498" s="19"/>
      <c r="V498" s="19"/>
      <c r="W498" s="21"/>
      <c r="X498" s="21"/>
      <c r="Y498" s="24"/>
      <c r="Z498" s="24"/>
      <c r="AA498" s="24"/>
      <c r="AB498" s="19"/>
      <c r="AC498" s="19"/>
      <c r="AD498" s="22"/>
      <c r="AE498" s="22"/>
      <c r="AF498" s="24"/>
    </row>
    <row r="499" spans="1:32" x14ac:dyDescent="0.25">
      <c r="A499" s="19"/>
      <c r="B499" s="21"/>
      <c r="C499" s="21"/>
      <c r="D499" s="24"/>
      <c r="E499" s="24"/>
      <c r="F499" s="24"/>
      <c r="G499" s="19"/>
      <c r="H499" s="19"/>
      <c r="I499" s="22"/>
      <c r="J499" s="22"/>
      <c r="K499" s="24"/>
      <c r="L499" s="19"/>
      <c r="V499" s="19"/>
      <c r="W499" s="21"/>
      <c r="X499" s="21"/>
      <c r="Y499" s="24"/>
      <c r="Z499" s="24"/>
      <c r="AA499" s="24"/>
      <c r="AB499" s="19"/>
      <c r="AC499" s="19"/>
      <c r="AD499" s="22"/>
      <c r="AE499" s="22"/>
      <c r="AF499" s="24"/>
    </row>
    <row r="500" spans="1:32" x14ac:dyDescent="0.25">
      <c r="A500" s="19"/>
      <c r="B500" s="21"/>
      <c r="C500" s="21"/>
      <c r="D500" s="24"/>
      <c r="E500" s="24"/>
      <c r="F500" s="24"/>
      <c r="G500" s="19"/>
      <c r="H500" s="19"/>
      <c r="I500" s="22"/>
      <c r="J500" s="22"/>
      <c r="K500" s="24"/>
      <c r="L500" s="19"/>
      <c r="V500" s="19"/>
      <c r="W500" s="21"/>
      <c r="X500" s="21"/>
      <c r="Y500" s="24"/>
      <c r="Z500" s="24"/>
      <c r="AA500" s="24"/>
      <c r="AB500" s="19"/>
      <c r="AC500" s="19"/>
      <c r="AD500" s="22"/>
      <c r="AE500" s="22"/>
      <c r="AF500" s="24"/>
    </row>
    <row r="501" spans="1:32" x14ac:dyDescent="0.25">
      <c r="A501" s="19"/>
      <c r="B501" s="21"/>
      <c r="C501" s="21"/>
      <c r="D501" s="24"/>
      <c r="E501" s="24"/>
      <c r="F501" s="24"/>
      <c r="G501" s="19"/>
      <c r="H501" s="19"/>
      <c r="I501" s="22"/>
      <c r="J501" s="22"/>
      <c r="K501" s="24"/>
      <c r="L501" s="19"/>
      <c r="V501" s="19"/>
      <c r="W501" s="21"/>
      <c r="X501" s="21"/>
      <c r="Y501" s="24"/>
      <c r="Z501" s="24"/>
      <c r="AA501" s="24"/>
      <c r="AB501" s="19"/>
      <c r="AC501" s="19"/>
      <c r="AD501" s="22"/>
      <c r="AE501" s="22"/>
      <c r="AF501" s="24"/>
    </row>
    <row r="502" spans="1:32" x14ac:dyDescent="0.25">
      <c r="A502" s="19"/>
      <c r="B502" s="21"/>
      <c r="C502" s="21"/>
      <c r="D502" s="24"/>
      <c r="E502" s="24"/>
      <c r="F502" s="24"/>
      <c r="G502" s="19"/>
      <c r="H502" s="19"/>
      <c r="I502" s="22"/>
      <c r="J502" s="22"/>
      <c r="K502" s="24"/>
      <c r="L502" s="19"/>
      <c r="V502" s="19"/>
      <c r="W502" s="21"/>
      <c r="X502" s="21"/>
      <c r="Y502" s="24"/>
      <c r="Z502" s="24"/>
      <c r="AA502" s="24"/>
      <c r="AB502" s="19"/>
      <c r="AC502" s="19"/>
      <c r="AD502" s="22"/>
      <c r="AE502" s="22"/>
      <c r="AF502" s="24"/>
    </row>
    <row r="503" spans="1:32" x14ac:dyDescent="0.25">
      <c r="A503" s="19"/>
      <c r="B503" s="21"/>
      <c r="C503" s="21"/>
      <c r="D503" s="24"/>
      <c r="E503" s="24"/>
      <c r="F503" s="24"/>
      <c r="G503" s="19"/>
      <c r="H503" s="19"/>
      <c r="I503" s="22"/>
      <c r="J503" s="22"/>
      <c r="K503" s="24"/>
      <c r="L503" s="19"/>
      <c r="V503" s="19"/>
      <c r="W503" s="21"/>
      <c r="X503" s="21"/>
      <c r="Y503" s="24"/>
      <c r="Z503" s="24"/>
      <c r="AA503" s="24"/>
      <c r="AB503" s="19"/>
      <c r="AC503" s="19"/>
      <c r="AD503" s="22"/>
      <c r="AE503" s="22"/>
      <c r="AF503" s="24"/>
    </row>
    <row r="504" spans="1:32" x14ac:dyDescent="0.25">
      <c r="A504" s="19"/>
      <c r="B504" s="21"/>
      <c r="C504" s="21"/>
      <c r="D504" s="24"/>
      <c r="E504" s="24"/>
      <c r="F504" s="24"/>
      <c r="G504" s="19"/>
      <c r="H504" s="19"/>
      <c r="I504" s="22"/>
      <c r="J504" s="22"/>
      <c r="K504" s="24"/>
      <c r="L504" s="19"/>
      <c r="V504" s="19"/>
      <c r="W504" s="21"/>
      <c r="X504" s="21"/>
      <c r="Y504" s="24"/>
      <c r="Z504" s="24"/>
      <c r="AA504" s="24"/>
      <c r="AB504" s="19"/>
      <c r="AC504" s="19"/>
      <c r="AD504" s="22"/>
      <c r="AE504" s="22"/>
      <c r="AF504" s="24"/>
    </row>
    <row r="505" spans="1:32" x14ac:dyDescent="0.25">
      <c r="A505" s="19"/>
      <c r="B505" s="21"/>
      <c r="C505" s="21"/>
      <c r="D505" s="24"/>
      <c r="E505" s="24"/>
      <c r="F505" s="24"/>
      <c r="G505" s="19"/>
      <c r="H505" s="19"/>
      <c r="I505" s="22"/>
      <c r="J505" s="22"/>
      <c r="K505" s="24"/>
      <c r="L505" s="19"/>
      <c r="V505" s="19"/>
      <c r="W505" s="21"/>
      <c r="X505" s="21"/>
      <c r="Y505" s="24"/>
      <c r="Z505" s="24"/>
      <c r="AA505" s="24"/>
      <c r="AB505" s="19"/>
      <c r="AC505" s="19"/>
      <c r="AD505" s="22"/>
      <c r="AE505" s="22"/>
      <c r="AF505" s="24"/>
    </row>
    <row r="506" spans="1:32" x14ac:dyDescent="0.25">
      <c r="A506" s="19"/>
      <c r="B506" s="21"/>
      <c r="C506" s="21"/>
      <c r="D506" s="24"/>
      <c r="E506" s="24"/>
      <c r="F506" s="24"/>
      <c r="G506" s="19"/>
      <c r="H506" s="19"/>
      <c r="I506" s="22"/>
      <c r="J506" s="22"/>
      <c r="K506" s="24"/>
      <c r="L506" s="19"/>
      <c r="V506" s="19"/>
      <c r="W506" s="21"/>
      <c r="X506" s="21"/>
      <c r="Y506" s="24"/>
      <c r="Z506" s="24"/>
      <c r="AA506" s="24"/>
      <c r="AB506" s="19"/>
      <c r="AC506" s="19"/>
      <c r="AD506" s="22"/>
      <c r="AE506" s="22"/>
      <c r="AF506" s="24"/>
    </row>
    <row r="507" spans="1:32" x14ac:dyDescent="0.25">
      <c r="A507" s="19"/>
      <c r="B507" s="21"/>
      <c r="C507" s="21"/>
      <c r="D507" s="24"/>
      <c r="E507" s="24"/>
      <c r="F507" s="24"/>
      <c r="G507" s="19"/>
      <c r="H507" s="19"/>
      <c r="I507" s="22"/>
      <c r="J507" s="22"/>
      <c r="K507" s="24"/>
      <c r="L507" s="19"/>
      <c r="V507" s="19"/>
      <c r="W507" s="21"/>
      <c r="X507" s="21"/>
      <c r="Y507" s="24"/>
      <c r="Z507" s="24"/>
      <c r="AA507" s="24"/>
      <c r="AB507" s="19"/>
      <c r="AC507" s="19"/>
      <c r="AD507" s="22"/>
      <c r="AE507" s="22"/>
      <c r="AF507" s="24"/>
    </row>
    <row r="508" spans="1:32" x14ac:dyDescent="0.25">
      <c r="A508" s="19"/>
      <c r="B508" s="21"/>
      <c r="C508" s="21"/>
      <c r="D508" s="24"/>
      <c r="E508" s="24"/>
      <c r="F508" s="24"/>
      <c r="G508" s="19"/>
      <c r="H508" s="19"/>
      <c r="I508" s="22"/>
      <c r="J508" s="22"/>
      <c r="K508" s="24"/>
      <c r="L508" s="19"/>
      <c r="V508" s="19"/>
      <c r="W508" s="21"/>
      <c r="X508" s="21"/>
      <c r="Y508" s="24"/>
      <c r="Z508" s="24"/>
      <c r="AA508" s="24"/>
      <c r="AB508" s="19"/>
      <c r="AC508" s="19"/>
      <c r="AD508" s="22"/>
      <c r="AE508" s="22"/>
      <c r="AF508" s="24"/>
    </row>
    <row r="509" spans="1:32" x14ac:dyDescent="0.25">
      <c r="A509" s="19"/>
      <c r="B509" s="21"/>
      <c r="C509" s="21"/>
      <c r="D509" s="24"/>
      <c r="E509" s="24"/>
      <c r="F509" s="24"/>
      <c r="G509" s="19"/>
      <c r="H509" s="19"/>
      <c r="I509" s="22"/>
      <c r="J509" s="22"/>
      <c r="K509" s="24"/>
      <c r="L509" s="19"/>
      <c r="V509" s="19"/>
      <c r="W509" s="21"/>
      <c r="X509" s="21"/>
      <c r="Y509" s="24"/>
      <c r="Z509" s="24"/>
      <c r="AA509" s="24"/>
      <c r="AB509" s="19"/>
      <c r="AC509" s="19"/>
      <c r="AD509" s="22"/>
      <c r="AE509" s="22"/>
      <c r="AF509" s="24"/>
    </row>
    <row r="510" spans="1:32" x14ac:dyDescent="0.25">
      <c r="A510" s="19"/>
      <c r="B510" s="21"/>
      <c r="C510" s="21"/>
      <c r="D510" s="24"/>
      <c r="E510" s="24"/>
      <c r="F510" s="24"/>
      <c r="G510" s="19"/>
      <c r="H510" s="19"/>
      <c r="I510" s="22"/>
      <c r="J510" s="22"/>
      <c r="K510" s="24"/>
      <c r="L510" s="19"/>
      <c r="V510" s="19"/>
      <c r="W510" s="21"/>
      <c r="X510" s="21"/>
      <c r="Y510" s="24"/>
      <c r="Z510" s="24"/>
      <c r="AA510" s="24"/>
      <c r="AB510" s="19"/>
      <c r="AC510" s="19"/>
      <c r="AD510" s="22"/>
      <c r="AE510" s="22"/>
      <c r="AF510" s="24"/>
    </row>
    <row r="511" spans="1:32" x14ac:dyDescent="0.25">
      <c r="A511" s="19"/>
      <c r="B511" s="21"/>
      <c r="C511" s="21"/>
      <c r="D511" s="24"/>
      <c r="E511" s="24"/>
      <c r="F511" s="24"/>
      <c r="G511" s="19"/>
      <c r="H511" s="19"/>
      <c r="I511" s="22"/>
      <c r="J511" s="22"/>
      <c r="K511" s="24"/>
      <c r="L511" s="19"/>
      <c r="V511" s="19"/>
      <c r="W511" s="21"/>
      <c r="X511" s="21"/>
      <c r="Y511" s="24"/>
      <c r="Z511" s="24"/>
      <c r="AA511" s="24"/>
      <c r="AB511" s="19"/>
      <c r="AC511" s="19"/>
      <c r="AD511" s="22"/>
      <c r="AE511" s="22"/>
      <c r="AF511" s="24"/>
    </row>
    <row r="512" spans="1:32" x14ac:dyDescent="0.25">
      <c r="A512" s="19"/>
      <c r="B512" s="21"/>
      <c r="C512" s="21"/>
      <c r="D512" s="24"/>
      <c r="E512" s="24"/>
      <c r="F512" s="24"/>
      <c r="G512" s="19"/>
      <c r="H512" s="19"/>
      <c r="I512" s="22"/>
      <c r="J512" s="22"/>
      <c r="K512" s="24"/>
      <c r="L512" s="19"/>
      <c r="V512" s="19"/>
      <c r="W512" s="21"/>
      <c r="X512" s="21"/>
      <c r="Y512" s="24"/>
      <c r="Z512" s="24"/>
      <c r="AA512" s="24"/>
      <c r="AB512" s="19"/>
      <c r="AC512" s="19"/>
      <c r="AD512" s="22"/>
      <c r="AE512" s="22"/>
      <c r="AF512" s="24"/>
    </row>
    <row r="513" spans="1:32" x14ac:dyDescent="0.25">
      <c r="A513" s="19"/>
      <c r="B513" s="21"/>
      <c r="C513" s="21"/>
      <c r="D513" s="24"/>
      <c r="E513" s="24"/>
      <c r="F513" s="24"/>
      <c r="G513" s="19"/>
      <c r="H513" s="19"/>
      <c r="I513" s="22"/>
      <c r="J513" s="22"/>
      <c r="K513" s="24"/>
      <c r="L513" s="19"/>
      <c r="V513" s="19"/>
      <c r="W513" s="21"/>
      <c r="X513" s="21"/>
      <c r="Y513" s="24"/>
      <c r="Z513" s="24"/>
      <c r="AA513" s="24"/>
      <c r="AB513" s="19"/>
      <c r="AC513" s="19"/>
      <c r="AD513" s="22"/>
      <c r="AE513" s="22"/>
      <c r="AF513" s="24"/>
    </row>
    <row r="514" spans="1:32" x14ac:dyDescent="0.25">
      <c r="A514" s="19"/>
      <c r="B514" s="21"/>
      <c r="C514" s="21"/>
      <c r="D514" s="24"/>
      <c r="E514" s="24"/>
      <c r="F514" s="24"/>
      <c r="G514" s="19"/>
      <c r="H514" s="19"/>
      <c r="I514" s="22"/>
      <c r="J514" s="22"/>
      <c r="K514" s="24"/>
      <c r="L514" s="19"/>
      <c r="V514" s="19"/>
      <c r="W514" s="21"/>
      <c r="X514" s="21"/>
      <c r="Y514" s="24"/>
      <c r="Z514" s="24"/>
      <c r="AA514" s="24"/>
      <c r="AB514" s="19"/>
      <c r="AC514" s="19"/>
      <c r="AD514" s="22"/>
      <c r="AE514" s="22"/>
      <c r="AF514" s="24"/>
    </row>
    <row r="515" spans="1:32" x14ac:dyDescent="0.25">
      <c r="A515" s="19"/>
      <c r="B515" s="21"/>
      <c r="C515" s="21"/>
      <c r="D515" s="24"/>
      <c r="E515" s="24"/>
      <c r="F515" s="24"/>
      <c r="G515" s="19"/>
      <c r="H515" s="19"/>
      <c r="I515" s="22"/>
      <c r="J515" s="22"/>
      <c r="K515" s="24"/>
      <c r="L515" s="19"/>
      <c r="V515" s="19"/>
      <c r="W515" s="21"/>
      <c r="X515" s="21"/>
      <c r="Y515" s="24"/>
      <c r="Z515" s="24"/>
      <c r="AA515" s="24"/>
      <c r="AB515" s="19"/>
      <c r="AC515" s="19"/>
      <c r="AD515" s="22"/>
      <c r="AE515" s="22"/>
      <c r="AF515" s="24"/>
    </row>
    <row r="516" spans="1:32" x14ac:dyDescent="0.25">
      <c r="A516" s="19"/>
      <c r="B516" s="21"/>
      <c r="C516" s="21"/>
      <c r="D516" s="24"/>
      <c r="E516" s="24"/>
      <c r="F516" s="24"/>
      <c r="G516" s="19"/>
      <c r="H516" s="19"/>
      <c r="I516" s="22"/>
      <c r="J516" s="22"/>
      <c r="K516" s="24"/>
      <c r="L516" s="19"/>
      <c r="V516" s="19"/>
      <c r="W516" s="21"/>
      <c r="X516" s="21"/>
      <c r="Y516" s="24"/>
      <c r="Z516" s="24"/>
      <c r="AA516" s="24"/>
      <c r="AB516" s="19"/>
      <c r="AC516" s="19"/>
      <c r="AD516" s="22"/>
      <c r="AE516" s="22"/>
      <c r="AF516" s="24"/>
    </row>
    <row r="517" spans="1:32" x14ac:dyDescent="0.25">
      <c r="A517" s="19"/>
      <c r="B517" s="21"/>
      <c r="C517" s="21"/>
      <c r="D517" s="24"/>
      <c r="E517" s="24"/>
      <c r="F517" s="24"/>
      <c r="G517" s="19"/>
      <c r="H517" s="19"/>
      <c r="I517" s="22"/>
      <c r="J517" s="22"/>
      <c r="K517" s="24"/>
      <c r="L517" s="19"/>
      <c r="V517" s="19"/>
      <c r="W517" s="21"/>
      <c r="X517" s="21"/>
      <c r="Y517" s="24"/>
      <c r="Z517" s="24"/>
      <c r="AA517" s="24"/>
      <c r="AB517" s="19"/>
      <c r="AC517" s="19"/>
      <c r="AD517" s="22"/>
      <c r="AE517" s="22"/>
      <c r="AF517" s="24"/>
    </row>
    <row r="518" spans="1:32" x14ac:dyDescent="0.25">
      <c r="A518" s="19"/>
      <c r="B518" s="21"/>
      <c r="C518" s="21"/>
      <c r="D518" s="24"/>
      <c r="E518" s="24"/>
      <c r="F518" s="24"/>
      <c r="G518" s="19"/>
      <c r="H518" s="19"/>
      <c r="I518" s="22"/>
      <c r="J518" s="22"/>
      <c r="K518" s="24"/>
      <c r="L518" s="19"/>
      <c r="V518" s="19"/>
      <c r="W518" s="21"/>
      <c r="X518" s="21"/>
      <c r="Y518" s="24"/>
      <c r="Z518" s="24"/>
      <c r="AA518" s="24"/>
      <c r="AB518" s="19"/>
      <c r="AC518" s="19"/>
      <c r="AD518" s="22"/>
      <c r="AE518" s="22"/>
      <c r="AF518" s="24"/>
    </row>
    <row r="519" spans="1:32" x14ac:dyDescent="0.25">
      <c r="A519" s="19"/>
      <c r="B519" s="21"/>
      <c r="C519" s="21"/>
      <c r="D519" s="24"/>
      <c r="E519" s="24"/>
      <c r="F519" s="24"/>
      <c r="G519" s="19"/>
      <c r="H519" s="19"/>
      <c r="I519" s="22"/>
      <c r="J519" s="22"/>
      <c r="K519" s="24"/>
      <c r="L519" s="19"/>
      <c r="V519" s="19"/>
      <c r="W519" s="21"/>
      <c r="X519" s="21"/>
      <c r="Y519" s="24"/>
      <c r="Z519" s="24"/>
      <c r="AA519" s="24"/>
      <c r="AB519" s="19"/>
      <c r="AC519" s="19"/>
      <c r="AD519" s="22"/>
      <c r="AE519" s="22"/>
      <c r="AF519" s="24"/>
    </row>
    <row r="520" spans="1:32" x14ac:dyDescent="0.25">
      <c r="A520" s="19"/>
      <c r="B520" s="21"/>
      <c r="C520" s="21"/>
      <c r="D520" s="24"/>
      <c r="E520" s="24"/>
      <c r="F520" s="24"/>
      <c r="G520" s="19"/>
      <c r="H520" s="19"/>
      <c r="I520" s="22"/>
      <c r="J520" s="22"/>
      <c r="K520" s="24"/>
      <c r="L520" s="19"/>
      <c r="V520" s="19"/>
      <c r="W520" s="21"/>
      <c r="X520" s="21"/>
      <c r="Y520" s="24"/>
      <c r="Z520" s="24"/>
      <c r="AA520" s="24"/>
      <c r="AB520" s="19"/>
      <c r="AC520" s="19"/>
      <c r="AD520" s="22"/>
      <c r="AE520" s="22"/>
      <c r="AF520" s="24"/>
    </row>
    <row r="521" spans="1:32" x14ac:dyDescent="0.25">
      <c r="A521" s="19"/>
      <c r="B521" s="21"/>
      <c r="C521" s="21"/>
      <c r="D521" s="24"/>
      <c r="E521" s="24"/>
      <c r="F521" s="24"/>
      <c r="G521" s="19"/>
      <c r="H521" s="19"/>
      <c r="I521" s="22"/>
      <c r="J521" s="22"/>
      <c r="K521" s="24"/>
      <c r="L521" s="19"/>
      <c r="V521" s="19"/>
      <c r="W521" s="21"/>
      <c r="X521" s="21"/>
      <c r="Y521" s="24"/>
      <c r="Z521" s="24"/>
      <c r="AA521" s="24"/>
      <c r="AB521" s="19"/>
      <c r="AC521" s="19"/>
      <c r="AD521" s="22"/>
      <c r="AE521" s="22"/>
      <c r="AF521" s="24"/>
    </row>
    <row r="522" spans="1:32" x14ac:dyDescent="0.25">
      <c r="A522" s="19"/>
      <c r="B522" s="21"/>
      <c r="C522" s="21"/>
      <c r="D522" s="24"/>
      <c r="E522" s="24"/>
      <c r="F522" s="24"/>
      <c r="G522" s="19"/>
      <c r="H522" s="19"/>
      <c r="I522" s="22"/>
      <c r="J522" s="22"/>
      <c r="K522" s="24"/>
      <c r="L522" s="19"/>
      <c r="V522" s="19"/>
      <c r="W522" s="21"/>
      <c r="X522" s="21"/>
      <c r="Y522" s="24"/>
      <c r="Z522" s="24"/>
      <c r="AA522" s="24"/>
      <c r="AB522" s="19"/>
      <c r="AC522" s="19"/>
      <c r="AD522" s="22"/>
      <c r="AE522" s="22"/>
      <c r="AF522" s="24"/>
    </row>
    <row r="523" spans="1:32" x14ac:dyDescent="0.25">
      <c r="A523" s="19"/>
      <c r="B523" s="21"/>
      <c r="C523" s="21"/>
      <c r="D523" s="24"/>
      <c r="E523" s="24"/>
      <c r="F523" s="24"/>
      <c r="G523" s="19"/>
      <c r="H523" s="19"/>
      <c r="I523" s="22"/>
      <c r="J523" s="22"/>
      <c r="K523" s="24"/>
      <c r="L523" s="19"/>
      <c r="V523" s="19"/>
      <c r="W523" s="21"/>
      <c r="X523" s="21"/>
      <c r="Y523" s="24"/>
      <c r="Z523" s="24"/>
      <c r="AA523" s="24"/>
      <c r="AB523" s="19"/>
      <c r="AC523" s="19"/>
      <c r="AD523" s="22"/>
      <c r="AE523" s="22"/>
      <c r="AF523" s="24"/>
    </row>
    <row r="524" spans="1:32" x14ac:dyDescent="0.25">
      <c r="A524" s="19"/>
      <c r="B524" s="21"/>
      <c r="C524" s="21"/>
      <c r="D524" s="24"/>
      <c r="E524" s="24"/>
      <c r="F524" s="24"/>
      <c r="G524" s="19"/>
      <c r="H524" s="19"/>
      <c r="I524" s="22"/>
      <c r="J524" s="22"/>
      <c r="K524" s="24"/>
      <c r="L524" s="19"/>
      <c r="V524" s="19"/>
      <c r="W524" s="21"/>
      <c r="X524" s="21"/>
      <c r="Y524" s="24"/>
      <c r="Z524" s="24"/>
      <c r="AA524" s="24"/>
      <c r="AB524" s="19"/>
      <c r="AC524" s="19"/>
      <c r="AD524" s="22"/>
      <c r="AE524" s="22"/>
      <c r="AF524" s="24"/>
    </row>
    <row r="525" spans="1:32" x14ac:dyDescent="0.25">
      <c r="A525" s="19"/>
      <c r="B525" s="21"/>
      <c r="C525" s="21"/>
      <c r="D525" s="24"/>
      <c r="E525" s="24"/>
      <c r="F525" s="24"/>
      <c r="G525" s="19"/>
      <c r="H525" s="19"/>
      <c r="I525" s="22"/>
      <c r="J525" s="22"/>
      <c r="K525" s="24"/>
      <c r="L525" s="19"/>
      <c r="V525" s="19"/>
      <c r="W525" s="21"/>
      <c r="X525" s="21"/>
      <c r="Y525" s="24"/>
      <c r="Z525" s="24"/>
      <c r="AA525" s="24"/>
      <c r="AB525" s="19"/>
      <c r="AC525" s="19"/>
      <c r="AD525" s="22"/>
      <c r="AE525" s="22"/>
      <c r="AF525" s="24"/>
    </row>
    <row r="526" spans="1:32" x14ac:dyDescent="0.25">
      <c r="A526" s="19"/>
      <c r="B526" s="21"/>
      <c r="C526" s="21"/>
      <c r="D526" s="24"/>
      <c r="E526" s="24"/>
      <c r="F526" s="24"/>
      <c r="G526" s="19"/>
      <c r="H526" s="19"/>
      <c r="I526" s="22"/>
      <c r="J526" s="22"/>
      <c r="K526" s="24"/>
      <c r="L526" s="19"/>
      <c r="V526" s="19"/>
      <c r="W526" s="21"/>
      <c r="X526" s="21"/>
      <c r="Y526" s="24"/>
      <c r="Z526" s="24"/>
      <c r="AA526" s="24"/>
      <c r="AB526" s="19"/>
      <c r="AC526" s="19"/>
      <c r="AD526" s="22"/>
      <c r="AE526" s="22"/>
      <c r="AF526" s="24"/>
    </row>
    <row r="527" spans="1:32" x14ac:dyDescent="0.25">
      <c r="A527" s="19"/>
      <c r="B527" s="21"/>
      <c r="C527" s="21"/>
      <c r="D527" s="24"/>
      <c r="E527" s="24"/>
      <c r="F527" s="24"/>
      <c r="G527" s="19"/>
      <c r="H527" s="19"/>
      <c r="I527" s="22"/>
      <c r="J527" s="22"/>
      <c r="K527" s="24"/>
      <c r="L527" s="19"/>
      <c r="V527" s="19"/>
      <c r="W527" s="21"/>
      <c r="X527" s="21"/>
      <c r="Y527" s="24"/>
      <c r="Z527" s="24"/>
      <c r="AA527" s="24"/>
      <c r="AB527" s="19"/>
      <c r="AC527" s="19"/>
      <c r="AD527" s="22"/>
      <c r="AE527" s="22"/>
      <c r="AF527" s="24"/>
    </row>
    <row r="528" spans="1:32" x14ac:dyDescent="0.25">
      <c r="A528" s="19"/>
      <c r="B528" s="21"/>
      <c r="C528" s="21"/>
      <c r="D528" s="24"/>
      <c r="E528" s="24"/>
      <c r="F528" s="24"/>
      <c r="G528" s="19"/>
      <c r="H528" s="19"/>
      <c r="I528" s="22"/>
      <c r="J528" s="22"/>
      <c r="K528" s="24"/>
      <c r="L528" s="19"/>
      <c r="V528" s="19"/>
      <c r="W528" s="21"/>
      <c r="X528" s="21"/>
      <c r="Y528" s="24"/>
      <c r="Z528" s="24"/>
      <c r="AA528" s="24"/>
      <c r="AB528" s="19"/>
      <c r="AC528" s="19"/>
      <c r="AD528" s="22"/>
      <c r="AE528" s="22"/>
      <c r="AF528" s="24"/>
    </row>
    <row r="529" spans="1:32" x14ac:dyDescent="0.25">
      <c r="A529" s="19"/>
      <c r="B529" s="21"/>
      <c r="C529" s="21"/>
      <c r="D529" s="24"/>
      <c r="E529" s="24"/>
      <c r="F529" s="24"/>
      <c r="G529" s="19"/>
      <c r="H529" s="19"/>
      <c r="I529" s="22"/>
      <c r="J529" s="22"/>
      <c r="K529" s="24"/>
      <c r="L529" s="19"/>
      <c r="V529" s="19"/>
      <c r="W529" s="21"/>
      <c r="X529" s="21"/>
      <c r="Y529" s="24"/>
      <c r="Z529" s="24"/>
      <c r="AA529" s="24"/>
      <c r="AB529" s="19"/>
      <c r="AC529" s="19"/>
      <c r="AD529" s="22"/>
      <c r="AE529" s="22"/>
      <c r="AF529" s="24"/>
    </row>
    <row r="530" spans="1:32" x14ac:dyDescent="0.25">
      <c r="A530" s="19"/>
      <c r="B530" s="21"/>
      <c r="C530" s="21"/>
      <c r="D530" s="24"/>
      <c r="E530" s="24"/>
      <c r="F530" s="24"/>
      <c r="G530" s="19"/>
      <c r="H530" s="19"/>
      <c r="I530" s="22"/>
      <c r="J530" s="22"/>
      <c r="K530" s="24"/>
      <c r="L530" s="19"/>
      <c r="V530" s="19"/>
      <c r="W530" s="21"/>
      <c r="X530" s="21"/>
      <c r="Y530" s="24"/>
      <c r="Z530" s="24"/>
      <c r="AA530" s="24"/>
      <c r="AB530" s="19"/>
      <c r="AC530" s="19"/>
      <c r="AD530" s="22"/>
      <c r="AE530" s="22"/>
      <c r="AF530" s="24"/>
    </row>
    <row r="531" spans="1:32" x14ac:dyDescent="0.25">
      <c r="A531" s="19"/>
      <c r="B531" s="21"/>
      <c r="C531" s="21"/>
      <c r="D531" s="24"/>
      <c r="E531" s="24"/>
      <c r="F531" s="24"/>
      <c r="G531" s="19"/>
      <c r="H531" s="19"/>
      <c r="I531" s="22"/>
      <c r="J531" s="22"/>
      <c r="K531" s="24"/>
      <c r="L531" s="19"/>
      <c r="V531" s="19"/>
      <c r="W531" s="21"/>
      <c r="X531" s="21"/>
      <c r="Y531" s="24"/>
      <c r="Z531" s="24"/>
      <c r="AA531" s="24"/>
      <c r="AB531" s="19"/>
      <c r="AC531" s="19"/>
      <c r="AD531" s="22"/>
      <c r="AE531" s="22"/>
      <c r="AF531" s="24"/>
    </row>
    <row r="532" spans="1:32" x14ac:dyDescent="0.25">
      <c r="A532" s="19"/>
      <c r="B532" s="21"/>
      <c r="C532" s="21"/>
      <c r="D532" s="24"/>
      <c r="E532" s="24"/>
      <c r="F532" s="24"/>
      <c r="G532" s="19"/>
      <c r="H532" s="19"/>
      <c r="I532" s="22"/>
      <c r="J532" s="22"/>
      <c r="K532" s="24"/>
      <c r="L532" s="19"/>
      <c r="V532" s="19"/>
      <c r="W532" s="21"/>
      <c r="X532" s="21"/>
      <c r="Y532" s="24"/>
      <c r="Z532" s="24"/>
      <c r="AA532" s="24"/>
      <c r="AB532" s="19"/>
      <c r="AC532" s="19"/>
      <c r="AD532" s="22"/>
      <c r="AE532" s="22"/>
      <c r="AF532" s="24"/>
    </row>
    <row r="533" spans="1:32" x14ac:dyDescent="0.25">
      <c r="A533" s="19"/>
      <c r="B533" s="21"/>
      <c r="C533" s="21"/>
      <c r="D533" s="24"/>
      <c r="E533" s="24"/>
      <c r="F533" s="24"/>
      <c r="G533" s="19"/>
      <c r="H533" s="19"/>
      <c r="I533" s="22"/>
      <c r="J533" s="22"/>
      <c r="K533" s="24"/>
      <c r="L533" s="19"/>
      <c r="V533" s="19"/>
      <c r="W533" s="21"/>
      <c r="X533" s="21"/>
      <c r="Y533" s="24"/>
      <c r="Z533" s="24"/>
      <c r="AA533" s="24"/>
      <c r="AB533" s="19"/>
      <c r="AC533" s="19"/>
      <c r="AD533" s="22"/>
      <c r="AE533" s="22"/>
      <c r="AF533" s="24"/>
    </row>
    <row r="534" spans="1:32" x14ac:dyDescent="0.25">
      <c r="A534" s="19"/>
      <c r="B534" s="21"/>
      <c r="C534" s="21"/>
      <c r="D534" s="24"/>
      <c r="E534" s="24"/>
      <c r="F534" s="24"/>
      <c r="G534" s="19"/>
      <c r="H534" s="19"/>
      <c r="I534" s="22"/>
      <c r="J534" s="22"/>
      <c r="K534" s="24"/>
      <c r="L534" s="19"/>
      <c r="V534" s="19"/>
      <c r="W534" s="21"/>
      <c r="X534" s="21"/>
      <c r="Y534" s="24"/>
      <c r="Z534" s="24"/>
      <c r="AA534" s="24"/>
      <c r="AB534" s="19"/>
      <c r="AC534" s="19"/>
      <c r="AD534" s="22"/>
      <c r="AE534" s="22"/>
      <c r="AF534" s="24"/>
    </row>
    <row r="535" spans="1:32" x14ac:dyDescent="0.25">
      <c r="A535" s="19"/>
      <c r="B535" s="21"/>
      <c r="C535" s="21"/>
      <c r="D535" s="24"/>
      <c r="E535" s="24"/>
      <c r="F535" s="24"/>
      <c r="G535" s="19"/>
      <c r="H535" s="19"/>
      <c r="I535" s="22"/>
      <c r="J535" s="22"/>
      <c r="K535" s="24"/>
      <c r="L535" s="19"/>
      <c r="V535" s="19"/>
      <c r="W535" s="21"/>
      <c r="X535" s="21"/>
      <c r="Y535" s="24"/>
      <c r="Z535" s="24"/>
      <c r="AA535" s="24"/>
      <c r="AB535" s="19"/>
      <c r="AC535" s="19"/>
      <c r="AD535" s="22"/>
      <c r="AE535" s="22"/>
      <c r="AF535" s="24"/>
    </row>
    <row r="536" spans="1:32" x14ac:dyDescent="0.25">
      <c r="A536" s="19"/>
      <c r="B536" s="21"/>
      <c r="C536" s="21"/>
      <c r="D536" s="24"/>
      <c r="E536" s="24"/>
      <c r="F536" s="24"/>
      <c r="G536" s="19"/>
      <c r="H536" s="19"/>
      <c r="I536" s="22"/>
      <c r="J536" s="22"/>
      <c r="K536" s="24"/>
      <c r="L536" s="19"/>
      <c r="V536" s="19"/>
      <c r="W536" s="21"/>
      <c r="X536" s="21"/>
      <c r="Y536" s="24"/>
      <c r="Z536" s="24"/>
      <c r="AA536" s="24"/>
      <c r="AB536" s="19"/>
      <c r="AC536" s="19"/>
      <c r="AD536" s="22"/>
      <c r="AE536" s="22"/>
      <c r="AF536" s="24"/>
    </row>
    <row r="537" spans="1:32" x14ac:dyDescent="0.25">
      <c r="A537" s="19"/>
      <c r="B537" s="21"/>
      <c r="C537" s="21"/>
      <c r="D537" s="24"/>
      <c r="E537" s="24"/>
      <c r="F537" s="24"/>
      <c r="G537" s="19"/>
      <c r="H537" s="19"/>
      <c r="I537" s="22"/>
      <c r="J537" s="22"/>
      <c r="K537" s="24"/>
      <c r="L537" s="19"/>
      <c r="V537" s="19"/>
      <c r="W537" s="21"/>
      <c r="X537" s="21"/>
      <c r="Y537" s="24"/>
      <c r="Z537" s="24"/>
      <c r="AA537" s="24"/>
      <c r="AB537" s="19"/>
      <c r="AC537" s="19"/>
      <c r="AD537" s="22"/>
      <c r="AE537" s="22"/>
      <c r="AF537" s="24"/>
    </row>
    <row r="538" spans="1:32" x14ac:dyDescent="0.25">
      <c r="A538" s="19"/>
      <c r="B538" s="21"/>
      <c r="C538" s="21"/>
      <c r="D538" s="24"/>
      <c r="E538" s="24"/>
      <c r="F538" s="24"/>
      <c r="G538" s="19"/>
      <c r="H538" s="19"/>
      <c r="I538" s="22"/>
      <c r="J538" s="22"/>
      <c r="K538" s="24"/>
      <c r="L538" s="19"/>
      <c r="V538" s="19"/>
      <c r="W538" s="21"/>
      <c r="X538" s="21"/>
      <c r="Y538" s="24"/>
      <c r="Z538" s="24"/>
      <c r="AA538" s="24"/>
      <c r="AB538" s="19"/>
      <c r="AC538" s="19"/>
      <c r="AD538" s="22"/>
      <c r="AE538" s="22"/>
      <c r="AF538" s="24"/>
    </row>
    <row r="539" spans="1:32" x14ac:dyDescent="0.25">
      <c r="A539" s="19"/>
      <c r="B539" s="21"/>
      <c r="C539" s="21"/>
      <c r="D539" s="24"/>
      <c r="E539" s="24"/>
      <c r="F539" s="24"/>
      <c r="G539" s="19"/>
      <c r="H539" s="19"/>
      <c r="I539" s="22"/>
      <c r="J539" s="22"/>
      <c r="K539" s="24"/>
      <c r="L539" s="19"/>
      <c r="V539" s="19"/>
      <c r="W539" s="21"/>
      <c r="X539" s="21"/>
      <c r="Y539" s="24"/>
      <c r="Z539" s="24"/>
      <c r="AA539" s="24"/>
      <c r="AB539" s="19"/>
      <c r="AC539" s="19"/>
      <c r="AD539" s="22"/>
      <c r="AE539" s="22"/>
      <c r="AF539" s="24"/>
    </row>
    <row r="540" spans="1:32" x14ac:dyDescent="0.25">
      <c r="A540" s="19"/>
      <c r="B540" s="21"/>
      <c r="C540" s="21"/>
      <c r="D540" s="24"/>
      <c r="E540" s="24"/>
      <c r="F540" s="24"/>
      <c r="G540" s="19"/>
      <c r="H540" s="19"/>
      <c r="I540" s="22"/>
      <c r="J540" s="22"/>
      <c r="K540" s="24"/>
      <c r="L540" s="19"/>
      <c r="V540" s="19"/>
      <c r="W540" s="21"/>
      <c r="X540" s="21"/>
      <c r="Y540" s="24"/>
      <c r="Z540" s="24"/>
      <c r="AA540" s="24"/>
      <c r="AB540" s="19"/>
      <c r="AC540" s="19"/>
      <c r="AD540" s="22"/>
      <c r="AE540" s="22"/>
      <c r="AF540" s="24"/>
    </row>
    <row r="541" spans="1:32" x14ac:dyDescent="0.25">
      <c r="A541" s="19"/>
      <c r="B541" s="21"/>
      <c r="C541" s="21"/>
      <c r="D541" s="24"/>
      <c r="E541" s="24"/>
      <c r="F541" s="24"/>
      <c r="G541" s="19"/>
      <c r="H541" s="19"/>
      <c r="I541" s="22"/>
      <c r="J541" s="22"/>
      <c r="K541" s="24"/>
      <c r="L541" s="19"/>
      <c r="V541" s="19"/>
      <c r="W541" s="21"/>
      <c r="X541" s="21"/>
      <c r="Y541" s="24"/>
      <c r="Z541" s="24"/>
      <c r="AA541" s="24"/>
      <c r="AB541" s="19"/>
      <c r="AC541" s="19"/>
      <c r="AD541" s="22"/>
      <c r="AE541" s="22"/>
      <c r="AF541" s="24"/>
    </row>
    <row r="542" spans="1:32" x14ac:dyDescent="0.25">
      <c r="A542" s="19"/>
      <c r="B542" s="21"/>
      <c r="C542" s="21"/>
      <c r="D542" s="24"/>
      <c r="E542" s="24"/>
      <c r="F542" s="24"/>
      <c r="G542" s="19"/>
      <c r="H542" s="19"/>
      <c r="I542" s="22"/>
      <c r="J542" s="22"/>
      <c r="K542" s="24"/>
      <c r="L542" s="19"/>
      <c r="V542" s="19"/>
      <c r="W542" s="21"/>
      <c r="X542" s="21"/>
      <c r="Y542" s="24"/>
      <c r="Z542" s="24"/>
      <c r="AA542" s="24"/>
      <c r="AB542" s="19"/>
      <c r="AC542" s="19"/>
      <c r="AD542" s="22"/>
      <c r="AE542" s="22"/>
      <c r="AF542" s="24"/>
    </row>
    <row r="543" spans="1:32" x14ac:dyDescent="0.25">
      <c r="A543" s="19"/>
      <c r="B543" s="21"/>
      <c r="C543" s="21"/>
      <c r="D543" s="24"/>
      <c r="E543" s="24"/>
      <c r="F543" s="24"/>
      <c r="G543" s="19"/>
      <c r="H543" s="19"/>
      <c r="I543" s="22"/>
      <c r="J543" s="22"/>
      <c r="K543" s="24"/>
      <c r="L543" s="19"/>
      <c r="V543" s="19"/>
      <c r="W543" s="21"/>
      <c r="X543" s="21"/>
      <c r="Y543" s="24"/>
      <c r="Z543" s="24"/>
      <c r="AA543" s="24"/>
      <c r="AB543" s="19"/>
      <c r="AC543" s="19"/>
      <c r="AD543" s="22"/>
      <c r="AE543" s="22"/>
      <c r="AF543" s="24"/>
    </row>
    <row r="544" spans="1:32" x14ac:dyDescent="0.25">
      <c r="A544" s="19"/>
      <c r="B544" s="21"/>
      <c r="C544" s="21"/>
      <c r="D544" s="24"/>
      <c r="E544" s="24"/>
      <c r="F544" s="24"/>
      <c r="G544" s="19"/>
      <c r="H544" s="19"/>
      <c r="I544" s="22"/>
      <c r="J544" s="22"/>
      <c r="K544" s="24"/>
      <c r="L544" s="19"/>
      <c r="V544" s="19"/>
      <c r="W544" s="21"/>
      <c r="X544" s="21"/>
      <c r="Y544" s="24"/>
      <c r="Z544" s="24"/>
      <c r="AA544" s="24"/>
      <c r="AB544" s="19"/>
      <c r="AC544" s="19"/>
      <c r="AD544" s="22"/>
      <c r="AE544" s="22"/>
      <c r="AF544" s="24"/>
    </row>
    <row r="545" spans="1:32" x14ac:dyDescent="0.25">
      <c r="A545" s="19"/>
      <c r="B545" s="21"/>
      <c r="C545" s="21"/>
      <c r="D545" s="24"/>
      <c r="E545" s="24"/>
      <c r="F545" s="24"/>
      <c r="G545" s="19"/>
      <c r="H545" s="19"/>
      <c r="I545" s="22"/>
      <c r="J545" s="22"/>
      <c r="K545" s="24"/>
      <c r="L545" s="19"/>
      <c r="V545" s="19"/>
      <c r="W545" s="21"/>
      <c r="X545" s="21"/>
      <c r="Y545" s="24"/>
      <c r="Z545" s="24"/>
      <c r="AA545" s="24"/>
      <c r="AB545" s="19"/>
      <c r="AC545" s="19"/>
      <c r="AD545" s="22"/>
      <c r="AE545" s="22"/>
      <c r="AF545" s="24"/>
    </row>
    <row r="546" spans="1:32" x14ac:dyDescent="0.25">
      <c r="A546" s="19"/>
      <c r="B546" s="21"/>
      <c r="C546" s="21"/>
      <c r="D546" s="24"/>
      <c r="E546" s="24"/>
      <c r="F546" s="24"/>
      <c r="G546" s="19"/>
      <c r="H546" s="19"/>
      <c r="I546" s="22"/>
      <c r="J546" s="22"/>
      <c r="K546" s="24"/>
      <c r="L546" s="19"/>
      <c r="V546" s="19"/>
      <c r="W546" s="21"/>
      <c r="X546" s="21"/>
      <c r="Y546" s="24"/>
      <c r="Z546" s="24"/>
      <c r="AA546" s="24"/>
      <c r="AB546" s="19"/>
      <c r="AC546" s="19"/>
      <c r="AD546" s="22"/>
      <c r="AE546" s="22"/>
      <c r="AF546" s="24"/>
    </row>
    <row r="547" spans="1:32" x14ac:dyDescent="0.25">
      <c r="A547" s="19"/>
      <c r="B547" s="21"/>
      <c r="C547" s="21"/>
      <c r="D547" s="24"/>
      <c r="E547" s="24"/>
      <c r="F547" s="24"/>
      <c r="G547" s="19"/>
      <c r="H547" s="19"/>
      <c r="I547" s="22"/>
      <c r="J547" s="22"/>
      <c r="K547" s="24"/>
      <c r="L547" s="19"/>
      <c r="V547" s="19"/>
      <c r="W547" s="21"/>
      <c r="X547" s="21"/>
      <c r="Y547" s="24"/>
      <c r="Z547" s="24"/>
      <c r="AA547" s="24"/>
      <c r="AB547" s="19"/>
      <c r="AC547" s="19"/>
      <c r="AD547" s="22"/>
      <c r="AE547" s="22"/>
      <c r="AF547" s="24"/>
    </row>
    <row r="548" spans="1:32" x14ac:dyDescent="0.25">
      <c r="A548" s="19"/>
      <c r="B548" s="21"/>
      <c r="C548" s="21"/>
      <c r="D548" s="24"/>
      <c r="E548" s="24"/>
      <c r="F548" s="24"/>
      <c r="G548" s="19"/>
      <c r="H548" s="19"/>
      <c r="I548" s="22"/>
      <c r="J548" s="22"/>
      <c r="K548" s="24"/>
      <c r="L548" s="19"/>
      <c r="V548" s="19"/>
      <c r="W548" s="21"/>
      <c r="X548" s="21"/>
      <c r="Y548" s="24"/>
      <c r="Z548" s="24"/>
      <c r="AA548" s="24"/>
      <c r="AB548" s="19"/>
      <c r="AC548" s="19"/>
      <c r="AD548" s="22"/>
      <c r="AE548" s="22"/>
      <c r="AF548" s="24"/>
    </row>
    <row r="549" spans="1:32" x14ac:dyDescent="0.25">
      <c r="A549" s="19"/>
      <c r="B549" s="21"/>
      <c r="C549" s="21"/>
      <c r="D549" s="24"/>
      <c r="E549" s="24"/>
      <c r="F549" s="24"/>
      <c r="G549" s="19"/>
      <c r="H549" s="19"/>
      <c r="I549" s="22"/>
      <c r="J549" s="22"/>
      <c r="K549" s="24"/>
      <c r="L549" s="19"/>
      <c r="V549" s="19"/>
      <c r="W549" s="21"/>
      <c r="X549" s="21"/>
      <c r="Y549" s="24"/>
      <c r="Z549" s="24"/>
      <c r="AA549" s="24"/>
      <c r="AB549" s="19"/>
      <c r="AC549" s="19"/>
      <c r="AD549" s="22"/>
      <c r="AE549" s="22"/>
      <c r="AF549" s="24"/>
    </row>
    <row r="550" spans="1:32" x14ac:dyDescent="0.25">
      <c r="A550" s="19"/>
      <c r="B550" s="21"/>
      <c r="C550" s="21"/>
      <c r="D550" s="24"/>
      <c r="E550" s="24"/>
      <c r="F550" s="24"/>
      <c r="G550" s="19"/>
      <c r="H550" s="19"/>
      <c r="I550" s="22"/>
      <c r="J550" s="22"/>
      <c r="K550" s="24"/>
      <c r="L550" s="19"/>
      <c r="V550" s="19"/>
      <c r="W550" s="21"/>
      <c r="X550" s="21"/>
      <c r="Y550" s="24"/>
      <c r="Z550" s="24"/>
      <c r="AA550" s="24"/>
      <c r="AB550" s="19"/>
      <c r="AC550" s="19"/>
      <c r="AD550" s="22"/>
      <c r="AE550" s="22"/>
      <c r="AF550" s="24"/>
    </row>
    <row r="551" spans="1:32" x14ac:dyDescent="0.25">
      <c r="A551" s="19"/>
      <c r="B551" s="21"/>
      <c r="C551" s="21"/>
      <c r="D551" s="24"/>
      <c r="E551" s="24"/>
      <c r="F551" s="24"/>
      <c r="G551" s="19"/>
      <c r="H551" s="19"/>
      <c r="I551" s="22"/>
      <c r="J551" s="22"/>
      <c r="K551" s="24"/>
      <c r="L551" s="19"/>
      <c r="V551" s="19"/>
      <c r="W551" s="21"/>
      <c r="X551" s="21"/>
      <c r="Y551" s="24"/>
      <c r="Z551" s="24"/>
      <c r="AA551" s="24"/>
      <c r="AB551" s="19"/>
      <c r="AC551" s="19"/>
      <c r="AD551" s="22"/>
      <c r="AE551" s="22"/>
      <c r="AF551" s="24"/>
    </row>
    <row r="552" spans="1:32" x14ac:dyDescent="0.25">
      <c r="A552" s="19"/>
      <c r="B552" s="21"/>
      <c r="C552" s="21"/>
      <c r="D552" s="24"/>
      <c r="E552" s="24"/>
      <c r="F552" s="24"/>
      <c r="G552" s="19"/>
      <c r="H552" s="19"/>
      <c r="I552" s="22"/>
      <c r="J552" s="22"/>
      <c r="K552" s="24"/>
      <c r="L552" s="19"/>
      <c r="V552" s="19"/>
      <c r="W552" s="21"/>
      <c r="X552" s="21"/>
      <c r="Y552" s="24"/>
      <c r="Z552" s="24"/>
      <c r="AA552" s="24"/>
      <c r="AB552" s="19"/>
      <c r="AC552" s="19"/>
      <c r="AD552" s="22"/>
      <c r="AE552" s="22"/>
      <c r="AF552" s="24"/>
    </row>
    <row r="553" spans="1:32" x14ac:dyDescent="0.25">
      <c r="A553" s="19"/>
      <c r="B553" s="21"/>
      <c r="C553" s="21"/>
      <c r="D553" s="24"/>
      <c r="E553" s="24"/>
      <c r="F553" s="24"/>
      <c r="G553" s="19"/>
      <c r="H553" s="19"/>
      <c r="I553" s="22"/>
      <c r="J553" s="22"/>
      <c r="K553" s="24"/>
      <c r="L553" s="19"/>
      <c r="V553" s="19"/>
      <c r="W553" s="21"/>
      <c r="X553" s="21"/>
      <c r="Y553" s="24"/>
      <c r="Z553" s="24"/>
      <c r="AA553" s="24"/>
      <c r="AB553" s="19"/>
      <c r="AC553" s="19"/>
      <c r="AD553" s="22"/>
      <c r="AE553" s="22"/>
      <c r="AF553" s="24"/>
    </row>
    <row r="554" spans="1:32" x14ac:dyDescent="0.25">
      <c r="A554" s="19"/>
      <c r="B554" s="21"/>
      <c r="C554" s="21"/>
      <c r="D554" s="24"/>
      <c r="E554" s="24"/>
      <c r="F554" s="24"/>
      <c r="G554" s="19"/>
      <c r="H554" s="19"/>
      <c r="I554" s="22"/>
      <c r="J554" s="22"/>
      <c r="K554" s="24"/>
      <c r="L554" s="19"/>
      <c r="V554" s="19"/>
      <c r="W554" s="21"/>
      <c r="X554" s="21"/>
      <c r="Y554" s="24"/>
      <c r="Z554" s="24"/>
      <c r="AA554" s="24"/>
      <c r="AB554" s="19"/>
      <c r="AC554" s="19"/>
      <c r="AD554" s="22"/>
      <c r="AE554" s="22"/>
      <c r="AF554" s="24"/>
    </row>
    <row r="555" spans="1:32" x14ac:dyDescent="0.25">
      <c r="A555" s="19"/>
      <c r="B555" s="21"/>
      <c r="C555" s="21"/>
      <c r="D555" s="24"/>
      <c r="E555" s="24"/>
      <c r="F555" s="24"/>
      <c r="G555" s="19"/>
      <c r="H555" s="19"/>
      <c r="I555" s="22"/>
      <c r="J555" s="22"/>
      <c r="K555" s="24"/>
      <c r="L555" s="19"/>
      <c r="V555" s="19"/>
      <c r="W555" s="21"/>
      <c r="X555" s="21"/>
      <c r="Y555" s="24"/>
      <c r="Z555" s="24"/>
      <c r="AA555" s="24"/>
      <c r="AB555" s="19"/>
      <c r="AC555" s="19"/>
      <c r="AD555" s="22"/>
      <c r="AE555" s="22"/>
      <c r="AF555" s="24"/>
    </row>
    <row r="556" spans="1:32" x14ac:dyDescent="0.25">
      <c r="A556" s="19"/>
      <c r="B556" s="21"/>
      <c r="C556" s="21"/>
      <c r="D556" s="24"/>
      <c r="E556" s="24"/>
      <c r="F556" s="24"/>
      <c r="G556" s="19"/>
      <c r="H556" s="19"/>
      <c r="I556" s="22"/>
      <c r="J556" s="22"/>
      <c r="K556" s="24"/>
      <c r="L556" s="19"/>
      <c r="V556" s="19"/>
      <c r="W556" s="21"/>
      <c r="X556" s="21"/>
      <c r="Y556" s="24"/>
      <c r="Z556" s="24"/>
      <c r="AA556" s="24"/>
      <c r="AB556" s="19"/>
      <c r="AC556" s="19"/>
      <c r="AD556" s="22"/>
      <c r="AE556" s="22"/>
      <c r="AF556" s="24"/>
    </row>
    <row r="557" spans="1:32" x14ac:dyDescent="0.25">
      <c r="A557" s="19"/>
      <c r="B557" s="21"/>
      <c r="C557" s="21"/>
      <c r="D557" s="24"/>
      <c r="E557" s="24"/>
      <c r="F557" s="24"/>
      <c r="G557" s="19"/>
      <c r="H557" s="19"/>
      <c r="I557" s="22"/>
      <c r="J557" s="22"/>
      <c r="K557" s="24"/>
      <c r="L557" s="19"/>
      <c r="V557" s="19"/>
      <c r="W557" s="21"/>
      <c r="X557" s="21"/>
      <c r="Y557" s="24"/>
      <c r="Z557" s="24"/>
      <c r="AA557" s="24"/>
      <c r="AB557" s="19"/>
      <c r="AC557" s="19"/>
      <c r="AD557" s="22"/>
      <c r="AE557" s="22"/>
      <c r="AF557" s="24"/>
    </row>
    <row r="558" spans="1:32" x14ac:dyDescent="0.25">
      <c r="A558" s="19"/>
      <c r="B558" s="21"/>
      <c r="C558" s="21"/>
      <c r="D558" s="24"/>
      <c r="E558" s="24"/>
      <c r="F558" s="24"/>
      <c r="G558" s="19"/>
      <c r="H558" s="19"/>
      <c r="I558" s="22"/>
      <c r="J558" s="22"/>
      <c r="K558" s="24"/>
      <c r="L558" s="19"/>
      <c r="V558" s="19"/>
      <c r="W558" s="21"/>
      <c r="X558" s="21"/>
      <c r="Y558" s="24"/>
      <c r="Z558" s="24"/>
      <c r="AA558" s="24"/>
      <c r="AB558" s="19"/>
      <c r="AC558" s="19"/>
      <c r="AD558" s="22"/>
      <c r="AE558" s="22"/>
      <c r="AF558" s="24"/>
    </row>
    <row r="559" spans="1:32" x14ac:dyDescent="0.25">
      <c r="A559" s="19"/>
      <c r="B559" s="21"/>
      <c r="C559" s="21"/>
      <c r="D559" s="24"/>
      <c r="E559" s="24"/>
      <c r="F559" s="24"/>
      <c r="G559" s="19"/>
      <c r="H559" s="19"/>
      <c r="I559" s="22"/>
      <c r="J559" s="22"/>
      <c r="K559" s="24"/>
      <c r="L559" s="19"/>
      <c r="V559" s="19"/>
      <c r="W559" s="21"/>
      <c r="X559" s="21"/>
      <c r="Y559" s="24"/>
      <c r="Z559" s="24"/>
      <c r="AA559" s="24"/>
      <c r="AB559" s="19"/>
      <c r="AC559" s="19"/>
      <c r="AD559" s="22"/>
      <c r="AE559" s="22"/>
      <c r="AF559" s="24"/>
    </row>
    <row r="560" spans="1:32" x14ac:dyDescent="0.25">
      <c r="A560" s="19"/>
      <c r="B560" s="21"/>
      <c r="C560" s="21"/>
      <c r="D560" s="24"/>
      <c r="E560" s="24"/>
      <c r="F560" s="24"/>
      <c r="G560" s="19"/>
      <c r="H560" s="19"/>
      <c r="I560" s="22"/>
      <c r="J560" s="22"/>
      <c r="K560" s="24"/>
      <c r="L560" s="19"/>
      <c r="V560" s="19"/>
      <c r="W560" s="21"/>
      <c r="X560" s="21"/>
      <c r="Y560" s="24"/>
      <c r="Z560" s="24"/>
      <c r="AA560" s="24"/>
      <c r="AB560" s="19"/>
      <c r="AC560" s="19"/>
      <c r="AD560" s="22"/>
      <c r="AE560" s="22"/>
      <c r="AF560" s="24"/>
    </row>
    <row r="561" spans="1:32" x14ac:dyDescent="0.25">
      <c r="A561" s="19"/>
      <c r="B561" s="21"/>
      <c r="C561" s="21"/>
      <c r="D561" s="24"/>
      <c r="E561" s="24"/>
      <c r="F561" s="24"/>
      <c r="G561" s="19"/>
      <c r="H561" s="19"/>
      <c r="I561" s="22"/>
      <c r="J561" s="22"/>
      <c r="K561" s="24"/>
      <c r="L561" s="19"/>
      <c r="V561" s="19"/>
      <c r="W561" s="21"/>
      <c r="X561" s="21"/>
      <c r="Y561" s="24"/>
      <c r="Z561" s="24"/>
      <c r="AA561" s="24"/>
      <c r="AB561" s="19"/>
      <c r="AC561" s="19"/>
      <c r="AD561" s="22"/>
      <c r="AE561" s="22"/>
      <c r="AF561" s="24"/>
    </row>
    <row r="562" spans="1:32" x14ac:dyDescent="0.25">
      <c r="A562" s="19"/>
      <c r="B562" s="21"/>
      <c r="C562" s="21"/>
      <c r="D562" s="24"/>
      <c r="E562" s="24"/>
      <c r="F562" s="24"/>
      <c r="G562" s="19"/>
      <c r="H562" s="19"/>
      <c r="I562" s="22"/>
      <c r="J562" s="22"/>
      <c r="K562" s="24"/>
      <c r="L562" s="19"/>
      <c r="V562" s="19"/>
      <c r="W562" s="21"/>
      <c r="X562" s="21"/>
      <c r="Y562" s="24"/>
      <c r="Z562" s="24"/>
      <c r="AA562" s="24"/>
      <c r="AB562" s="19"/>
      <c r="AC562" s="19"/>
      <c r="AD562" s="22"/>
      <c r="AE562" s="22"/>
      <c r="AF562" s="24"/>
    </row>
    <row r="563" spans="1:32" x14ac:dyDescent="0.25">
      <c r="A563" s="19"/>
      <c r="B563" s="21"/>
      <c r="C563" s="21"/>
      <c r="D563" s="24"/>
      <c r="E563" s="24"/>
      <c r="F563" s="24"/>
      <c r="G563" s="19"/>
      <c r="H563" s="19"/>
      <c r="I563" s="22"/>
      <c r="J563" s="22"/>
      <c r="K563" s="24"/>
      <c r="L563" s="19"/>
      <c r="V563" s="19"/>
      <c r="W563" s="21"/>
      <c r="X563" s="21"/>
      <c r="Y563" s="24"/>
      <c r="Z563" s="24"/>
      <c r="AA563" s="24"/>
      <c r="AB563" s="19"/>
      <c r="AC563" s="19"/>
      <c r="AD563" s="22"/>
      <c r="AE563" s="22"/>
      <c r="AF563" s="24"/>
    </row>
    <row r="564" spans="1:32" x14ac:dyDescent="0.25">
      <c r="A564" s="19"/>
      <c r="B564" s="21"/>
      <c r="C564" s="21"/>
      <c r="D564" s="24"/>
      <c r="E564" s="24"/>
      <c r="F564" s="24"/>
      <c r="G564" s="19"/>
      <c r="H564" s="19"/>
      <c r="I564" s="22"/>
      <c r="J564" s="22"/>
      <c r="K564" s="24"/>
      <c r="L564" s="19"/>
      <c r="V564" s="19"/>
      <c r="W564" s="21"/>
      <c r="X564" s="21"/>
      <c r="Y564" s="24"/>
      <c r="Z564" s="24"/>
      <c r="AA564" s="24"/>
      <c r="AB564" s="19"/>
      <c r="AC564" s="19"/>
      <c r="AD564" s="22"/>
      <c r="AE564" s="22"/>
      <c r="AF564" s="24"/>
    </row>
    <row r="565" spans="1:32" x14ac:dyDescent="0.25">
      <c r="A565" s="19"/>
      <c r="B565" s="21"/>
      <c r="C565" s="21"/>
      <c r="D565" s="24"/>
      <c r="E565" s="24"/>
      <c r="F565" s="24"/>
      <c r="G565" s="19"/>
      <c r="H565" s="19"/>
      <c r="I565" s="22"/>
      <c r="J565" s="22"/>
      <c r="K565" s="24"/>
      <c r="L565" s="19"/>
      <c r="V565" s="19"/>
      <c r="W565" s="21"/>
      <c r="X565" s="21"/>
      <c r="Y565" s="24"/>
      <c r="Z565" s="24"/>
      <c r="AA565" s="24"/>
      <c r="AB565" s="19"/>
      <c r="AC565" s="19"/>
      <c r="AD565" s="22"/>
      <c r="AE565" s="22"/>
      <c r="AF565" s="24"/>
    </row>
    <row r="566" spans="1:32" x14ac:dyDescent="0.25">
      <c r="A566" s="19"/>
      <c r="B566" s="21"/>
      <c r="C566" s="21"/>
      <c r="D566" s="24"/>
      <c r="E566" s="24"/>
      <c r="F566" s="24"/>
      <c r="G566" s="19"/>
      <c r="H566" s="19"/>
      <c r="I566" s="22"/>
      <c r="J566" s="22"/>
      <c r="K566" s="24"/>
      <c r="L566" s="19"/>
      <c r="V566" s="19"/>
      <c r="W566" s="21"/>
      <c r="X566" s="21"/>
      <c r="Y566" s="24"/>
      <c r="Z566" s="24"/>
      <c r="AA566" s="24"/>
      <c r="AB566" s="19"/>
      <c r="AC566" s="19"/>
      <c r="AD566" s="22"/>
      <c r="AE566" s="22"/>
      <c r="AF566" s="24"/>
    </row>
    <row r="567" spans="1:32" x14ac:dyDescent="0.25">
      <c r="A567" s="19"/>
      <c r="B567" s="21"/>
      <c r="C567" s="21"/>
      <c r="D567" s="24"/>
      <c r="E567" s="24"/>
      <c r="F567" s="24"/>
      <c r="G567" s="19"/>
      <c r="H567" s="19"/>
      <c r="I567" s="22"/>
      <c r="J567" s="22"/>
      <c r="K567" s="24"/>
      <c r="L567" s="19"/>
      <c r="V567" s="19"/>
      <c r="W567" s="21"/>
      <c r="X567" s="21"/>
      <c r="Y567" s="24"/>
      <c r="Z567" s="24"/>
      <c r="AA567" s="24"/>
      <c r="AB567" s="19"/>
      <c r="AC567" s="19"/>
      <c r="AD567" s="22"/>
      <c r="AE567" s="22"/>
      <c r="AF567" s="24"/>
    </row>
    <row r="568" spans="1:32" x14ac:dyDescent="0.25">
      <c r="A568" s="19"/>
      <c r="B568" s="21"/>
      <c r="C568" s="21"/>
      <c r="D568" s="24"/>
      <c r="E568" s="24"/>
      <c r="F568" s="24"/>
      <c r="G568" s="19"/>
      <c r="H568" s="19"/>
      <c r="I568" s="22"/>
      <c r="J568" s="22"/>
      <c r="K568" s="24"/>
      <c r="L568" s="19"/>
      <c r="V568" s="19"/>
      <c r="W568" s="21"/>
      <c r="X568" s="21"/>
      <c r="Y568" s="24"/>
      <c r="Z568" s="24"/>
      <c r="AA568" s="24"/>
      <c r="AB568" s="19"/>
      <c r="AC568" s="19"/>
      <c r="AD568" s="22"/>
      <c r="AE568" s="22"/>
      <c r="AF568" s="24"/>
    </row>
    <row r="569" spans="1:32" x14ac:dyDescent="0.25">
      <c r="A569" s="19"/>
      <c r="B569" s="21"/>
      <c r="C569" s="21"/>
      <c r="D569" s="24"/>
      <c r="E569" s="24"/>
      <c r="F569" s="24"/>
      <c r="G569" s="19"/>
      <c r="H569" s="19"/>
      <c r="I569" s="22"/>
      <c r="J569" s="22"/>
      <c r="K569" s="24"/>
      <c r="L569" s="19"/>
      <c r="V569" s="19"/>
      <c r="W569" s="21"/>
      <c r="X569" s="21"/>
      <c r="Y569" s="24"/>
      <c r="Z569" s="24"/>
      <c r="AA569" s="24"/>
      <c r="AB569" s="19"/>
      <c r="AC569" s="19"/>
      <c r="AD569" s="22"/>
      <c r="AE569" s="22"/>
      <c r="AF569" s="24"/>
    </row>
    <row r="570" spans="1:32" x14ac:dyDescent="0.25">
      <c r="A570" s="19"/>
      <c r="B570" s="21"/>
      <c r="C570" s="21"/>
      <c r="D570" s="24"/>
      <c r="E570" s="24"/>
      <c r="F570" s="24"/>
      <c r="G570" s="19"/>
      <c r="H570" s="19"/>
      <c r="I570" s="22"/>
      <c r="J570" s="22"/>
      <c r="K570" s="24"/>
      <c r="L570" s="19"/>
      <c r="V570" s="19"/>
      <c r="W570" s="21"/>
      <c r="X570" s="21"/>
      <c r="Y570" s="24"/>
      <c r="Z570" s="24"/>
      <c r="AA570" s="24"/>
      <c r="AB570" s="19"/>
      <c r="AC570" s="19"/>
      <c r="AD570" s="22"/>
      <c r="AE570" s="22"/>
      <c r="AF570" s="24"/>
    </row>
    <row r="571" spans="1:32" x14ac:dyDescent="0.25">
      <c r="A571" s="19"/>
      <c r="B571" s="21"/>
      <c r="C571" s="21"/>
      <c r="D571" s="24"/>
      <c r="E571" s="24"/>
      <c r="F571" s="24"/>
      <c r="G571" s="19"/>
      <c r="H571" s="19"/>
      <c r="I571" s="22"/>
      <c r="J571" s="22"/>
      <c r="K571" s="24"/>
      <c r="L571" s="19"/>
      <c r="V571" s="19"/>
      <c r="W571" s="21"/>
      <c r="X571" s="21"/>
      <c r="Y571" s="24"/>
      <c r="Z571" s="24"/>
      <c r="AA571" s="24"/>
      <c r="AB571" s="19"/>
      <c r="AC571" s="19"/>
      <c r="AD571" s="22"/>
      <c r="AE571" s="22"/>
      <c r="AF571" s="24"/>
    </row>
    <row r="572" spans="1:32" x14ac:dyDescent="0.25">
      <c r="A572" s="19"/>
      <c r="B572" s="21"/>
      <c r="C572" s="21"/>
      <c r="D572" s="24"/>
      <c r="E572" s="24"/>
      <c r="F572" s="24"/>
      <c r="G572" s="19"/>
      <c r="H572" s="19"/>
      <c r="I572" s="22"/>
      <c r="J572" s="22"/>
      <c r="K572" s="24"/>
      <c r="L572" s="19"/>
      <c r="V572" s="19"/>
      <c r="W572" s="21"/>
      <c r="X572" s="21"/>
      <c r="Y572" s="24"/>
      <c r="Z572" s="24"/>
      <c r="AA572" s="24"/>
      <c r="AB572" s="19"/>
      <c r="AC572" s="19"/>
      <c r="AD572" s="22"/>
      <c r="AE572" s="22"/>
      <c r="AF572" s="24"/>
    </row>
    <row r="573" spans="1:32" x14ac:dyDescent="0.25">
      <c r="A573" s="19"/>
      <c r="B573" s="21"/>
      <c r="C573" s="21"/>
      <c r="D573" s="24"/>
      <c r="E573" s="24"/>
      <c r="F573" s="24"/>
      <c r="G573" s="19"/>
      <c r="H573" s="19"/>
      <c r="I573" s="22"/>
      <c r="J573" s="22"/>
      <c r="K573" s="24"/>
      <c r="L573" s="19"/>
      <c r="V573" s="19"/>
      <c r="W573" s="21"/>
      <c r="X573" s="21"/>
      <c r="Y573" s="24"/>
      <c r="Z573" s="24"/>
      <c r="AA573" s="24"/>
      <c r="AB573" s="19"/>
      <c r="AC573" s="19"/>
      <c r="AD573" s="22"/>
      <c r="AE573" s="22"/>
      <c r="AF573" s="24"/>
    </row>
    <row r="574" spans="1:32" x14ac:dyDescent="0.25">
      <c r="A574" s="19"/>
      <c r="B574" s="21"/>
      <c r="C574" s="21"/>
      <c r="D574" s="24"/>
      <c r="E574" s="24"/>
      <c r="F574" s="24"/>
      <c r="G574" s="19"/>
      <c r="H574" s="19"/>
      <c r="I574" s="22"/>
      <c r="J574" s="22"/>
      <c r="K574" s="24"/>
      <c r="L574" s="19"/>
      <c r="V574" s="19"/>
      <c r="W574" s="21"/>
      <c r="X574" s="21"/>
      <c r="Y574" s="24"/>
      <c r="Z574" s="24"/>
      <c r="AA574" s="24"/>
      <c r="AB574" s="19"/>
      <c r="AC574" s="19"/>
      <c r="AD574" s="22"/>
      <c r="AE574" s="22"/>
      <c r="AF574" s="24"/>
    </row>
    <row r="575" spans="1:32" x14ac:dyDescent="0.25">
      <c r="A575" s="19"/>
      <c r="B575" s="21"/>
      <c r="C575" s="21"/>
      <c r="D575" s="24"/>
      <c r="E575" s="24"/>
      <c r="F575" s="24"/>
      <c r="G575" s="19"/>
      <c r="H575" s="19"/>
      <c r="I575" s="22"/>
      <c r="J575" s="22"/>
      <c r="K575" s="24"/>
      <c r="L575" s="19"/>
      <c r="V575" s="19"/>
      <c r="W575" s="21"/>
      <c r="X575" s="21"/>
      <c r="Y575" s="24"/>
      <c r="Z575" s="24"/>
      <c r="AA575" s="24"/>
      <c r="AB575" s="19"/>
      <c r="AC575" s="19"/>
      <c r="AD575" s="22"/>
      <c r="AE575" s="22"/>
      <c r="AF575" s="24"/>
    </row>
    <row r="576" spans="1:32" x14ac:dyDescent="0.25">
      <c r="A576" s="19"/>
      <c r="B576" s="21"/>
      <c r="C576" s="21"/>
      <c r="D576" s="24"/>
      <c r="E576" s="24"/>
      <c r="F576" s="24"/>
      <c r="G576" s="19"/>
      <c r="H576" s="19"/>
      <c r="I576" s="22"/>
      <c r="J576" s="22"/>
      <c r="K576" s="24"/>
      <c r="L576" s="19"/>
      <c r="V576" s="19"/>
      <c r="W576" s="21"/>
      <c r="X576" s="21"/>
      <c r="Y576" s="24"/>
      <c r="Z576" s="24"/>
      <c r="AA576" s="24"/>
      <c r="AB576" s="19"/>
      <c r="AC576" s="19"/>
      <c r="AD576" s="22"/>
      <c r="AE576" s="22"/>
      <c r="AF576" s="24"/>
    </row>
    <row r="577" spans="1:32" x14ac:dyDescent="0.25">
      <c r="A577" s="19"/>
      <c r="B577" s="21"/>
      <c r="C577" s="21"/>
      <c r="D577" s="24"/>
      <c r="E577" s="24"/>
      <c r="F577" s="24"/>
      <c r="G577" s="19"/>
      <c r="H577" s="19"/>
      <c r="I577" s="22"/>
      <c r="J577" s="22"/>
      <c r="K577" s="24"/>
      <c r="L577" s="19"/>
      <c r="V577" s="19"/>
      <c r="W577" s="21"/>
      <c r="X577" s="21"/>
      <c r="Y577" s="24"/>
      <c r="Z577" s="24"/>
      <c r="AA577" s="24"/>
      <c r="AB577" s="19"/>
      <c r="AC577" s="19"/>
      <c r="AD577" s="22"/>
      <c r="AE577" s="22"/>
      <c r="AF577" s="24"/>
    </row>
    <row r="578" spans="1:32" x14ac:dyDescent="0.25">
      <c r="A578" s="19"/>
      <c r="B578" s="21"/>
      <c r="C578" s="21"/>
      <c r="D578" s="24"/>
      <c r="E578" s="24"/>
      <c r="F578" s="24"/>
      <c r="G578" s="19"/>
      <c r="H578" s="19"/>
      <c r="I578" s="22"/>
      <c r="J578" s="22"/>
      <c r="K578" s="24"/>
      <c r="L578" s="19"/>
      <c r="V578" s="19"/>
      <c r="W578" s="21"/>
      <c r="X578" s="21"/>
      <c r="Y578" s="24"/>
      <c r="Z578" s="24"/>
      <c r="AA578" s="24"/>
      <c r="AB578" s="19"/>
      <c r="AC578" s="19"/>
      <c r="AD578" s="22"/>
      <c r="AE578" s="22"/>
      <c r="AF578" s="24"/>
    </row>
    <row r="579" spans="1:32" x14ac:dyDescent="0.25">
      <c r="A579" s="19"/>
      <c r="B579" s="21"/>
      <c r="C579" s="21"/>
      <c r="D579" s="24"/>
      <c r="E579" s="24"/>
      <c r="F579" s="24"/>
      <c r="G579" s="19"/>
      <c r="H579" s="19"/>
      <c r="I579" s="22"/>
      <c r="J579" s="22"/>
      <c r="K579" s="24"/>
      <c r="L579" s="19"/>
      <c r="V579" s="19"/>
      <c r="W579" s="21"/>
      <c r="X579" s="21"/>
      <c r="Y579" s="24"/>
      <c r="Z579" s="24"/>
      <c r="AA579" s="24"/>
      <c r="AB579" s="19"/>
      <c r="AC579" s="19"/>
      <c r="AD579" s="22"/>
      <c r="AE579" s="22"/>
      <c r="AF579" s="24"/>
    </row>
    <row r="580" spans="1:32" x14ac:dyDescent="0.25">
      <c r="A580" s="19"/>
      <c r="B580" s="21"/>
      <c r="C580" s="21"/>
      <c r="D580" s="24"/>
      <c r="E580" s="24"/>
      <c r="F580" s="24"/>
      <c r="G580" s="19"/>
      <c r="H580" s="19"/>
      <c r="I580" s="22"/>
      <c r="J580" s="22"/>
      <c r="K580" s="24"/>
      <c r="L580" s="19"/>
      <c r="V580" s="19"/>
      <c r="W580" s="21"/>
      <c r="X580" s="21"/>
      <c r="Y580" s="24"/>
      <c r="Z580" s="24"/>
      <c r="AA580" s="24"/>
      <c r="AB580" s="19"/>
      <c r="AC580" s="19"/>
      <c r="AD580" s="22"/>
      <c r="AE580" s="22"/>
      <c r="AF580" s="24"/>
    </row>
    <row r="581" spans="1:32" x14ac:dyDescent="0.25">
      <c r="A581" s="19"/>
      <c r="B581" s="21"/>
      <c r="C581" s="21"/>
      <c r="D581" s="24"/>
      <c r="E581" s="24"/>
      <c r="F581" s="24"/>
      <c r="G581" s="19"/>
      <c r="H581" s="19"/>
      <c r="I581" s="22"/>
      <c r="J581" s="22"/>
      <c r="K581" s="24"/>
      <c r="L581" s="19"/>
      <c r="V581" s="19"/>
      <c r="W581" s="21"/>
      <c r="X581" s="21"/>
      <c r="Y581" s="24"/>
      <c r="Z581" s="24"/>
      <c r="AA581" s="24"/>
      <c r="AB581" s="19"/>
      <c r="AC581" s="19"/>
      <c r="AD581" s="22"/>
      <c r="AE581" s="22"/>
      <c r="AF581" s="24"/>
    </row>
    <row r="582" spans="1:32" x14ac:dyDescent="0.25">
      <c r="A582" s="19"/>
      <c r="B582" s="21"/>
      <c r="C582" s="21"/>
      <c r="D582" s="24"/>
      <c r="E582" s="24"/>
      <c r="F582" s="24"/>
      <c r="G582" s="19"/>
      <c r="H582" s="19"/>
      <c r="I582" s="22"/>
      <c r="J582" s="22"/>
      <c r="K582" s="24"/>
      <c r="L582" s="19"/>
      <c r="V582" s="19"/>
      <c r="W582" s="21"/>
      <c r="X582" s="21"/>
      <c r="Y582" s="24"/>
      <c r="Z582" s="24"/>
      <c r="AA582" s="24"/>
      <c r="AB582" s="19"/>
      <c r="AC582" s="19"/>
      <c r="AD582" s="22"/>
      <c r="AE582" s="22"/>
      <c r="AF582" s="24"/>
    </row>
    <row r="583" spans="1:32" x14ac:dyDescent="0.25">
      <c r="A583" s="19"/>
      <c r="B583" s="21"/>
      <c r="C583" s="21"/>
      <c r="D583" s="24"/>
      <c r="E583" s="24"/>
      <c r="F583" s="24"/>
      <c r="G583" s="19"/>
      <c r="H583" s="19"/>
      <c r="I583" s="22"/>
      <c r="J583" s="22"/>
      <c r="K583" s="24"/>
      <c r="L583" s="19"/>
      <c r="V583" s="19"/>
      <c r="W583" s="21"/>
      <c r="X583" s="21"/>
      <c r="Y583" s="24"/>
      <c r="Z583" s="24"/>
      <c r="AA583" s="24"/>
      <c r="AB583" s="19"/>
      <c r="AC583" s="19"/>
      <c r="AD583" s="22"/>
      <c r="AE583" s="22"/>
      <c r="AF583" s="24"/>
    </row>
    <row r="584" spans="1:32" x14ac:dyDescent="0.25">
      <c r="A584" s="19"/>
      <c r="B584" s="21"/>
      <c r="C584" s="21"/>
      <c r="D584" s="24"/>
      <c r="E584" s="24"/>
      <c r="F584" s="24"/>
      <c r="G584" s="19"/>
      <c r="H584" s="19"/>
      <c r="I584" s="22"/>
      <c r="J584" s="22"/>
      <c r="K584" s="24"/>
      <c r="L584" s="19"/>
      <c r="V584" s="19"/>
      <c r="W584" s="21"/>
      <c r="X584" s="21"/>
      <c r="Y584" s="24"/>
      <c r="Z584" s="24"/>
      <c r="AA584" s="24"/>
      <c r="AB584" s="19"/>
      <c r="AC584" s="19"/>
      <c r="AD584" s="22"/>
      <c r="AE584" s="22"/>
      <c r="AF584" s="24"/>
    </row>
    <row r="585" spans="1:32" x14ac:dyDescent="0.25">
      <c r="A585" s="19"/>
      <c r="B585" s="21"/>
      <c r="C585" s="21"/>
      <c r="D585" s="24"/>
      <c r="E585" s="24"/>
      <c r="F585" s="24"/>
      <c r="G585" s="19"/>
      <c r="H585" s="19"/>
      <c r="I585" s="22"/>
      <c r="J585" s="22"/>
      <c r="K585" s="24"/>
      <c r="L585" s="19"/>
      <c r="V585" s="19"/>
      <c r="W585" s="21"/>
      <c r="X585" s="21"/>
      <c r="Y585" s="24"/>
      <c r="Z585" s="24"/>
      <c r="AA585" s="24"/>
      <c r="AB585" s="19"/>
      <c r="AC585" s="19"/>
      <c r="AD585" s="22"/>
      <c r="AE585" s="22"/>
      <c r="AF585" s="24"/>
    </row>
    <row r="586" spans="1:32" x14ac:dyDescent="0.25">
      <c r="A586" s="19"/>
      <c r="B586" s="21"/>
      <c r="C586" s="21"/>
      <c r="D586" s="24"/>
      <c r="E586" s="24"/>
      <c r="F586" s="24"/>
      <c r="G586" s="19"/>
      <c r="H586" s="19"/>
      <c r="I586" s="22"/>
      <c r="J586" s="22"/>
      <c r="K586" s="24"/>
      <c r="L586" s="19"/>
      <c r="V586" s="19"/>
      <c r="W586" s="21"/>
      <c r="X586" s="21"/>
      <c r="Y586" s="24"/>
      <c r="Z586" s="24"/>
      <c r="AA586" s="24"/>
      <c r="AB586" s="19"/>
      <c r="AC586" s="19"/>
      <c r="AD586" s="22"/>
      <c r="AE586" s="22"/>
      <c r="AF586" s="24"/>
    </row>
    <row r="587" spans="1:32" x14ac:dyDescent="0.25">
      <c r="A587" s="19"/>
      <c r="B587" s="21"/>
      <c r="C587" s="21"/>
      <c r="D587" s="24"/>
      <c r="E587" s="24"/>
      <c r="F587" s="24"/>
      <c r="G587" s="19"/>
      <c r="H587" s="19"/>
      <c r="I587" s="22"/>
      <c r="J587" s="22"/>
      <c r="K587" s="24"/>
      <c r="L587" s="19"/>
      <c r="V587" s="19"/>
      <c r="W587" s="21"/>
      <c r="X587" s="21"/>
      <c r="Y587" s="24"/>
      <c r="Z587" s="24"/>
      <c r="AA587" s="24"/>
      <c r="AB587" s="19"/>
      <c r="AC587" s="19"/>
      <c r="AD587" s="22"/>
      <c r="AE587" s="22"/>
      <c r="AF587" s="24"/>
    </row>
    <row r="588" spans="1:32" x14ac:dyDescent="0.25">
      <c r="A588" s="19"/>
      <c r="B588" s="21"/>
      <c r="C588" s="21"/>
      <c r="D588" s="24"/>
      <c r="E588" s="24"/>
      <c r="F588" s="24"/>
      <c r="G588" s="19"/>
      <c r="H588" s="19"/>
      <c r="I588" s="22"/>
      <c r="J588" s="22"/>
      <c r="K588" s="24"/>
      <c r="L588" s="19"/>
      <c r="V588" s="19"/>
      <c r="W588" s="21"/>
      <c r="X588" s="21"/>
      <c r="Y588" s="24"/>
      <c r="Z588" s="24"/>
      <c r="AA588" s="24"/>
      <c r="AB588" s="19"/>
      <c r="AC588" s="19"/>
      <c r="AD588" s="22"/>
      <c r="AE588" s="22"/>
      <c r="AF588" s="24"/>
    </row>
    <row r="589" spans="1:32" x14ac:dyDescent="0.25">
      <c r="A589" s="19"/>
      <c r="B589" s="21"/>
      <c r="C589" s="21"/>
      <c r="D589" s="24"/>
      <c r="E589" s="24"/>
      <c r="F589" s="24"/>
      <c r="G589" s="19"/>
      <c r="H589" s="19"/>
      <c r="I589" s="22"/>
      <c r="J589" s="22"/>
      <c r="K589" s="24"/>
      <c r="L589" s="19"/>
      <c r="V589" s="19"/>
      <c r="W589" s="21"/>
      <c r="X589" s="21"/>
      <c r="Y589" s="24"/>
      <c r="Z589" s="24"/>
      <c r="AA589" s="24"/>
      <c r="AB589" s="19"/>
      <c r="AC589" s="19"/>
      <c r="AD589" s="22"/>
      <c r="AE589" s="22"/>
      <c r="AF589" s="24"/>
    </row>
    <row r="590" spans="1:32" x14ac:dyDescent="0.25">
      <c r="A590" s="19"/>
      <c r="B590" s="21"/>
      <c r="C590" s="21"/>
      <c r="D590" s="24"/>
      <c r="E590" s="24"/>
      <c r="F590" s="24"/>
      <c r="G590" s="19"/>
      <c r="H590" s="19"/>
      <c r="I590" s="22"/>
      <c r="J590" s="22"/>
      <c r="K590" s="24"/>
      <c r="L590" s="19"/>
      <c r="V590" s="19"/>
      <c r="W590" s="21"/>
      <c r="X590" s="21"/>
      <c r="Y590" s="24"/>
      <c r="Z590" s="24"/>
      <c r="AA590" s="24"/>
      <c r="AB590" s="19"/>
      <c r="AC590" s="19"/>
      <c r="AD590" s="22"/>
      <c r="AE590" s="22"/>
      <c r="AF590" s="24"/>
    </row>
    <row r="591" spans="1:32" x14ac:dyDescent="0.25">
      <c r="A591" s="19"/>
      <c r="B591" s="21"/>
      <c r="C591" s="21"/>
      <c r="D591" s="24"/>
      <c r="E591" s="24"/>
      <c r="F591" s="24"/>
      <c r="G591" s="19"/>
      <c r="H591" s="19"/>
      <c r="I591" s="22"/>
      <c r="J591" s="22"/>
      <c r="K591" s="24"/>
      <c r="L591" s="19"/>
      <c r="V591" s="19"/>
      <c r="W591" s="21"/>
      <c r="X591" s="21"/>
      <c r="Y591" s="24"/>
      <c r="Z591" s="24"/>
      <c r="AA591" s="24"/>
      <c r="AB591" s="19"/>
      <c r="AC591" s="19"/>
      <c r="AD591" s="22"/>
      <c r="AE591" s="22"/>
      <c r="AF591" s="24"/>
    </row>
    <row r="592" spans="1:32" x14ac:dyDescent="0.25">
      <c r="A592" s="19"/>
      <c r="B592" s="21"/>
      <c r="C592" s="21"/>
      <c r="D592" s="24"/>
      <c r="E592" s="24"/>
      <c r="F592" s="24"/>
      <c r="G592" s="19"/>
      <c r="H592" s="19"/>
      <c r="I592" s="22"/>
      <c r="J592" s="22"/>
      <c r="K592" s="24"/>
      <c r="L592" s="19"/>
      <c r="V592" s="19"/>
      <c r="W592" s="21"/>
      <c r="X592" s="21"/>
      <c r="Y592" s="24"/>
      <c r="Z592" s="24"/>
      <c r="AA592" s="24"/>
      <c r="AB592" s="19"/>
      <c r="AC592" s="19"/>
      <c r="AD592" s="22"/>
      <c r="AE592" s="22"/>
      <c r="AF592" s="24"/>
    </row>
    <row r="593" spans="1:32" x14ac:dyDescent="0.25">
      <c r="A593" s="19"/>
      <c r="B593" s="21"/>
      <c r="C593" s="21"/>
      <c r="D593" s="24"/>
      <c r="E593" s="24"/>
      <c r="F593" s="24"/>
      <c r="G593" s="19"/>
      <c r="H593" s="19"/>
      <c r="I593" s="22"/>
      <c r="J593" s="22"/>
      <c r="K593" s="24"/>
      <c r="L593" s="19"/>
      <c r="V593" s="19"/>
      <c r="W593" s="21"/>
      <c r="X593" s="21"/>
      <c r="Y593" s="24"/>
      <c r="Z593" s="24"/>
      <c r="AA593" s="24"/>
      <c r="AB593" s="19"/>
      <c r="AC593" s="19"/>
      <c r="AD593" s="22"/>
      <c r="AE593" s="22"/>
      <c r="AF593" s="24"/>
    </row>
    <row r="594" spans="1:32" x14ac:dyDescent="0.25">
      <c r="A594" s="19"/>
      <c r="B594" s="21"/>
      <c r="C594" s="21"/>
      <c r="D594" s="24"/>
      <c r="E594" s="24"/>
      <c r="F594" s="24"/>
      <c r="G594" s="19"/>
      <c r="H594" s="19"/>
      <c r="I594" s="22"/>
      <c r="J594" s="22"/>
      <c r="K594" s="24"/>
      <c r="L594" s="19"/>
      <c r="V594" s="19"/>
      <c r="W594" s="21"/>
      <c r="X594" s="21"/>
      <c r="Y594" s="24"/>
      <c r="Z594" s="24"/>
      <c r="AA594" s="24"/>
      <c r="AB594" s="19"/>
      <c r="AC594" s="19"/>
      <c r="AD594" s="22"/>
      <c r="AE594" s="22"/>
      <c r="AF594" s="24"/>
    </row>
    <row r="595" spans="1:32" x14ac:dyDescent="0.25">
      <c r="A595" s="19"/>
      <c r="B595" s="21"/>
      <c r="C595" s="21"/>
      <c r="D595" s="24"/>
      <c r="E595" s="24"/>
      <c r="F595" s="24"/>
      <c r="G595" s="19"/>
      <c r="H595" s="19"/>
      <c r="I595" s="22"/>
      <c r="J595" s="22"/>
      <c r="K595" s="24"/>
      <c r="L595" s="19"/>
      <c r="V595" s="19"/>
      <c r="W595" s="21"/>
      <c r="X595" s="21"/>
      <c r="Y595" s="24"/>
      <c r="Z595" s="24"/>
      <c r="AA595" s="24"/>
      <c r="AB595" s="19"/>
      <c r="AC595" s="19"/>
      <c r="AD595" s="22"/>
      <c r="AE595" s="22"/>
      <c r="AF595" s="24"/>
    </row>
    <row r="596" spans="1:32" x14ac:dyDescent="0.25">
      <c r="A596" s="19"/>
      <c r="B596" s="21"/>
      <c r="C596" s="21"/>
      <c r="D596" s="24"/>
      <c r="E596" s="24"/>
      <c r="F596" s="24"/>
      <c r="G596" s="19"/>
      <c r="H596" s="19"/>
      <c r="I596" s="22"/>
      <c r="J596" s="22"/>
      <c r="K596" s="24"/>
      <c r="L596" s="19"/>
      <c r="V596" s="19"/>
      <c r="W596" s="21"/>
      <c r="X596" s="21"/>
      <c r="Y596" s="24"/>
      <c r="Z596" s="24"/>
      <c r="AA596" s="24"/>
      <c r="AB596" s="19"/>
      <c r="AC596" s="19"/>
      <c r="AD596" s="22"/>
      <c r="AE596" s="22"/>
      <c r="AF596" s="24"/>
    </row>
    <row r="597" spans="1:32" x14ac:dyDescent="0.25">
      <c r="A597" s="19"/>
      <c r="B597" s="21"/>
      <c r="C597" s="21"/>
      <c r="D597" s="24"/>
      <c r="E597" s="24"/>
      <c r="F597" s="24"/>
      <c r="G597" s="19"/>
      <c r="H597" s="19"/>
      <c r="I597" s="22"/>
      <c r="J597" s="22"/>
      <c r="K597" s="24"/>
      <c r="L597" s="19"/>
      <c r="V597" s="19"/>
      <c r="W597" s="21"/>
      <c r="X597" s="21"/>
      <c r="Y597" s="24"/>
      <c r="Z597" s="24"/>
      <c r="AA597" s="24"/>
      <c r="AB597" s="19"/>
      <c r="AC597" s="19"/>
      <c r="AD597" s="22"/>
      <c r="AE597" s="22"/>
      <c r="AF597" s="24"/>
    </row>
    <row r="598" spans="1:32" x14ac:dyDescent="0.25">
      <c r="A598" s="19"/>
      <c r="B598" s="21"/>
      <c r="C598" s="21"/>
      <c r="D598" s="24"/>
      <c r="E598" s="24"/>
      <c r="F598" s="24"/>
      <c r="G598" s="19"/>
      <c r="H598" s="19"/>
      <c r="I598" s="22"/>
      <c r="J598" s="22"/>
      <c r="K598" s="24"/>
      <c r="L598" s="19"/>
      <c r="V598" s="19"/>
      <c r="W598" s="21"/>
      <c r="X598" s="21"/>
      <c r="Y598" s="24"/>
      <c r="Z598" s="24"/>
      <c r="AA598" s="24"/>
      <c r="AB598" s="19"/>
      <c r="AC598" s="19"/>
      <c r="AD598" s="22"/>
      <c r="AE598" s="22"/>
      <c r="AF598" s="24"/>
    </row>
    <row r="599" spans="1:32" x14ac:dyDescent="0.25">
      <c r="A599" s="19"/>
      <c r="B599" s="21"/>
      <c r="C599" s="21"/>
      <c r="D599" s="24"/>
      <c r="E599" s="24"/>
      <c r="F599" s="24"/>
      <c r="G599" s="19"/>
      <c r="H599" s="19"/>
      <c r="I599" s="22"/>
      <c r="J599" s="22"/>
      <c r="K599" s="24"/>
      <c r="L599" s="19"/>
      <c r="V599" s="19"/>
      <c r="W599" s="21"/>
      <c r="X599" s="21"/>
      <c r="Y599" s="24"/>
      <c r="Z599" s="24"/>
      <c r="AA599" s="24"/>
      <c r="AB599" s="19"/>
      <c r="AC599" s="19"/>
      <c r="AD599" s="22"/>
      <c r="AE599" s="22"/>
      <c r="AF599" s="24"/>
    </row>
    <row r="600" spans="1:32" x14ac:dyDescent="0.25">
      <c r="A600" s="19"/>
      <c r="B600" s="21"/>
      <c r="C600" s="21"/>
      <c r="D600" s="24"/>
      <c r="E600" s="24"/>
      <c r="F600" s="24"/>
      <c r="G600" s="19"/>
      <c r="H600" s="19"/>
      <c r="I600" s="22"/>
      <c r="J600" s="22"/>
      <c r="K600" s="24"/>
      <c r="L600" s="19"/>
      <c r="V600" s="19"/>
      <c r="W600" s="21"/>
      <c r="X600" s="21"/>
      <c r="Y600" s="24"/>
      <c r="Z600" s="24"/>
      <c r="AA600" s="24"/>
      <c r="AB600" s="19"/>
      <c r="AC600" s="19"/>
      <c r="AD600" s="22"/>
      <c r="AE600" s="22"/>
      <c r="AF600" s="24"/>
    </row>
    <row r="601" spans="1:32" x14ac:dyDescent="0.25">
      <c r="A601" s="19"/>
      <c r="B601" s="21"/>
      <c r="C601" s="21"/>
      <c r="D601" s="24"/>
      <c r="E601" s="24"/>
      <c r="F601" s="24"/>
      <c r="G601" s="19"/>
      <c r="H601" s="19"/>
      <c r="I601" s="22"/>
      <c r="J601" s="22"/>
      <c r="K601" s="24"/>
      <c r="L601" s="19"/>
      <c r="V601" s="19"/>
      <c r="W601" s="21"/>
      <c r="X601" s="21"/>
      <c r="Y601" s="24"/>
      <c r="Z601" s="24"/>
      <c r="AA601" s="24"/>
      <c r="AB601" s="19"/>
      <c r="AC601" s="19"/>
      <c r="AD601" s="22"/>
      <c r="AE601" s="22"/>
      <c r="AF601" s="24"/>
    </row>
    <row r="602" spans="1:32" x14ac:dyDescent="0.25">
      <c r="A602" s="19"/>
      <c r="B602" s="21"/>
      <c r="C602" s="21"/>
      <c r="D602" s="24"/>
      <c r="E602" s="24"/>
      <c r="F602" s="24"/>
      <c r="G602" s="19"/>
      <c r="H602" s="19"/>
      <c r="I602" s="22"/>
      <c r="J602" s="22"/>
      <c r="K602" s="24"/>
      <c r="L602" s="19"/>
      <c r="V602" s="19"/>
      <c r="W602" s="21"/>
      <c r="X602" s="21"/>
      <c r="Y602" s="24"/>
      <c r="Z602" s="24"/>
      <c r="AA602" s="24"/>
      <c r="AB602" s="19"/>
      <c r="AC602" s="19"/>
      <c r="AD602" s="22"/>
      <c r="AE602" s="22"/>
      <c r="AF602" s="24"/>
    </row>
    <row r="603" spans="1:32" x14ac:dyDescent="0.25">
      <c r="A603" s="19"/>
      <c r="B603" s="21"/>
      <c r="C603" s="21"/>
      <c r="D603" s="24"/>
      <c r="E603" s="24"/>
      <c r="F603" s="24"/>
      <c r="G603" s="19"/>
      <c r="H603" s="19"/>
      <c r="I603" s="22"/>
      <c r="J603" s="22"/>
      <c r="K603" s="24"/>
      <c r="L603" s="19"/>
      <c r="V603" s="19"/>
      <c r="W603" s="21"/>
      <c r="X603" s="21"/>
      <c r="Y603" s="24"/>
      <c r="Z603" s="24"/>
      <c r="AA603" s="24"/>
      <c r="AB603" s="19"/>
      <c r="AC603" s="19"/>
      <c r="AD603" s="22"/>
      <c r="AE603" s="22"/>
      <c r="AF603" s="24"/>
    </row>
    <row r="604" spans="1:32" x14ac:dyDescent="0.25">
      <c r="A604" s="19"/>
      <c r="B604" s="21"/>
      <c r="C604" s="21"/>
      <c r="D604" s="24"/>
      <c r="E604" s="24"/>
      <c r="F604" s="24"/>
      <c r="G604" s="19"/>
      <c r="H604" s="19"/>
      <c r="I604" s="22"/>
      <c r="J604" s="22"/>
      <c r="K604" s="24"/>
      <c r="L604" s="19"/>
      <c r="V604" s="19"/>
      <c r="W604" s="21"/>
      <c r="X604" s="21"/>
      <c r="Y604" s="24"/>
      <c r="Z604" s="24"/>
      <c r="AA604" s="24"/>
      <c r="AB604" s="19"/>
      <c r="AC604" s="19"/>
      <c r="AD604" s="22"/>
      <c r="AE604" s="22"/>
      <c r="AF604" s="24"/>
    </row>
    <row r="605" spans="1:32" x14ac:dyDescent="0.25">
      <c r="A605" s="19"/>
      <c r="B605" s="21"/>
      <c r="C605" s="21"/>
      <c r="D605" s="24"/>
      <c r="E605" s="24"/>
      <c r="F605" s="24"/>
      <c r="G605" s="19"/>
      <c r="H605" s="19"/>
      <c r="I605" s="22"/>
      <c r="J605" s="22"/>
      <c r="K605" s="24"/>
      <c r="L605" s="19"/>
      <c r="V605" s="19"/>
      <c r="W605" s="21"/>
      <c r="X605" s="21"/>
      <c r="Y605" s="24"/>
      <c r="Z605" s="24"/>
      <c r="AA605" s="24"/>
      <c r="AB605" s="19"/>
      <c r="AC605" s="19"/>
      <c r="AD605" s="22"/>
      <c r="AE605" s="22"/>
      <c r="AF605" s="24"/>
    </row>
    <row r="606" spans="1:32" x14ac:dyDescent="0.25">
      <c r="A606" s="19"/>
      <c r="B606" s="21"/>
      <c r="C606" s="21"/>
      <c r="D606" s="24"/>
      <c r="E606" s="24"/>
      <c r="F606" s="24"/>
      <c r="G606" s="19"/>
      <c r="H606" s="19"/>
      <c r="I606" s="22"/>
      <c r="J606" s="22"/>
      <c r="K606" s="24"/>
      <c r="L606" s="19"/>
      <c r="V606" s="19"/>
      <c r="W606" s="21"/>
      <c r="X606" s="21"/>
      <c r="Y606" s="24"/>
      <c r="Z606" s="24"/>
      <c r="AA606" s="24"/>
      <c r="AB606" s="19"/>
      <c r="AC606" s="19"/>
      <c r="AD606" s="22"/>
      <c r="AE606" s="22"/>
      <c r="AF606" s="24"/>
    </row>
    <row r="607" spans="1:32" x14ac:dyDescent="0.25">
      <c r="A607" s="19"/>
      <c r="B607" s="21"/>
      <c r="C607" s="21"/>
      <c r="D607" s="24"/>
      <c r="E607" s="24"/>
      <c r="F607" s="24"/>
      <c r="G607" s="19"/>
      <c r="H607" s="19"/>
      <c r="I607" s="22"/>
      <c r="J607" s="22"/>
      <c r="K607" s="24"/>
      <c r="V607" s="19"/>
      <c r="W607" s="21"/>
      <c r="X607" s="21"/>
      <c r="Y607" s="24"/>
      <c r="Z607" s="24"/>
      <c r="AA607" s="24"/>
      <c r="AB607" s="19"/>
      <c r="AC607" s="19"/>
      <c r="AD607" s="22"/>
      <c r="AE607" s="22"/>
      <c r="AF607" s="24"/>
    </row>
  </sheetData>
  <sortState ref="B8:K22">
    <sortCondition ref="B8"/>
  </sortState>
  <mergeCells count="4">
    <mergeCell ref="C2:D3"/>
    <mergeCell ref="A4:L5"/>
    <mergeCell ref="A6:L6"/>
    <mergeCell ref="E2:H3"/>
  </mergeCells>
  <pageMargins left="0.511811024" right="0.511811024" top="0.78740157499999996" bottom="0.78740157499999996" header="0.31496062000000002" footer="0.31496062000000002"/>
  <pageSetup paperSize="9" orientation="landscape" r:id="rId1"/>
  <headerFooter>
    <oddHeader>&amp;LEmitido em &amp;D&amp;CIGREJA EVANGÉLICA ASSEMBLEIA DE DEUS
PITANGA, PARANÁ
&amp;R&amp;N</oddHeader>
    <oddFooter>&amp;LAssinatura 1º Tesoureiro&amp;CAssinatura Conselho Fiscal&amp;RAssinatura Pastor Presidente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8" r:id="rId4" name="Button 26">
              <controlPr defaultSize="0" print="0" autoFill="0" autoPict="0" macro="[0]!Selecionar_Imprimir01">
                <anchor moveWithCells="1" sizeWithCells="1">
                  <from>
                    <xdr:col>9</xdr:col>
                    <xdr:colOff>123825</xdr:colOff>
                    <xdr:row>0</xdr:row>
                    <xdr:rowOff>66675</xdr:rowOff>
                  </from>
                  <to>
                    <xdr:col>10</xdr:col>
                    <xdr:colOff>752475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5" name="Button 27">
              <controlPr defaultSize="0" print="0" autoFill="0" autoPict="0" macro="[0]!Copiar_Ordenar">
                <anchor moveWithCells="1" sizeWithCells="1">
                  <from>
                    <xdr:col>0</xdr:col>
                    <xdr:colOff>47625</xdr:colOff>
                    <xdr:row>0</xdr:row>
                    <xdr:rowOff>47625</xdr:rowOff>
                  </from>
                  <to>
                    <xdr:col>1</xdr:col>
                    <xdr:colOff>1057275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ReportSaidas" filterMode="1">
    <tabColor rgb="FFEF6557"/>
  </sheetPr>
  <dimension ref="A2:K610"/>
  <sheetViews>
    <sheetView topLeftCell="A10" zoomScaleNormal="100" workbookViewId="0">
      <selection activeCell="C10" sqref="C10"/>
    </sheetView>
  </sheetViews>
  <sheetFormatPr defaultColWidth="9" defaultRowHeight="15" x14ac:dyDescent="0.25"/>
  <cols>
    <col min="1" max="1" width="7.140625" style="124" bestFit="1" customWidth="1"/>
    <col min="2" max="2" width="29.7109375" style="124" bestFit="1" customWidth="1"/>
    <col min="3" max="3" width="20.85546875" style="124" bestFit="1" customWidth="1"/>
    <col min="4" max="4" width="11.42578125" style="124" bestFit="1" customWidth="1"/>
    <col min="5" max="5" width="19.140625" style="124" bestFit="1" customWidth="1"/>
    <col min="6" max="6" width="19.85546875" style="124" bestFit="1" customWidth="1"/>
    <col min="7" max="7" width="19.5703125" style="124" bestFit="1" customWidth="1"/>
    <col min="8" max="8" width="15.28515625" style="124" bestFit="1" customWidth="1"/>
    <col min="9" max="9" width="15.42578125" style="124" bestFit="1" customWidth="1"/>
    <col min="10" max="10" width="20.28515625" style="124" bestFit="1" customWidth="1"/>
    <col min="11" max="11" width="10.42578125" style="124" bestFit="1" customWidth="1"/>
    <col min="12" max="16384" width="9" style="124"/>
  </cols>
  <sheetData>
    <row r="2" spans="1:11" x14ac:dyDescent="0.25">
      <c r="D2" s="125" t="s">
        <v>413</v>
      </c>
      <c r="E2" s="125"/>
      <c r="F2" s="126">
        <f>SUBTOTAL(9,I:I)</f>
        <v>320</v>
      </c>
      <c r="G2" s="126"/>
      <c r="H2" s="126"/>
    </row>
    <row r="3" spans="1:11" ht="19.5" customHeight="1" x14ac:dyDescent="0.25">
      <c r="D3" s="125"/>
      <c r="E3" s="125"/>
      <c r="F3" s="126"/>
      <c r="G3" s="126"/>
      <c r="H3" s="126"/>
    </row>
    <row r="4" spans="1:11" x14ac:dyDescent="0.25">
      <c r="A4" s="127" t="str">
        <f>"SAÍDAS REFERENTE AO MÊS DE "&amp;ENTRADAS!$A$4</f>
        <v>SAÍDAS REFERENTE AO MÊS DE OUTUBRO / 2017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5" spans="1:11" x14ac:dyDescent="0.25">
      <c r="A5" s="127"/>
      <c r="B5" s="127"/>
      <c r="C5" s="127"/>
      <c r="D5" s="127"/>
      <c r="E5" s="127"/>
      <c r="F5" s="127"/>
      <c r="G5" s="127"/>
      <c r="H5" s="127"/>
      <c r="I5" s="127"/>
      <c r="J5" s="127"/>
      <c r="K5" s="127"/>
    </row>
    <row r="6" spans="1:11" ht="18.75" x14ac:dyDescent="0.25">
      <c r="A6" s="128" t="s">
        <v>81</v>
      </c>
      <c r="B6" s="128"/>
      <c r="C6" s="128"/>
      <c r="D6" s="128"/>
      <c r="E6" s="128"/>
      <c r="F6" s="128"/>
      <c r="G6" s="128"/>
      <c r="H6" s="128"/>
      <c r="I6" s="128"/>
      <c r="J6" s="128"/>
      <c r="K6" s="128"/>
    </row>
    <row r="7" spans="1:11" ht="19.5" thickBot="1" x14ac:dyDescent="0.3">
      <c r="A7" s="129"/>
      <c r="B7" s="130" t="s">
        <v>416</v>
      </c>
      <c r="C7" s="129"/>
      <c r="D7" s="129"/>
      <c r="E7" s="129"/>
      <c r="F7" s="129"/>
      <c r="G7" s="129"/>
      <c r="H7" s="129"/>
      <c r="I7" s="129"/>
      <c r="J7" s="129"/>
      <c r="K7" s="129"/>
    </row>
    <row r="8" spans="1:11" ht="19.5" thickBot="1" x14ac:dyDescent="0.3">
      <c r="A8" s="129"/>
      <c r="B8" s="131"/>
      <c r="C8" s="129"/>
      <c r="D8" s="129"/>
      <c r="E8" s="129"/>
      <c r="F8" s="129"/>
      <c r="G8" s="129"/>
      <c r="H8" s="129"/>
      <c r="I8" s="129"/>
      <c r="J8" s="129"/>
      <c r="K8" s="129"/>
    </row>
    <row r="9" spans="1:11" ht="18.75" x14ac:dyDescent="0.25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</row>
    <row r="10" spans="1:11" ht="26.25" customHeight="1" x14ac:dyDescent="0.25">
      <c r="A10" s="132" t="s">
        <v>13</v>
      </c>
      <c r="B10" s="133" t="s">
        <v>3</v>
      </c>
      <c r="C10" s="133" t="s">
        <v>33</v>
      </c>
      <c r="D10" s="133" t="s">
        <v>85</v>
      </c>
      <c r="E10" s="134" t="s">
        <v>35</v>
      </c>
      <c r="F10" s="135" t="s">
        <v>36</v>
      </c>
      <c r="G10" s="135" t="s">
        <v>37</v>
      </c>
      <c r="H10" s="134" t="s">
        <v>38</v>
      </c>
      <c r="I10" s="134" t="s">
        <v>39</v>
      </c>
      <c r="J10" s="136" t="s">
        <v>8</v>
      </c>
      <c r="K10" s="137" t="s">
        <v>40</v>
      </c>
    </row>
    <row r="11" spans="1:11" hidden="1" x14ac:dyDescent="0.25">
      <c r="A11" s="138">
        <v>1</v>
      </c>
      <c r="B11" s="138" t="s">
        <v>93</v>
      </c>
      <c r="C11" s="139" t="s">
        <v>15</v>
      </c>
      <c r="D11" s="139">
        <v>123245</v>
      </c>
      <c r="E11" s="140" t="s">
        <v>49</v>
      </c>
      <c r="F11" s="141">
        <v>42955</v>
      </c>
      <c r="G11" s="141">
        <v>42955</v>
      </c>
      <c r="H11" s="142">
        <v>45.65</v>
      </c>
      <c r="I11" s="142">
        <v>45.8</v>
      </c>
      <c r="J11" s="143">
        <v>42955</v>
      </c>
      <c r="K11" s="144">
        <v>-0.14999999999999858</v>
      </c>
    </row>
    <row r="12" spans="1:11" hidden="1" x14ac:dyDescent="0.25">
      <c r="A12" s="138">
        <v>2</v>
      </c>
      <c r="B12" s="138" t="s">
        <v>91</v>
      </c>
      <c r="C12" s="139" t="s">
        <v>23</v>
      </c>
      <c r="D12" s="139">
        <v>5654</v>
      </c>
      <c r="E12" s="140" t="s">
        <v>49</v>
      </c>
      <c r="F12" s="141">
        <v>42955</v>
      </c>
      <c r="G12" s="141">
        <v>42955</v>
      </c>
      <c r="H12" s="142">
        <v>120</v>
      </c>
      <c r="I12" s="142">
        <v>118</v>
      </c>
      <c r="J12" s="143">
        <v>42955</v>
      </c>
      <c r="K12" s="144">
        <v>2</v>
      </c>
    </row>
    <row r="13" spans="1:11" hidden="1" x14ac:dyDescent="0.25">
      <c r="A13" s="138">
        <v>3</v>
      </c>
      <c r="B13" s="138" t="s">
        <v>93</v>
      </c>
      <c r="C13" s="139" t="s">
        <v>23</v>
      </c>
      <c r="D13" s="139">
        <v>4562</v>
      </c>
      <c r="E13" s="140" t="s">
        <v>41</v>
      </c>
      <c r="F13" s="141">
        <v>42986</v>
      </c>
      <c r="G13" s="141">
        <v>42986</v>
      </c>
      <c r="H13" s="142">
        <v>28.95</v>
      </c>
      <c r="I13" s="142">
        <v>289.52</v>
      </c>
      <c r="J13" s="143">
        <v>42986</v>
      </c>
      <c r="K13" s="144">
        <v>-260.57</v>
      </c>
    </row>
    <row r="14" spans="1:11" hidden="1" x14ac:dyDescent="0.25">
      <c r="A14" s="138">
        <v>4</v>
      </c>
      <c r="B14" s="138" t="s">
        <v>86</v>
      </c>
      <c r="C14" s="139" t="s">
        <v>19</v>
      </c>
      <c r="D14" s="139"/>
      <c r="E14" s="140" t="s">
        <v>65</v>
      </c>
      <c r="F14" s="141">
        <v>42986</v>
      </c>
      <c r="G14" s="141">
        <v>42986</v>
      </c>
      <c r="H14" s="142">
        <v>480</v>
      </c>
      <c r="I14" s="142">
        <v>520</v>
      </c>
      <c r="J14" s="143">
        <v>42986</v>
      </c>
      <c r="K14" s="144">
        <v>-40</v>
      </c>
    </row>
    <row r="15" spans="1:11" hidden="1" x14ac:dyDescent="0.25">
      <c r="A15" s="138">
        <v>5</v>
      </c>
      <c r="B15" s="138" t="s">
        <v>89</v>
      </c>
      <c r="C15" s="139" t="s">
        <v>28</v>
      </c>
      <c r="D15" s="139"/>
      <c r="E15" s="140" t="s">
        <v>41</v>
      </c>
      <c r="F15" s="141">
        <v>42986</v>
      </c>
      <c r="G15" s="141">
        <v>42986</v>
      </c>
      <c r="H15" s="142">
        <v>400</v>
      </c>
      <c r="I15" s="142">
        <v>400</v>
      </c>
      <c r="J15" s="143">
        <v>42986</v>
      </c>
      <c r="K15" s="144">
        <v>0</v>
      </c>
    </row>
    <row r="16" spans="1:11" hidden="1" x14ac:dyDescent="0.25">
      <c r="A16" s="138">
        <v>6</v>
      </c>
      <c r="B16" s="138" t="s">
        <v>92</v>
      </c>
      <c r="C16" s="139" t="s">
        <v>22</v>
      </c>
      <c r="D16" s="139"/>
      <c r="E16" s="140" t="s">
        <v>41</v>
      </c>
      <c r="F16" s="141">
        <v>42986</v>
      </c>
      <c r="G16" s="141">
        <v>42986</v>
      </c>
      <c r="H16" s="142">
        <v>65.650000000000006</v>
      </c>
      <c r="I16" s="142">
        <v>65.650000000000006</v>
      </c>
      <c r="J16" s="143">
        <v>42986</v>
      </c>
      <c r="K16" s="144">
        <v>0</v>
      </c>
    </row>
    <row r="17" spans="1:11" hidden="1" x14ac:dyDescent="0.25">
      <c r="A17" s="138">
        <v>7</v>
      </c>
      <c r="B17" s="138" t="s">
        <v>89</v>
      </c>
      <c r="C17" s="139" t="s">
        <v>24</v>
      </c>
      <c r="D17" s="139"/>
      <c r="E17" s="140" t="s">
        <v>41</v>
      </c>
      <c r="F17" s="141">
        <v>42986</v>
      </c>
      <c r="G17" s="141">
        <v>42986</v>
      </c>
      <c r="H17" s="142">
        <v>380</v>
      </c>
      <c r="I17" s="142">
        <v>380</v>
      </c>
      <c r="J17" s="143">
        <v>42986</v>
      </c>
      <c r="K17" s="144">
        <v>0</v>
      </c>
    </row>
    <row r="18" spans="1:11" hidden="1" x14ac:dyDescent="0.25">
      <c r="A18" s="138">
        <v>8</v>
      </c>
      <c r="B18" s="138" t="s">
        <v>94</v>
      </c>
      <c r="C18" s="139" t="s">
        <v>27</v>
      </c>
      <c r="D18" s="139"/>
      <c r="E18" s="140" t="s">
        <v>41</v>
      </c>
      <c r="F18" s="141">
        <v>42986</v>
      </c>
      <c r="G18" s="141">
        <v>42986</v>
      </c>
      <c r="H18" s="142">
        <v>680</v>
      </c>
      <c r="I18" s="142">
        <v>680</v>
      </c>
      <c r="J18" s="143">
        <v>42986</v>
      </c>
      <c r="K18" s="144">
        <v>0</v>
      </c>
    </row>
    <row r="19" spans="1:11" hidden="1" x14ac:dyDescent="0.25">
      <c r="A19" s="138">
        <v>9</v>
      </c>
      <c r="B19" s="138" t="s">
        <v>90</v>
      </c>
      <c r="C19" s="139" t="s">
        <v>30</v>
      </c>
      <c r="D19" s="139"/>
      <c r="E19" s="140" t="s">
        <v>41</v>
      </c>
      <c r="F19" s="141">
        <v>42986</v>
      </c>
      <c r="G19" s="141">
        <v>42986</v>
      </c>
      <c r="H19" s="142">
        <v>645.45000000000005</v>
      </c>
      <c r="I19" s="142">
        <v>645.45000000000005</v>
      </c>
      <c r="J19" s="143">
        <v>42986</v>
      </c>
      <c r="K19" s="144">
        <v>0</v>
      </c>
    </row>
    <row r="20" spans="1:11" hidden="1" x14ac:dyDescent="0.25">
      <c r="A20" s="138">
        <v>10</v>
      </c>
      <c r="B20" s="138" t="s">
        <v>86</v>
      </c>
      <c r="C20" s="139" t="s">
        <v>31</v>
      </c>
      <c r="D20" s="139"/>
      <c r="E20" s="140" t="s">
        <v>41</v>
      </c>
      <c r="F20" s="141">
        <v>42986</v>
      </c>
      <c r="G20" s="141">
        <v>42986</v>
      </c>
      <c r="H20" s="142">
        <v>48</v>
      </c>
      <c r="I20" s="142">
        <v>48</v>
      </c>
      <c r="J20" s="143">
        <v>42986</v>
      </c>
      <c r="K20" s="144">
        <v>0</v>
      </c>
    </row>
    <row r="21" spans="1:11" hidden="1" x14ac:dyDescent="0.25">
      <c r="A21" s="138">
        <v>11</v>
      </c>
      <c r="B21" s="138" t="s">
        <v>90</v>
      </c>
      <c r="C21" s="139" t="s">
        <v>25</v>
      </c>
      <c r="D21" s="139"/>
      <c r="E21" s="140" t="s">
        <v>41</v>
      </c>
      <c r="F21" s="141">
        <v>42986</v>
      </c>
      <c r="G21" s="141">
        <v>42986</v>
      </c>
      <c r="H21" s="142">
        <v>68.680000000000007</v>
      </c>
      <c r="I21" s="142">
        <v>68.680000000000007</v>
      </c>
      <c r="J21" s="143">
        <v>42986</v>
      </c>
      <c r="K21" s="144">
        <v>0</v>
      </c>
    </row>
    <row r="22" spans="1:11" hidden="1" x14ac:dyDescent="0.25">
      <c r="A22" s="138">
        <v>12</v>
      </c>
      <c r="B22" s="138" t="s">
        <v>88</v>
      </c>
      <c r="C22" s="139" t="s">
        <v>16</v>
      </c>
      <c r="D22" s="139"/>
      <c r="E22" s="140" t="s">
        <v>41</v>
      </c>
      <c r="F22" s="141">
        <v>42986</v>
      </c>
      <c r="G22" s="141">
        <v>42986</v>
      </c>
      <c r="H22" s="142">
        <v>656.54</v>
      </c>
      <c r="I22" s="142">
        <v>656.54</v>
      </c>
      <c r="J22" s="143">
        <v>42986</v>
      </c>
      <c r="K22" s="144">
        <v>0</v>
      </c>
    </row>
    <row r="23" spans="1:11" hidden="1" x14ac:dyDescent="0.25">
      <c r="A23" s="138">
        <v>13</v>
      </c>
      <c r="B23" s="138" t="s">
        <v>89</v>
      </c>
      <c r="C23" s="139" t="s">
        <v>16</v>
      </c>
      <c r="D23" s="139"/>
      <c r="E23" s="140" t="s">
        <v>41</v>
      </c>
      <c r="F23" s="141">
        <v>42986</v>
      </c>
      <c r="G23" s="141">
        <v>42986</v>
      </c>
      <c r="H23" s="142">
        <v>421.21</v>
      </c>
      <c r="I23" s="142">
        <v>421.21</v>
      </c>
      <c r="J23" s="143">
        <v>42986</v>
      </c>
      <c r="K23" s="144">
        <v>0</v>
      </c>
    </row>
    <row r="24" spans="1:11" hidden="1" x14ac:dyDescent="0.25">
      <c r="A24" s="138">
        <v>14</v>
      </c>
      <c r="B24" s="138" t="s">
        <v>87</v>
      </c>
      <c r="C24" s="139" t="s">
        <v>26</v>
      </c>
      <c r="D24" s="139"/>
      <c r="E24" s="140" t="s">
        <v>41</v>
      </c>
      <c r="F24" s="141">
        <v>42986</v>
      </c>
      <c r="G24" s="141">
        <v>42986</v>
      </c>
      <c r="H24" s="142">
        <v>45.45</v>
      </c>
      <c r="I24" s="142">
        <v>800</v>
      </c>
      <c r="J24" s="143">
        <v>42986</v>
      </c>
      <c r="K24" s="144">
        <v>-754.55</v>
      </c>
    </row>
    <row r="25" spans="1:11" hidden="1" x14ac:dyDescent="0.25">
      <c r="A25" s="138">
        <v>15</v>
      </c>
      <c r="B25" s="138" t="s">
        <v>91</v>
      </c>
      <c r="C25" s="139" t="s">
        <v>32</v>
      </c>
      <c r="D25" s="139"/>
      <c r="E25" s="140" t="s">
        <v>41</v>
      </c>
      <c r="F25" s="141">
        <v>42986</v>
      </c>
      <c r="G25" s="141">
        <v>42986</v>
      </c>
      <c r="H25" s="142">
        <v>6.86</v>
      </c>
      <c r="I25" s="142">
        <v>15</v>
      </c>
      <c r="J25" s="143">
        <v>42986</v>
      </c>
      <c r="K25" s="144">
        <v>-8.14</v>
      </c>
    </row>
    <row r="26" spans="1:11" hidden="1" x14ac:dyDescent="0.25">
      <c r="A26" s="138">
        <v>16</v>
      </c>
      <c r="B26" s="138" t="s">
        <v>90</v>
      </c>
      <c r="C26" s="139" t="s">
        <v>20</v>
      </c>
      <c r="D26" s="139"/>
      <c r="E26" s="140" t="s">
        <v>41</v>
      </c>
      <c r="F26" s="141">
        <v>42986</v>
      </c>
      <c r="G26" s="141">
        <v>42986</v>
      </c>
      <c r="H26" s="142">
        <v>800</v>
      </c>
      <c r="I26" s="142">
        <v>1400</v>
      </c>
      <c r="J26" s="143">
        <v>42986</v>
      </c>
      <c r="K26" s="144">
        <v>-600</v>
      </c>
    </row>
    <row r="27" spans="1:11" hidden="1" x14ac:dyDescent="0.25">
      <c r="A27" s="138">
        <v>17</v>
      </c>
      <c r="B27" s="138" t="s">
        <v>86</v>
      </c>
      <c r="C27" s="139" t="s">
        <v>18</v>
      </c>
      <c r="D27" s="139"/>
      <c r="E27" s="140" t="s">
        <v>41</v>
      </c>
      <c r="F27" s="141">
        <v>42986</v>
      </c>
      <c r="G27" s="141">
        <v>42986</v>
      </c>
      <c r="H27" s="142">
        <v>8000</v>
      </c>
      <c r="I27" s="142">
        <v>1000</v>
      </c>
      <c r="J27" s="143">
        <v>42986</v>
      </c>
      <c r="K27" s="144">
        <v>7000</v>
      </c>
    </row>
    <row r="28" spans="1:11" hidden="1" x14ac:dyDescent="0.25">
      <c r="A28" s="138">
        <v>18</v>
      </c>
      <c r="B28" s="138" t="s">
        <v>90</v>
      </c>
      <c r="C28" s="139" t="s">
        <v>18</v>
      </c>
      <c r="D28" s="139"/>
      <c r="E28" s="140" t="s">
        <v>41</v>
      </c>
      <c r="F28" s="141">
        <v>42986</v>
      </c>
      <c r="G28" s="141">
        <v>42986</v>
      </c>
      <c r="H28" s="142">
        <v>2500</v>
      </c>
      <c r="I28" s="142">
        <v>2480</v>
      </c>
      <c r="J28" s="143">
        <v>42986</v>
      </c>
      <c r="K28" s="144">
        <v>20</v>
      </c>
    </row>
    <row r="29" spans="1:11" x14ac:dyDescent="0.25">
      <c r="A29" s="138">
        <v>19</v>
      </c>
      <c r="B29" s="138" t="s">
        <v>86</v>
      </c>
      <c r="C29" s="139" t="s">
        <v>54</v>
      </c>
      <c r="D29" s="139"/>
      <c r="E29" s="140" t="s">
        <v>41</v>
      </c>
      <c r="F29" s="141">
        <v>42986</v>
      </c>
      <c r="G29" s="141">
        <v>42986</v>
      </c>
      <c r="H29" s="142">
        <v>320</v>
      </c>
      <c r="I29" s="142">
        <v>320</v>
      </c>
      <c r="J29" s="143">
        <v>42986</v>
      </c>
      <c r="K29" s="144">
        <v>0</v>
      </c>
    </row>
    <row r="30" spans="1:11" hidden="1" x14ac:dyDescent="0.25">
      <c r="A30" s="138">
        <v>20</v>
      </c>
      <c r="B30" s="138" t="s">
        <v>91</v>
      </c>
      <c r="C30" s="139" t="s">
        <v>21</v>
      </c>
      <c r="D30" s="139"/>
      <c r="E30" s="140" t="s">
        <v>41</v>
      </c>
      <c r="F30" s="141">
        <v>42986</v>
      </c>
      <c r="G30" s="141">
        <v>42986</v>
      </c>
      <c r="H30" s="142">
        <v>280</v>
      </c>
      <c r="I30" s="142">
        <v>280</v>
      </c>
      <c r="J30" s="143">
        <v>42986</v>
      </c>
      <c r="K30" s="144">
        <v>0</v>
      </c>
    </row>
    <row r="31" spans="1:11" hidden="1" x14ac:dyDescent="0.25">
      <c r="A31" s="138">
        <v>21</v>
      </c>
      <c r="B31" s="138" t="s">
        <v>94</v>
      </c>
      <c r="C31" s="139" t="s">
        <v>29</v>
      </c>
      <c r="D31" s="139"/>
      <c r="E31" s="140" t="s">
        <v>41</v>
      </c>
      <c r="F31" s="141">
        <v>42986</v>
      </c>
      <c r="G31" s="141">
        <v>42986</v>
      </c>
      <c r="H31" s="142">
        <v>4565.6400000000003</v>
      </c>
      <c r="I31" s="142">
        <v>4565.6400000000003</v>
      </c>
      <c r="J31" s="143">
        <v>42986</v>
      </c>
      <c r="K31" s="144">
        <v>0</v>
      </c>
    </row>
    <row r="32" spans="1:11" hidden="1" x14ac:dyDescent="0.25">
      <c r="A32" s="138">
        <v>22</v>
      </c>
      <c r="B32" s="138" t="s">
        <v>91</v>
      </c>
      <c r="C32" s="139" t="s">
        <v>17</v>
      </c>
      <c r="D32" s="139"/>
      <c r="E32" s="140" t="s">
        <v>41</v>
      </c>
      <c r="F32" s="141">
        <v>42986</v>
      </c>
      <c r="G32" s="141">
        <v>42986</v>
      </c>
      <c r="H32" s="142">
        <v>228</v>
      </c>
      <c r="I32" s="142">
        <v>236</v>
      </c>
      <c r="J32" s="143">
        <v>42986</v>
      </c>
      <c r="K32" s="144">
        <v>-8</v>
      </c>
    </row>
    <row r="33" spans="1:11" hidden="1" x14ac:dyDescent="0.25">
      <c r="A33" s="145">
        <v>1</v>
      </c>
      <c r="B33" s="145" t="s">
        <v>91</v>
      </c>
      <c r="C33" s="145" t="s">
        <v>25</v>
      </c>
      <c r="D33" s="145">
        <v>545651</v>
      </c>
      <c r="E33" s="146" t="s">
        <v>25</v>
      </c>
      <c r="F33" s="147">
        <v>42770</v>
      </c>
      <c r="G33" s="147">
        <v>42865</v>
      </c>
      <c r="H33" s="146">
        <v>80</v>
      </c>
      <c r="I33" s="146">
        <v>90</v>
      </c>
      <c r="J33" s="148">
        <v>42865</v>
      </c>
      <c r="K33" s="144">
        <v>-10</v>
      </c>
    </row>
    <row r="34" spans="1:11" x14ac:dyDescent="0.25">
      <c r="A34" s="149"/>
      <c r="B34" s="149"/>
      <c r="C34" s="145"/>
      <c r="D34" s="145"/>
      <c r="E34" s="146"/>
      <c r="F34" s="147"/>
      <c r="G34" s="147"/>
      <c r="H34" s="150"/>
      <c r="I34" s="150"/>
      <c r="J34" s="148"/>
      <c r="K34" s="144"/>
    </row>
    <row r="35" spans="1:11" x14ac:dyDescent="0.25">
      <c r="A35" s="149"/>
      <c r="B35" s="149"/>
      <c r="C35" s="145"/>
      <c r="D35" s="145"/>
      <c r="E35" s="146"/>
      <c r="F35" s="147"/>
      <c r="G35" s="147"/>
      <c r="H35" s="150"/>
      <c r="I35" s="150"/>
      <c r="J35" s="148"/>
      <c r="K35" s="144"/>
    </row>
    <row r="36" spans="1:11" x14ac:dyDescent="0.25">
      <c r="A36" s="149"/>
      <c r="B36" s="149"/>
      <c r="C36" s="145"/>
      <c r="D36" s="145"/>
      <c r="E36" s="146"/>
      <c r="F36" s="147"/>
      <c r="G36" s="147"/>
      <c r="H36" s="150"/>
      <c r="I36" s="150"/>
      <c r="J36" s="148"/>
      <c r="K36" s="144"/>
    </row>
    <row r="37" spans="1:11" x14ac:dyDescent="0.25">
      <c r="A37" s="149"/>
      <c r="B37" s="149"/>
      <c r="C37" s="145"/>
      <c r="D37" s="145"/>
      <c r="E37" s="146"/>
      <c r="F37" s="147"/>
      <c r="G37" s="147"/>
      <c r="H37" s="150"/>
      <c r="I37" s="150"/>
      <c r="J37" s="148"/>
      <c r="K37" s="144"/>
    </row>
    <row r="38" spans="1:11" x14ac:dyDescent="0.25">
      <c r="A38" s="149"/>
      <c r="B38" s="149"/>
      <c r="C38" s="145"/>
      <c r="D38" s="145"/>
      <c r="E38" s="146"/>
      <c r="F38" s="147"/>
      <c r="G38" s="147"/>
      <c r="H38" s="150"/>
      <c r="I38" s="150"/>
      <c r="J38" s="148"/>
      <c r="K38" s="144"/>
    </row>
    <row r="39" spans="1:11" x14ac:dyDescent="0.25">
      <c r="A39" s="149"/>
      <c r="B39" s="149"/>
      <c r="C39" s="145"/>
      <c r="D39" s="145"/>
      <c r="E39" s="146"/>
      <c r="F39" s="147"/>
      <c r="G39" s="147"/>
      <c r="H39" s="150"/>
      <c r="I39" s="150"/>
      <c r="J39" s="148"/>
      <c r="K39" s="144"/>
    </row>
    <row r="40" spans="1:11" x14ac:dyDescent="0.25">
      <c r="A40" s="149"/>
      <c r="B40" s="149"/>
      <c r="C40" s="145"/>
      <c r="D40" s="145"/>
      <c r="E40" s="146"/>
      <c r="F40" s="147"/>
      <c r="G40" s="147"/>
      <c r="H40" s="150"/>
      <c r="I40" s="150"/>
      <c r="J40" s="148"/>
      <c r="K40" s="144"/>
    </row>
    <row r="41" spans="1:11" x14ac:dyDescent="0.25">
      <c r="A41" s="149"/>
      <c r="B41" s="149"/>
      <c r="C41" s="145"/>
      <c r="D41" s="145"/>
      <c r="E41" s="146"/>
      <c r="F41" s="147"/>
      <c r="G41" s="147"/>
      <c r="H41" s="150"/>
      <c r="I41" s="150"/>
      <c r="J41" s="148"/>
      <c r="K41" s="144"/>
    </row>
    <row r="42" spans="1:11" x14ac:dyDescent="0.25">
      <c r="A42" s="149"/>
      <c r="B42" s="149"/>
      <c r="C42" s="145"/>
      <c r="D42" s="145"/>
      <c r="E42" s="146"/>
      <c r="F42" s="147"/>
      <c r="G42" s="147"/>
      <c r="H42" s="150"/>
      <c r="I42" s="150"/>
      <c r="J42" s="148"/>
      <c r="K42" s="144"/>
    </row>
    <row r="43" spans="1:11" x14ac:dyDescent="0.25">
      <c r="A43" s="149"/>
      <c r="B43" s="149"/>
      <c r="C43" s="145"/>
      <c r="D43" s="145"/>
      <c r="E43" s="146"/>
      <c r="F43" s="147"/>
      <c r="G43" s="147"/>
      <c r="H43" s="150"/>
      <c r="I43" s="150"/>
      <c r="J43" s="148"/>
      <c r="K43" s="144"/>
    </row>
    <row r="44" spans="1:11" x14ac:dyDescent="0.25">
      <c r="A44" s="149"/>
      <c r="B44" s="149"/>
      <c r="C44" s="145"/>
      <c r="D44" s="145"/>
      <c r="E44" s="146"/>
      <c r="F44" s="147"/>
      <c r="G44" s="147"/>
      <c r="H44" s="150"/>
      <c r="I44" s="150"/>
      <c r="J44" s="148"/>
      <c r="K44" s="144"/>
    </row>
    <row r="45" spans="1:11" x14ac:dyDescent="0.25">
      <c r="A45" s="149"/>
      <c r="B45" s="149"/>
      <c r="C45" s="145"/>
      <c r="D45" s="145"/>
      <c r="E45" s="146"/>
      <c r="F45" s="147"/>
      <c r="G45" s="147"/>
      <c r="H45" s="150"/>
      <c r="I45" s="150"/>
      <c r="J45" s="148"/>
      <c r="K45" s="144"/>
    </row>
    <row r="46" spans="1:11" x14ac:dyDescent="0.25">
      <c r="A46" s="149"/>
      <c r="B46" s="149"/>
      <c r="C46" s="145"/>
      <c r="D46" s="145"/>
      <c r="E46" s="146"/>
      <c r="F46" s="147"/>
      <c r="G46" s="147"/>
      <c r="H46" s="150"/>
      <c r="I46" s="150"/>
      <c r="J46" s="148"/>
      <c r="K46" s="144"/>
    </row>
    <row r="47" spans="1:11" x14ac:dyDescent="0.25">
      <c r="A47" s="149"/>
      <c r="B47" s="149"/>
      <c r="C47" s="145"/>
      <c r="D47" s="145"/>
      <c r="E47" s="146"/>
      <c r="F47" s="147"/>
      <c r="G47" s="147"/>
      <c r="H47" s="150"/>
      <c r="I47" s="150"/>
      <c r="J47" s="148"/>
      <c r="K47" s="144"/>
    </row>
    <row r="48" spans="1:11" x14ac:dyDescent="0.25">
      <c r="A48" s="149"/>
      <c r="B48" s="149"/>
      <c r="C48" s="145"/>
      <c r="D48" s="145"/>
      <c r="E48" s="146"/>
      <c r="F48" s="147"/>
      <c r="G48" s="147"/>
      <c r="H48" s="150"/>
      <c r="I48" s="150"/>
      <c r="J48" s="148"/>
      <c r="K48" s="144"/>
    </row>
    <row r="49" spans="1:11" x14ac:dyDescent="0.25">
      <c r="A49" s="149"/>
      <c r="B49" s="149"/>
      <c r="C49" s="145"/>
      <c r="D49" s="145"/>
      <c r="E49" s="146"/>
      <c r="F49" s="147"/>
      <c r="G49" s="147"/>
      <c r="H49" s="150"/>
      <c r="I49" s="150"/>
      <c r="J49" s="148"/>
      <c r="K49" s="144"/>
    </row>
    <row r="50" spans="1:11" x14ac:dyDescent="0.25">
      <c r="A50" s="149"/>
      <c r="B50" s="149"/>
      <c r="C50" s="145"/>
      <c r="D50" s="145"/>
      <c r="E50" s="146"/>
      <c r="F50" s="147"/>
      <c r="G50" s="147"/>
      <c r="H50" s="150"/>
      <c r="I50" s="150"/>
      <c r="J50" s="148"/>
      <c r="K50" s="144"/>
    </row>
    <row r="51" spans="1:11" x14ac:dyDescent="0.25">
      <c r="A51" s="149"/>
      <c r="B51" s="149"/>
      <c r="C51" s="145"/>
      <c r="D51" s="145"/>
      <c r="E51" s="146"/>
      <c r="F51" s="147"/>
      <c r="G51" s="147"/>
      <c r="H51" s="150"/>
      <c r="I51" s="150"/>
      <c r="J51" s="148"/>
      <c r="K51" s="144"/>
    </row>
    <row r="52" spans="1:11" x14ac:dyDescent="0.25">
      <c r="A52" s="149"/>
      <c r="B52" s="149"/>
      <c r="C52" s="145"/>
      <c r="D52" s="145"/>
      <c r="E52" s="146"/>
      <c r="F52" s="147"/>
      <c r="G52" s="147"/>
      <c r="H52" s="150"/>
      <c r="I52" s="150"/>
      <c r="J52" s="148"/>
      <c r="K52" s="144"/>
    </row>
    <row r="53" spans="1:11" x14ac:dyDescent="0.25">
      <c r="A53" s="149"/>
      <c r="B53" s="149"/>
      <c r="C53" s="145"/>
      <c r="D53" s="145"/>
      <c r="E53" s="146"/>
      <c r="F53" s="147"/>
      <c r="G53" s="147"/>
      <c r="H53" s="150"/>
      <c r="I53" s="150"/>
      <c r="J53" s="148"/>
      <c r="K53" s="144"/>
    </row>
    <row r="54" spans="1:11" x14ac:dyDescent="0.25">
      <c r="A54" s="149"/>
      <c r="B54" s="149"/>
      <c r="C54" s="145"/>
      <c r="D54" s="145"/>
      <c r="E54" s="146"/>
      <c r="F54" s="147"/>
      <c r="G54" s="147"/>
      <c r="H54" s="150"/>
      <c r="I54" s="150"/>
      <c r="J54" s="148"/>
      <c r="K54" s="144"/>
    </row>
    <row r="55" spans="1:11" x14ac:dyDescent="0.25">
      <c r="A55" s="149"/>
      <c r="B55" s="149"/>
      <c r="C55" s="145"/>
      <c r="D55" s="145"/>
      <c r="E55" s="146"/>
      <c r="F55" s="147"/>
      <c r="G55" s="147"/>
      <c r="H55" s="150"/>
      <c r="I55" s="150"/>
      <c r="J55" s="148"/>
      <c r="K55" s="144"/>
    </row>
    <row r="56" spans="1:11" x14ac:dyDescent="0.25">
      <c r="A56" s="149"/>
      <c r="B56" s="149"/>
      <c r="C56" s="145"/>
      <c r="D56" s="145"/>
      <c r="E56" s="146"/>
      <c r="F56" s="147"/>
      <c r="G56" s="147"/>
      <c r="H56" s="150"/>
      <c r="I56" s="150"/>
      <c r="J56" s="148"/>
      <c r="K56" s="144"/>
    </row>
    <row r="57" spans="1:11" x14ac:dyDescent="0.25">
      <c r="A57" s="149"/>
      <c r="B57" s="149"/>
      <c r="C57" s="145"/>
      <c r="D57" s="145"/>
      <c r="E57" s="146"/>
      <c r="F57" s="147"/>
      <c r="G57" s="147"/>
      <c r="H57" s="150"/>
      <c r="I57" s="150"/>
      <c r="J57" s="148"/>
      <c r="K57" s="144"/>
    </row>
    <row r="58" spans="1:11" x14ac:dyDescent="0.25">
      <c r="A58" s="149"/>
      <c r="B58" s="149"/>
      <c r="C58" s="145"/>
      <c r="D58" s="145"/>
      <c r="E58" s="146"/>
      <c r="F58" s="147"/>
      <c r="G58" s="147"/>
      <c r="H58" s="150"/>
      <c r="I58" s="150"/>
      <c r="J58" s="148"/>
      <c r="K58" s="144"/>
    </row>
    <row r="59" spans="1:11" x14ac:dyDescent="0.25">
      <c r="A59" s="149"/>
      <c r="B59" s="149"/>
      <c r="C59" s="145"/>
      <c r="D59" s="145"/>
      <c r="E59" s="146"/>
      <c r="F59" s="147"/>
      <c r="G59" s="147"/>
      <c r="H59" s="150"/>
      <c r="I59" s="150"/>
      <c r="J59" s="148"/>
      <c r="K59" s="144"/>
    </row>
    <row r="60" spans="1:11" x14ac:dyDescent="0.25">
      <c r="A60" s="149"/>
      <c r="B60" s="149"/>
      <c r="C60" s="145"/>
      <c r="D60" s="145"/>
      <c r="E60" s="146"/>
      <c r="F60" s="147"/>
      <c r="G60" s="147"/>
      <c r="H60" s="150"/>
      <c r="I60" s="150"/>
      <c r="J60" s="148"/>
      <c r="K60" s="144"/>
    </row>
    <row r="61" spans="1:11" x14ac:dyDescent="0.25">
      <c r="A61" s="149"/>
      <c r="B61" s="149"/>
      <c r="C61" s="145"/>
      <c r="D61" s="145"/>
      <c r="E61" s="146"/>
      <c r="F61" s="147"/>
      <c r="G61" s="147"/>
      <c r="H61" s="150"/>
      <c r="I61" s="150"/>
      <c r="J61" s="148"/>
      <c r="K61" s="144"/>
    </row>
    <row r="62" spans="1:11" x14ac:dyDescent="0.25">
      <c r="A62" s="149"/>
      <c r="B62" s="149"/>
      <c r="C62" s="145"/>
      <c r="D62" s="145"/>
      <c r="E62" s="146"/>
      <c r="F62" s="147"/>
      <c r="G62" s="147"/>
      <c r="H62" s="150"/>
      <c r="I62" s="150"/>
      <c r="J62" s="148"/>
      <c r="K62" s="144"/>
    </row>
    <row r="63" spans="1:11" x14ac:dyDescent="0.25">
      <c r="A63" s="149"/>
      <c r="B63" s="149"/>
      <c r="C63" s="145"/>
      <c r="D63" s="145"/>
      <c r="E63" s="146"/>
      <c r="F63" s="147"/>
      <c r="G63" s="147"/>
      <c r="H63" s="150"/>
      <c r="I63" s="150"/>
      <c r="J63" s="148"/>
      <c r="K63" s="144"/>
    </row>
    <row r="64" spans="1:11" x14ac:dyDescent="0.25">
      <c r="A64" s="149"/>
      <c r="B64" s="149"/>
      <c r="C64" s="145"/>
      <c r="D64" s="145"/>
      <c r="E64" s="146"/>
      <c r="F64" s="147"/>
      <c r="G64" s="147"/>
      <c r="H64" s="150"/>
      <c r="I64" s="150"/>
      <c r="J64" s="148"/>
      <c r="K64" s="144"/>
    </row>
    <row r="65" spans="1:11" x14ac:dyDescent="0.25">
      <c r="A65" s="149"/>
      <c r="B65" s="149"/>
      <c r="C65" s="145"/>
      <c r="D65" s="145"/>
      <c r="E65" s="146"/>
      <c r="F65" s="147"/>
      <c r="G65" s="147"/>
      <c r="H65" s="150"/>
      <c r="I65" s="150"/>
      <c r="J65" s="148"/>
      <c r="K65" s="144"/>
    </row>
    <row r="66" spans="1:11" x14ac:dyDescent="0.25">
      <c r="A66" s="149"/>
      <c r="B66" s="149"/>
      <c r="C66" s="145"/>
      <c r="D66" s="145"/>
      <c r="E66" s="146"/>
      <c r="F66" s="147"/>
      <c r="G66" s="147"/>
      <c r="H66" s="150"/>
      <c r="I66" s="150"/>
      <c r="J66" s="148"/>
      <c r="K66" s="144"/>
    </row>
    <row r="67" spans="1:11" x14ac:dyDescent="0.25">
      <c r="A67" s="149"/>
      <c r="B67" s="149"/>
      <c r="C67" s="145"/>
      <c r="D67" s="145"/>
      <c r="E67" s="146"/>
      <c r="F67" s="147"/>
      <c r="G67" s="147"/>
      <c r="H67" s="150"/>
      <c r="I67" s="150"/>
      <c r="J67" s="148"/>
      <c r="K67" s="144"/>
    </row>
    <row r="68" spans="1:11" x14ac:dyDescent="0.25">
      <c r="A68" s="149"/>
      <c r="B68" s="149"/>
      <c r="C68" s="145"/>
      <c r="D68" s="145"/>
      <c r="E68" s="146"/>
      <c r="F68" s="147"/>
      <c r="G68" s="147"/>
      <c r="H68" s="150"/>
      <c r="I68" s="150"/>
      <c r="J68" s="148"/>
      <c r="K68" s="144"/>
    </row>
    <row r="69" spans="1:11" x14ac:dyDescent="0.25">
      <c r="A69" s="149"/>
      <c r="B69" s="149"/>
      <c r="C69" s="145"/>
      <c r="D69" s="145"/>
      <c r="E69" s="146"/>
      <c r="F69" s="147"/>
      <c r="G69" s="147"/>
      <c r="H69" s="150"/>
      <c r="I69" s="150"/>
      <c r="J69" s="148"/>
      <c r="K69" s="144"/>
    </row>
    <row r="70" spans="1:11" x14ac:dyDescent="0.25">
      <c r="A70" s="149"/>
      <c r="B70" s="149"/>
      <c r="C70" s="145"/>
      <c r="D70" s="145"/>
      <c r="E70" s="146"/>
      <c r="F70" s="147"/>
      <c r="G70" s="147"/>
      <c r="H70" s="150"/>
      <c r="I70" s="150"/>
      <c r="J70" s="148"/>
      <c r="K70" s="144"/>
    </row>
    <row r="71" spans="1:11" x14ac:dyDescent="0.25">
      <c r="A71" s="149"/>
      <c r="B71" s="149"/>
      <c r="C71" s="145"/>
      <c r="D71" s="145"/>
      <c r="E71" s="146"/>
      <c r="F71" s="147"/>
      <c r="G71" s="147"/>
      <c r="H71" s="150"/>
      <c r="I71" s="150"/>
      <c r="J71" s="148"/>
      <c r="K71" s="144"/>
    </row>
    <row r="72" spans="1:11" x14ac:dyDescent="0.25">
      <c r="A72" s="149"/>
      <c r="B72" s="149"/>
      <c r="C72" s="145"/>
      <c r="D72" s="145"/>
      <c r="E72" s="146"/>
      <c r="F72" s="147"/>
      <c r="G72" s="147"/>
      <c r="H72" s="150"/>
      <c r="I72" s="150"/>
      <c r="J72" s="148"/>
      <c r="K72" s="144"/>
    </row>
    <row r="73" spans="1:11" x14ac:dyDescent="0.25">
      <c r="A73" s="149"/>
      <c r="B73" s="149"/>
      <c r="C73" s="145"/>
      <c r="D73" s="145"/>
      <c r="E73" s="146"/>
      <c r="F73" s="147"/>
      <c r="G73" s="147"/>
      <c r="H73" s="150"/>
      <c r="I73" s="150"/>
      <c r="J73" s="148"/>
      <c r="K73" s="144"/>
    </row>
    <row r="74" spans="1:11" x14ac:dyDescent="0.25">
      <c r="A74" s="149"/>
      <c r="B74" s="149"/>
      <c r="C74" s="145"/>
      <c r="D74" s="145"/>
      <c r="E74" s="146"/>
      <c r="F74" s="147"/>
      <c r="G74" s="147"/>
      <c r="H74" s="150"/>
      <c r="I74" s="150"/>
      <c r="J74" s="148"/>
      <c r="K74" s="144"/>
    </row>
    <row r="75" spans="1:11" x14ac:dyDescent="0.25">
      <c r="A75" s="149"/>
      <c r="B75" s="149"/>
      <c r="C75" s="145"/>
      <c r="D75" s="145"/>
      <c r="E75" s="146"/>
      <c r="F75" s="147"/>
      <c r="G75" s="147"/>
      <c r="H75" s="150"/>
      <c r="I75" s="150"/>
      <c r="J75" s="148"/>
      <c r="K75" s="144"/>
    </row>
    <row r="76" spans="1:11" x14ac:dyDescent="0.25">
      <c r="A76" s="149"/>
      <c r="B76" s="149"/>
      <c r="C76" s="145"/>
      <c r="D76" s="145"/>
      <c r="E76" s="146"/>
      <c r="F76" s="147"/>
      <c r="G76" s="147"/>
      <c r="H76" s="150"/>
      <c r="I76" s="150"/>
      <c r="J76" s="148"/>
      <c r="K76" s="144"/>
    </row>
    <row r="77" spans="1:11" x14ac:dyDescent="0.25">
      <c r="A77" s="149"/>
      <c r="B77" s="149"/>
      <c r="C77" s="145"/>
      <c r="D77" s="145"/>
      <c r="E77" s="146"/>
      <c r="F77" s="147"/>
      <c r="G77" s="147"/>
      <c r="H77" s="150"/>
      <c r="I77" s="150"/>
      <c r="J77" s="148"/>
      <c r="K77" s="144"/>
    </row>
    <row r="78" spans="1:11" x14ac:dyDescent="0.25">
      <c r="A78" s="149"/>
      <c r="B78" s="149"/>
      <c r="C78" s="145"/>
      <c r="D78" s="145"/>
      <c r="E78" s="146"/>
      <c r="F78" s="147"/>
      <c r="G78" s="147"/>
      <c r="H78" s="150"/>
      <c r="I78" s="150"/>
      <c r="J78" s="148"/>
      <c r="K78" s="144"/>
    </row>
    <row r="79" spans="1:11" x14ac:dyDescent="0.25">
      <c r="A79" s="149"/>
      <c r="B79" s="149"/>
      <c r="C79" s="145"/>
      <c r="D79" s="145"/>
      <c r="E79" s="146"/>
      <c r="F79" s="147"/>
      <c r="G79" s="147"/>
      <c r="H79" s="150"/>
      <c r="I79" s="150"/>
      <c r="J79" s="148"/>
      <c r="K79" s="144"/>
    </row>
    <row r="80" spans="1:11" x14ac:dyDescent="0.25">
      <c r="A80" s="149"/>
      <c r="B80" s="149"/>
      <c r="C80" s="145"/>
      <c r="D80" s="145"/>
      <c r="E80" s="146"/>
      <c r="F80" s="147"/>
      <c r="G80" s="147"/>
      <c r="H80" s="150"/>
      <c r="I80" s="150"/>
      <c r="J80" s="148"/>
      <c r="K80" s="144"/>
    </row>
    <row r="81" spans="1:11" x14ac:dyDescent="0.25">
      <c r="A81" s="149"/>
      <c r="B81" s="149"/>
      <c r="C81" s="145"/>
      <c r="D81" s="145"/>
      <c r="E81" s="146"/>
      <c r="F81" s="147"/>
      <c r="G81" s="147"/>
      <c r="H81" s="150"/>
      <c r="I81" s="150"/>
      <c r="J81" s="148"/>
      <c r="K81" s="144"/>
    </row>
    <row r="82" spans="1:11" x14ac:dyDescent="0.25">
      <c r="A82" s="149"/>
      <c r="B82" s="149"/>
      <c r="C82" s="145"/>
      <c r="D82" s="145"/>
      <c r="E82" s="146"/>
      <c r="F82" s="147"/>
      <c r="G82" s="147"/>
      <c r="H82" s="150"/>
      <c r="I82" s="150"/>
      <c r="J82" s="148"/>
      <c r="K82" s="144"/>
    </row>
    <row r="83" spans="1:11" x14ac:dyDescent="0.25">
      <c r="A83" s="149"/>
      <c r="B83" s="149"/>
      <c r="C83" s="145"/>
      <c r="D83" s="145"/>
      <c r="E83" s="146"/>
      <c r="F83" s="147"/>
      <c r="G83" s="147"/>
      <c r="H83" s="150"/>
      <c r="I83" s="150"/>
      <c r="J83" s="148"/>
      <c r="K83" s="144"/>
    </row>
    <row r="84" spans="1:11" x14ac:dyDescent="0.25">
      <c r="A84" s="149"/>
      <c r="B84" s="149"/>
      <c r="C84" s="145"/>
      <c r="D84" s="145"/>
      <c r="E84" s="146"/>
      <c r="F84" s="147"/>
      <c r="G84" s="147"/>
      <c r="H84" s="150"/>
      <c r="I84" s="150"/>
      <c r="J84" s="148"/>
      <c r="K84" s="144"/>
    </row>
    <row r="85" spans="1:11" x14ac:dyDescent="0.25">
      <c r="A85" s="149"/>
      <c r="B85" s="149"/>
      <c r="C85" s="145"/>
      <c r="D85" s="145"/>
      <c r="E85" s="146"/>
      <c r="F85" s="147"/>
      <c r="G85" s="147"/>
      <c r="H85" s="150"/>
      <c r="I85" s="150"/>
      <c r="J85" s="148"/>
      <c r="K85" s="144"/>
    </row>
    <row r="86" spans="1:11" x14ac:dyDescent="0.25">
      <c r="A86" s="149"/>
      <c r="B86" s="149"/>
      <c r="C86" s="145"/>
      <c r="D86" s="145"/>
      <c r="E86" s="146"/>
      <c r="F86" s="147"/>
      <c r="G86" s="147"/>
      <c r="H86" s="150"/>
      <c r="I86" s="150"/>
      <c r="J86" s="148"/>
      <c r="K86" s="144"/>
    </row>
    <row r="87" spans="1:11" x14ac:dyDescent="0.25">
      <c r="A87" s="149"/>
      <c r="B87" s="149"/>
      <c r="C87" s="145"/>
      <c r="D87" s="145"/>
      <c r="E87" s="146"/>
      <c r="F87" s="147"/>
      <c r="G87" s="147"/>
      <c r="H87" s="150"/>
      <c r="I87" s="150"/>
      <c r="J87" s="148"/>
      <c r="K87" s="144"/>
    </row>
    <row r="88" spans="1:11" x14ac:dyDescent="0.25">
      <c r="A88" s="149"/>
      <c r="B88" s="149"/>
      <c r="C88" s="145"/>
      <c r="D88" s="145"/>
      <c r="E88" s="146"/>
      <c r="F88" s="147"/>
      <c r="G88" s="147"/>
      <c r="H88" s="150"/>
      <c r="I88" s="150"/>
      <c r="J88" s="148"/>
      <c r="K88" s="144"/>
    </row>
    <row r="89" spans="1:11" x14ac:dyDescent="0.25">
      <c r="A89" s="149"/>
      <c r="B89" s="149"/>
      <c r="C89" s="145"/>
      <c r="D89" s="145"/>
      <c r="E89" s="146"/>
      <c r="F89" s="147"/>
      <c r="G89" s="147"/>
      <c r="H89" s="150"/>
      <c r="I89" s="150"/>
      <c r="J89" s="148"/>
      <c r="K89" s="144"/>
    </row>
    <row r="90" spans="1:11" x14ac:dyDescent="0.25">
      <c r="A90" s="149"/>
      <c r="B90" s="149"/>
      <c r="C90" s="145"/>
      <c r="D90" s="145"/>
      <c r="E90" s="146"/>
      <c r="F90" s="147"/>
      <c r="G90" s="147"/>
      <c r="H90" s="150"/>
      <c r="I90" s="150"/>
      <c r="J90" s="148"/>
      <c r="K90" s="144"/>
    </row>
    <row r="91" spans="1:11" x14ac:dyDescent="0.25">
      <c r="A91" s="149"/>
      <c r="B91" s="149"/>
      <c r="C91" s="145"/>
      <c r="D91" s="145"/>
      <c r="E91" s="146"/>
      <c r="F91" s="147"/>
      <c r="G91" s="147"/>
      <c r="H91" s="150"/>
      <c r="I91" s="150"/>
      <c r="J91" s="148"/>
      <c r="K91" s="144"/>
    </row>
    <row r="92" spans="1:11" x14ac:dyDescent="0.25">
      <c r="A92" s="149"/>
      <c r="B92" s="149"/>
      <c r="C92" s="145"/>
      <c r="D92" s="145"/>
      <c r="E92" s="146"/>
      <c r="F92" s="147"/>
      <c r="G92" s="147"/>
      <c r="H92" s="150"/>
      <c r="I92" s="150"/>
      <c r="J92" s="148"/>
      <c r="K92" s="144"/>
    </row>
    <row r="93" spans="1:11" x14ac:dyDescent="0.25">
      <c r="A93" s="149"/>
      <c r="B93" s="149"/>
      <c r="C93" s="145"/>
      <c r="D93" s="145"/>
      <c r="E93" s="146"/>
      <c r="F93" s="147"/>
      <c r="G93" s="147"/>
      <c r="H93" s="150"/>
      <c r="I93" s="150"/>
      <c r="J93" s="148"/>
      <c r="K93" s="144"/>
    </row>
    <row r="94" spans="1:11" x14ac:dyDescent="0.25">
      <c r="A94" s="149"/>
      <c r="B94" s="149"/>
      <c r="C94" s="145"/>
      <c r="D94" s="145"/>
      <c r="E94" s="146"/>
      <c r="F94" s="147"/>
      <c r="G94" s="147"/>
      <c r="H94" s="150"/>
      <c r="I94" s="150"/>
      <c r="J94" s="148"/>
      <c r="K94" s="144"/>
    </row>
    <row r="95" spans="1:11" x14ac:dyDescent="0.25">
      <c r="A95" s="149"/>
      <c r="B95" s="149"/>
      <c r="C95" s="145"/>
      <c r="D95" s="145"/>
      <c r="E95" s="146"/>
      <c r="F95" s="147"/>
      <c r="G95" s="147"/>
      <c r="H95" s="150"/>
      <c r="I95" s="150"/>
      <c r="J95" s="148"/>
      <c r="K95" s="144"/>
    </row>
    <row r="96" spans="1:11" x14ac:dyDescent="0.25">
      <c r="A96" s="149"/>
      <c r="B96" s="149"/>
      <c r="C96" s="145"/>
      <c r="D96" s="145"/>
      <c r="E96" s="146"/>
      <c r="F96" s="147"/>
      <c r="G96" s="147"/>
      <c r="H96" s="150"/>
      <c r="I96" s="150"/>
      <c r="J96" s="148"/>
      <c r="K96" s="144"/>
    </row>
    <row r="97" spans="1:11" x14ac:dyDescent="0.25">
      <c r="A97" s="149"/>
      <c r="B97" s="149"/>
      <c r="C97" s="145"/>
      <c r="D97" s="145"/>
      <c r="E97" s="146"/>
      <c r="F97" s="147"/>
      <c r="G97" s="147"/>
      <c r="H97" s="150"/>
      <c r="I97" s="150"/>
      <c r="J97" s="148"/>
      <c r="K97" s="144"/>
    </row>
    <row r="98" spans="1:11" x14ac:dyDescent="0.25">
      <c r="A98" s="149"/>
      <c r="B98" s="149"/>
      <c r="C98" s="145"/>
      <c r="D98" s="145"/>
      <c r="E98" s="146"/>
      <c r="F98" s="147"/>
      <c r="G98" s="147"/>
      <c r="H98" s="150"/>
      <c r="I98" s="150"/>
      <c r="J98" s="148"/>
      <c r="K98" s="144"/>
    </row>
    <row r="99" spans="1:11" x14ac:dyDescent="0.25">
      <c r="A99" s="149"/>
      <c r="B99" s="149"/>
      <c r="C99" s="145"/>
      <c r="D99" s="145"/>
      <c r="E99" s="146"/>
      <c r="F99" s="147"/>
      <c r="G99" s="147"/>
      <c r="H99" s="150"/>
      <c r="I99" s="150"/>
      <c r="J99" s="148"/>
      <c r="K99" s="144"/>
    </row>
    <row r="100" spans="1:11" x14ac:dyDescent="0.25">
      <c r="A100" s="149"/>
      <c r="B100" s="149"/>
      <c r="C100" s="145"/>
      <c r="D100" s="145"/>
      <c r="E100" s="146"/>
      <c r="F100" s="147"/>
      <c r="G100" s="147"/>
      <c r="H100" s="150"/>
      <c r="I100" s="150"/>
      <c r="J100" s="148"/>
      <c r="K100" s="144"/>
    </row>
    <row r="101" spans="1:11" x14ac:dyDescent="0.25">
      <c r="A101" s="149"/>
      <c r="B101" s="149"/>
      <c r="C101" s="145"/>
      <c r="D101" s="145"/>
      <c r="E101" s="146"/>
      <c r="F101" s="147"/>
      <c r="G101" s="147"/>
      <c r="H101" s="150"/>
      <c r="I101" s="150"/>
      <c r="J101" s="148"/>
      <c r="K101" s="144"/>
    </row>
    <row r="102" spans="1:11" x14ac:dyDescent="0.25">
      <c r="A102" s="149"/>
      <c r="B102" s="149"/>
      <c r="C102" s="145"/>
      <c r="D102" s="145"/>
      <c r="E102" s="146"/>
      <c r="F102" s="147"/>
      <c r="G102" s="147"/>
      <c r="H102" s="150"/>
      <c r="I102" s="150"/>
      <c r="J102" s="148"/>
      <c r="K102" s="144"/>
    </row>
    <row r="103" spans="1:11" x14ac:dyDescent="0.25">
      <c r="A103" s="149"/>
      <c r="B103" s="149"/>
      <c r="C103" s="145"/>
      <c r="D103" s="145"/>
      <c r="E103" s="146"/>
      <c r="F103" s="147"/>
      <c r="G103" s="147"/>
      <c r="H103" s="150"/>
      <c r="I103" s="150"/>
      <c r="J103" s="148"/>
      <c r="K103" s="144"/>
    </row>
    <row r="104" spans="1:11" x14ac:dyDescent="0.25">
      <c r="A104" s="149"/>
      <c r="B104" s="149"/>
      <c r="C104" s="145"/>
      <c r="D104" s="145"/>
      <c r="E104" s="146"/>
      <c r="F104" s="147"/>
      <c r="G104" s="147"/>
      <c r="H104" s="150"/>
      <c r="I104" s="150"/>
      <c r="J104" s="148"/>
      <c r="K104" s="144"/>
    </row>
    <row r="105" spans="1:11" x14ac:dyDescent="0.25">
      <c r="A105" s="149"/>
      <c r="B105" s="149"/>
      <c r="C105" s="145"/>
      <c r="D105" s="145"/>
      <c r="E105" s="146"/>
      <c r="F105" s="147"/>
      <c r="G105" s="147"/>
      <c r="H105" s="150"/>
      <c r="I105" s="150"/>
      <c r="J105" s="148"/>
      <c r="K105" s="144"/>
    </row>
    <row r="106" spans="1:11" x14ac:dyDescent="0.25">
      <c r="A106" s="149"/>
      <c r="B106" s="149"/>
      <c r="C106" s="145"/>
      <c r="D106" s="145"/>
      <c r="E106" s="146"/>
      <c r="F106" s="147"/>
      <c r="G106" s="147"/>
      <c r="H106" s="150"/>
      <c r="I106" s="150"/>
      <c r="J106" s="148"/>
      <c r="K106" s="144"/>
    </row>
    <row r="107" spans="1:11" x14ac:dyDescent="0.25">
      <c r="A107" s="149"/>
      <c r="B107" s="149"/>
      <c r="C107" s="145"/>
      <c r="D107" s="145"/>
      <c r="E107" s="146"/>
      <c r="F107" s="147"/>
      <c r="G107" s="147"/>
      <c r="H107" s="150"/>
      <c r="I107" s="150"/>
      <c r="J107" s="148"/>
      <c r="K107" s="144"/>
    </row>
    <row r="108" spans="1:11" x14ac:dyDescent="0.25">
      <c r="A108" s="149"/>
      <c r="B108" s="149"/>
      <c r="C108" s="145"/>
      <c r="D108" s="145"/>
      <c r="E108" s="146"/>
      <c r="F108" s="147"/>
      <c r="G108" s="147"/>
      <c r="H108" s="150"/>
      <c r="I108" s="150"/>
      <c r="J108" s="148"/>
      <c r="K108" s="144"/>
    </row>
    <row r="109" spans="1:11" x14ac:dyDescent="0.25">
      <c r="A109" s="149"/>
      <c r="B109" s="149"/>
      <c r="C109" s="145"/>
      <c r="D109" s="145"/>
      <c r="E109" s="146"/>
      <c r="F109" s="147"/>
      <c r="G109" s="147"/>
      <c r="H109" s="150"/>
      <c r="I109" s="150"/>
      <c r="J109" s="148"/>
      <c r="K109" s="144"/>
    </row>
    <row r="110" spans="1:11" x14ac:dyDescent="0.25">
      <c r="A110" s="149"/>
      <c r="B110" s="149"/>
      <c r="C110" s="145"/>
      <c r="D110" s="145"/>
      <c r="E110" s="146"/>
      <c r="F110" s="147"/>
      <c r="G110" s="147"/>
      <c r="H110" s="150"/>
      <c r="I110" s="150"/>
      <c r="J110" s="148"/>
      <c r="K110" s="144"/>
    </row>
    <row r="111" spans="1:11" x14ac:dyDescent="0.25">
      <c r="A111" s="149"/>
      <c r="B111" s="149"/>
      <c r="C111" s="145"/>
      <c r="D111" s="145"/>
      <c r="E111" s="146"/>
      <c r="F111" s="147"/>
      <c r="G111" s="147"/>
      <c r="H111" s="150"/>
      <c r="I111" s="150"/>
      <c r="J111" s="148"/>
      <c r="K111" s="144"/>
    </row>
    <row r="112" spans="1:11" x14ac:dyDescent="0.25">
      <c r="A112" s="149"/>
      <c r="B112" s="149"/>
      <c r="C112" s="145"/>
      <c r="D112" s="145"/>
      <c r="E112" s="146"/>
      <c r="F112" s="147"/>
      <c r="G112" s="147"/>
      <c r="H112" s="150"/>
      <c r="I112" s="150"/>
      <c r="J112" s="148"/>
      <c r="K112" s="144"/>
    </row>
    <row r="113" spans="1:11" x14ac:dyDescent="0.25">
      <c r="A113" s="149"/>
      <c r="B113" s="149"/>
      <c r="C113" s="145"/>
      <c r="D113" s="145"/>
      <c r="E113" s="146"/>
      <c r="F113" s="147"/>
      <c r="G113" s="147"/>
      <c r="H113" s="150"/>
      <c r="I113" s="150"/>
      <c r="J113" s="148"/>
      <c r="K113" s="144"/>
    </row>
    <row r="114" spans="1:11" x14ac:dyDescent="0.25">
      <c r="A114" s="149"/>
      <c r="B114" s="149"/>
      <c r="C114" s="145"/>
      <c r="D114" s="145"/>
      <c r="E114" s="146"/>
      <c r="F114" s="147"/>
      <c r="G114" s="147"/>
      <c r="H114" s="150"/>
      <c r="I114" s="150"/>
      <c r="J114" s="148"/>
      <c r="K114" s="144"/>
    </row>
    <row r="115" spans="1:11" x14ac:dyDescent="0.25">
      <c r="A115" s="149"/>
      <c r="B115" s="149"/>
      <c r="C115" s="145"/>
      <c r="D115" s="145"/>
      <c r="E115" s="146"/>
      <c r="F115" s="147"/>
      <c r="G115" s="147"/>
      <c r="H115" s="150"/>
      <c r="I115" s="150"/>
      <c r="J115" s="148"/>
      <c r="K115" s="144"/>
    </row>
    <row r="116" spans="1:11" x14ac:dyDescent="0.25">
      <c r="A116" s="149"/>
      <c r="B116" s="149"/>
      <c r="C116" s="145"/>
      <c r="D116" s="145"/>
      <c r="E116" s="146"/>
      <c r="F116" s="147"/>
      <c r="G116" s="147"/>
      <c r="H116" s="150"/>
      <c r="I116" s="150"/>
      <c r="J116" s="148"/>
      <c r="K116" s="144"/>
    </row>
    <row r="117" spans="1:11" x14ac:dyDescent="0.25">
      <c r="A117" s="149"/>
      <c r="B117" s="149"/>
      <c r="C117" s="145"/>
      <c r="D117" s="145"/>
      <c r="E117" s="146"/>
      <c r="F117" s="147"/>
      <c r="G117" s="147"/>
      <c r="H117" s="150"/>
      <c r="I117" s="150"/>
      <c r="J117" s="148"/>
      <c r="K117" s="144"/>
    </row>
    <row r="118" spans="1:11" x14ac:dyDescent="0.25">
      <c r="A118" s="149"/>
      <c r="B118" s="149"/>
      <c r="C118" s="145"/>
      <c r="D118" s="145"/>
      <c r="E118" s="146"/>
      <c r="F118" s="147"/>
      <c r="G118" s="147"/>
      <c r="H118" s="150"/>
      <c r="I118" s="150"/>
      <c r="J118" s="148"/>
      <c r="K118" s="144"/>
    </row>
    <row r="119" spans="1:11" x14ac:dyDescent="0.25">
      <c r="A119" s="149"/>
      <c r="B119" s="149"/>
      <c r="C119" s="145"/>
      <c r="D119" s="145"/>
      <c r="E119" s="146"/>
      <c r="F119" s="147"/>
      <c r="G119" s="147"/>
      <c r="H119" s="150"/>
      <c r="I119" s="150"/>
      <c r="J119" s="148"/>
      <c r="K119" s="144"/>
    </row>
    <row r="120" spans="1:11" x14ac:dyDescent="0.25">
      <c r="A120" s="149"/>
      <c r="B120" s="149"/>
      <c r="C120" s="145"/>
      <c r="D120" s="145"/>
      <c r="E120" s="146"/>
      <c r="F120" s="147"/>
      <c r="G120" s="147"/>
      <c r="H120" s="150"/>
      <c r="I120" s="150"/>
      <c r="J120" s="148"/>
      <c r="K120" s="144"/>
    </row>
    <row r="121" spans="1:11" x14ac:dyDescent="0.25">
      <c r="A121" s="149"/>
      <c r="B121" s="149"/>
      <c r="C121" s="145"/>
      <c r="D121" s="145"/>
      <c r="E121" s="146"/>
      <c r="F121" s="147"/>
      <c r="G121" s="147"/>
      <c r="H121" s="150"/>
      <c r="I121" s="150"/>
      <c r="J121" s="148"/>
      <c r="K121" s="144"/>
    </row>
    <row r="122" spans="1:11" x14ac:dyDescent="0.25">
      <c r="A122" s="149"/>
      <c r="B122" s="149"/>
      <c r="C122" s="145"/>
      <c r="D122" s="145"/>
      <c r="E122" s="146"/>
      <c r="F122" s="147"/>
      <c r="G122" s="147"/>
      <c r="H122" s="150"/>
      <c r="I122" s="150"/>
      <c r="J122" s="148"/>
      <c r="K122" s="144"/>
    </row>
    <row r="123" spans="1:11" x14ac:dyDescent="0.25">
      <c r="A123" s="149"/>
      <c r="B123" s="149"/>
      <c r="C123" s="145"/>
      <c r="D123" s="145"/>
      <c r="E123" s="146"/>
      <c r="F123" s="147"/>
      <c r="G123" s="147"/>
      <c r="H123" s="150"/>
      <c r="I123" s="150"/>
      <c r="J123" s="148"/>
      <c r="K123" s="144"/>
    </row>
    <row r="124" spans="1:11" x14ac:dyDescent="0.25">
      <c r="A124" s="149"/>
      <c r="B124" s="149"/>
      <c r="C124" s="145"/>
      <c r="D124" s="145"/>
      <c r="E124" s="146"/>
      <c r="F124" s="147"/>
      <c r="G124" s="147"/>
      <c r="H124" s="150"/>
      <c r="I124" s="150"/>
      <c r="J124" s="148"/>
      <c r="K124" s="144"/>
    </row>
    <row r="125" spans="1:11" x14ac:dyDescent="0.25">
      <c r="A125" s="149"/>
      <c r="B125" s="149"/>
      <c r="C125" s="145"/>
      <c r="D125" s="145"/>
      <c r="E125" s="146"/>
      <c r="F125" s="147"/>
      <c r="G125" s="147"/>
      <c r="H125" s="150"/>
      <c r="I125" s="150"/>
      <c r="J125" s="148"/>
      <c r="K125" s="144"/>
    </row>
    <row r="126" spans="1:11" x14ac:dyDescent="0.25">
      <c r="A126" s="149"/>
      <c r="B126" s="149"/>
      <c r="C126" s="145"/>
      <c r="D126" s="145"/>
      <c r="E126" s="146"/>
      <c r="F126" s="147"/>
      <c r="G126" s="147"/>
      <c r="H126" s="150"/>
      <c r="I126" s="150"/>
      <c r="J126" s="148"/>
      <c r="K126" s="144"/>
    </row>
    <row r="127" spans="1:11" x14ac:dyDescent="0.25">
      <c r="A127" s="149"/>
      <c r="B127" s="149"/>
      <c r="C127" s="145"/>
      <c r="D127" s="145"/>
      <c r="E127" s="146"/>
      <c r="F127" s="147"/>
      <c r="G127" s="147"/>
      <c r="H127" s="150"/>
      <c r="I127" s="150"/>
      <c r="J127" s="148"/>
      <c r="K127" s="144"/>
    </row>
    <row r="128" spans="1:11" x14ac:dyDescent="0.25">
      <c r="A128" s="149"/>
      <c r="B128" s="149"/>
      <c r="C128" s="145"/>
      <c r="D128" s="145"/>
      <c r="E128" s="146"/>
      <c r="F128" s="147"/>
      <c r="G128" s="147"/>
      <c r="H128" s="150"/>
      <c r="I128" s="150"/>
      <c r="J128" s="148"/>
      <c r="K128" s="144"/>
    </row>
    <row r="129" spans="1:11" x14ac:dyDescent="0.25">
      <c r="A129" s="149"/>
      <c r="B129" s="149"/>
      <c r="C129" s="145"/>
      <c r="D129" s="145"/>
      <c r="E129" s="146"/>
      <c r="F129" s="147"/>
      <c r="G129" s="147"/>
      <c r="H129" s="150"/>
      <c r="I129" s="150"/>
      <c r="J129" s="148"/>
      <c r="K129" s="144"/>
    </row>
    <row r="130" spans="1:11" x14ac:dyDescent="0.25">
      <c r="A130" s="149"/>
      <c r="B130" s="149"/>
      <c r="C130" s="145"/>
      <c r="D130" s="145"/>
      <c r="E130" s="146"/>
      <c r="F130" s="147"/>
      <c r="G130" s="147"/>
      <c r="H130" s="150"/>
      <c r="I130" s="150"/>
      <c r="J130" s="148"/>
      <c r="K130" s="144"/>
    </row>
    <row r="131" spans="1:11" x14ac:dyDescent="0.25">
      <c r="A131" s="149"/>
      <c r="B131" s="149"/>
      <c r="C131" s="145"/>
      <c r="D131" s="145"/>
      <c r="E131" s="146"/>
      <c r="F131" s="147"/>
      <c r="G131" s="147"/>
      <c r="H131" s="150"/>
      <c r="I131" s="150"/>
      <c r="J131" s="148"/>
      <c r="K131" s="144"/>
    </row>
    <row r="132" spans="1:11" x14ac:dyDescent="0.25">
      <c r="A132" s="149"/>
      <c r="B132" s="149"/>
      <c r="C132" s="145"/>
      <c r="D132" s="145"/>
      <c r="E132" s="146"/>
      <c r="F132" s="147"/>
      <c r="G132" s="147"/>
      <c r="H132" s="150"/>
      <c r="I132" s="150"/>
      <c r="J132" s="148"/>
      <c r="K132" s="144"/>
    </row>
    <row r="133" spans="1:11" x14ac:dyDescent="0.25">
      <c r="A133" s="149"/>
      <c r="B133" s="149"/>
      <c r="C133" s="145"/>
      <c r="D133" s="145"/>
      <c r="E133" s="146"/>
      <c r="F133" s="147"/>
      <c r="G133" s="147"/>
      <c r="H133" s="150"/>
      <c r="I133" s="150"/>
      <c r="J133" s="148"/>
      <c r="K133" s="144"/>
    </row>
    <row r="134" spans="1:11" x14ac:dyDescent="0.25">
      <c r="A134" s="149"/>
      <c r="B134" s="149"/>
      <c r="C134" s="145"/>
      <c r="D134" s="145"/>
      <c r="E134" s="146"/>
      <c r="F134" s="147"/>
      <c r="G134" s="147"/>
      <c r="H134" s="150"/>
      <c r="I134" s="150"/>
      <c r="J134" s="148"/>
      <c r="K134" s="144"/>
    </row>
    <row r="135" spans="1:11" x14ac:dyDescent="0.25">
      <c r="A135" s="149"/>
      <c r="B135" s="149"/>
      <c r="C135" s="145"/>
      <c r="D135" s="145"/>
      <c r="E135" s="146"/>
      <c r="F135" s="147"/>
      <c r="G135" s="147"/>
      <c r="H135" s="150"/>
      <c r="I135" s="150"/>
      <c r="J135" s="148"/>
      <c r="K135" s="144"/>
    </row>
    <row r="136" spans="1:11" x14ac:dyDescent="0.25">
      <c r="A136" s="149"/>
      <c r="B136" s="149"/>
      <c r="C136" s="145"/>
      <c r="D136" s="145"/>
      <c r="E136" s="146"/>
      <c r="F136" s="147"/>
      <c r="G136" s="147"/>
      <c r="H136" s="150"/>
      <c r="I136" s="150"/>
      <c r="J136" s="148"/>
      <c r="K136" s="144"/>
    </row>
    <row r="137" spans="1:11" x14ac:dyDescent="0.25">
      <c r="A137" s="149"/>
      <c r="B137" s="149"/>
      <c r="C137" s="145"/>
      <c r="D137" s="145"/>
      <c r="E137" s="146"/>
      <c r="F137" s="147"/>
      <c r="G137" s="147"/>
      <c r="H137" s="150"/>
      <c r="I137" s="150"/>
      <c r="J137" s="148"/>
      <c r="K137" s="144"/>
    </row>
    <row r="138" spans="1:11" x14ac:dyDescent="0.25">
      <c r="A138" s="149"/>
      <c r="B138" s="149"/>
      <c r="C138" s="145"/>
      <c r="D138" s="145"/>
      <c r="E138" s="146"/>
      <c r="F138" s="147"/>
      <c r="G138" s="147"/>
      <c r="H138" s="150"/>
      <c r="I138" s="150"/>
      <c r="J138" s="148"/>
      <c r="K138" s="144"/>
    </row>
    <row r="139" spans="1:11" x14ac:dyDescent="0.25">
      <c r="A139" s="149"/>
      <c r="B139" s="149"/>
      <c r="C139" s="145"/>
      <c r="D139" s="145"/>
      <c r="E139" s="146"/>
      <c r="F139" s="147"/>
      <c r="G139" s="147"/>
      <c r="H139" s="150"/>
      <c r="I139" s="150"/>
      <c r="J139" s="148"/>
      <c r="K139" s="144"/>
    </row>
    <row r="140" spans="1:11" x14ac:dyDescent="0.25">
      <c r="A140" s="149"/>
      <c r="B140" s="149"/>
      <c r="C140" s="145"/>
      <c r="D140" s="145"/>
      <c r="E140" s="146"/>
      <c r="F140" s="147"/>
      <c r="G140" s="147"/>
      <c r="H140" s="150"/>
      <c r="I140" s="150"/>
      <c r="J140" s="148"/>
      <c r="K140" s="144"/>
    </row>
    <row r="141" spans="1:11" x14ac:dyDescent="0.25">
      <c r="A141" s="149"/>
      <c r="B141" s="149"/>
      <c r="C141" s="145"/>
      <c r="D141" s="145"/>
      <c r="E141" s="146"/>
      <c r="F141" s="147"/>
      <c r="G141" s="147"/>
      <c r="H141" s="150"/>
      <c r="I141" s="150"/>
      <c r="J141" s="148"/>
      <c r="K141" s="144"/>
    </row>
    <row r="142" spans="1:11" x14ac:dyDescent="0.25">
      <c r="A142" s="149"/>
      <c r="B142" s="149"/>
      <c r="C142" s="145"/>
      <c r="D142" s="145"/>
      <c r="E142" s="146"/>
      <c r="F142" s="147"/>
      <c r="G142" s="147"/>
      <c r="H142" s="150"/>
      <c r="I142" s="150"/>
      <c r="J142" s="148"/>
      <c r="K142" s="144"/>
    </row>
    <row r="143" spans="1:11" x14ac:dyDescent="0.25">
      <c r="A143" s="149"/>
      <c r="B143" s="149"/>
      <c r="C143" s="145"/>
      <c r="D143" s="145"/>
      <c r="E143" s="146"/>
      <c r="F143" s="147"/>
      <c r="G143" s="147"/>
      <c r="H143" s="150"/>
      <c r="I143" s="150"/>
      <c r="J143" s="148"/>
      <c r="K143" s="144"/>
    </row>
    <row r="144" spans="1:11" x14ac:dyDescent="0.25">
      <c r="A144" s="149"/>
      <c r="B144" s="149"/>
      <c r="C144" s="145"/>
      <c r="D144" s="145"/>
      <c r="E144" s="146"/>
      <c r="F144" s="147"/>
      <c r="G144" s="147"/>
      <c r="H144" s="150"/>
      <c r="I144" s="150"/>
      <c r="J144" s="148"/>
      <c r="K144" s="144"/>
    </row>
    <row r="145" spans="1:11" x14ac:dyDescent="0.25">
      <c r="A145" s="149"/>
      <c r="B145" s="149"/>
      <c r="C145" s="145"/>
      <c r="D145" s="145"/>
      <c r="E145" s="146"/>
      <c r="F145" s="147"/>
      <c r="G145" s="147"/>
      <c r="H145" s="150"/>
      <c r="I145" s="150"/>
      <c r="J145" s="148"/>
      <c r="K145" s="144"/>
    </row>
    <row r="146" spans="1:11" x14ac:dyDescent="0.25">
      <c r="A146" s="149"/>
      <c r="B146" s="149"/>
      <c r="C146" s="145"/>
      <c r="D146" s="145"/>
      <c r="E146" s="146"/>
      <c r="F146" s="147"/>
      <c r="G146" s="147"/>
      <c r="H146" s="150"/>
      <c r="I146" s="150"/>
      <c r="J146" s="148"/>
      <c r="K146" s="144"/>
    </row>
    <row r="147" spans="1:11" x14ac:dyDescent="0.25">
      <c r="A147" s="149"/>
      <c r="B147" s="149"/>
      <c r="C147" s="145"/>
      <c r="D147" s="145"/>
      <c r="E147" s="146"/>
      <c r="F147" s="147"/>
      <c r="G147" s="147"/>
      <c r="H147" s="150"/>
      <c r="I147" s="150"/>
      <c r="J147" s="148"/>
      <c r="K147" s="144"/>
    </row>
    <row r="148" spans="1:11" x14ac:dyDescent="0.25">
      <c r="A148" s="149"/>
      <c r="B148" s="149"/>
      <c r="C148" s="145"/>
      <c r="D148" s="145"/>
      <c r="E148" s="146"/>
      <c r="F148" s="147"/>
      <c r="G148" s="147"/>
      <c r="H148" s="150"/>
      <c r="I148" s="150"/>
      <c r="J148" s="148"/>
      <c r="K148" s="144"/>
    </row>
    <row r="149" spans="1:11" x14ac:dyDescent="0.25">
      <c r="A149" s="149"/>
      <c r="B149" s="149"/>
      <c r="C149" s="145"/>
      <c r="D149" s="145"/>
      <c r="E149" s="146"/>
      <c r="F149" s="147"/>
      <c r="G149" s="147"/>
      <c r="H149" s="150"/>
      <c r="I149" s="150"/>
      <c r="J149" s="148"/>
      <c r="K149" s="144"/>
    </row>
    <row r="150" spans="1:11" x14ac:dyDescent="0.25">
      <c r="A150" s="149"/>
      <c r="B150" s="149"/>
      <c r="C150" s="145"/>
      <c r="D150" s="145"/>
      <c r="E150" s="146"/>
      <c r="F150" s="147"/>
      <c r="G150" s="147"/>
      <c r="H150" s="150"/>
      <c r="I150" s="150"/>
      <c r="J150" s="148"/>
      <c r="K150" s="144"/>
    </row>
    <row r="151" spans="1:11" x14ac:dyDescent="0.25">
      <c r="A151" s="149"/>
      <c r="B151" s="149"/>
      <c r="C151" s="145"/>
      <c r="D151" s="145"/>
      <c r="E151" s="146"/>
      <c r="F151" s="147"/>
      <c r="G151" s="147"/>
      <c r="H151" s="150"/>
      <c r="I151" s="150"/>
      <c r="J151" s="148"/>
      <c r="K151" s="144"/>
    </row>
    <row r="152" spans="1:11" x14ac:dyDescent="0.25">
      <c r="A152" s="149"/>
      <c r="B152" s="149"/>
      <c r="C152" s="145"/>
      <c r="D152" s="145"/>
      <c r="E152" s="146"/>
      <c r="F152" s="147"/>
      <c r="G152" s="147"/>
      <c r="H152" s="150"/>
      <c r="I152" s="150"/>
      <c r="J152" s="148"/>
      <c r="K152" s="144"/>
    </row>
    <row r="153" spans="1:11" x14ac:dyDescent="0.25">
      <c r="A153" s="149"/>
      <c r="B153" s="149"/>
      <c r="C153" s="145"/>
      <c r="D153" s="145"/>
      <c r="E153" s="146"/>
      <c r="F153" s="147"/>
      <c r="G153" s="147"/>
      <c r="H153" s="150"/>
      <c r="I153" s="150"/>
      <c r="J153" s="148"/>
      <c r="K153" s="144"/>
    </row>
    <row r="154" spans="1:11" x14ac:dyDescent="0.25">
      <c r="A154" s="149"/>
      <c r="B154" s="149"/>
      <c r="C154" s="145"/>
      <c r="D154" s="145"/>
      <c r="E154" s="146"/>
      <c r="F154" s="147"/>
      <c r="G154" s="147"/>
      <c r="H154" s="150"/>
      <c r="I154" s="150"/>
      <c r="J154" s="148"/>
      <c r="K154" s="144"/>
    </row>
    <row r="155" spans="1:11" x14ac:dyDescent="0.25">
      <c r="A155" s="149"/>
      <c r="B155" s="149"/>
      <c r="C155" s="145"/>
      <c r="D155" s="145"/>
      <c r="E155" s="146"/>
      <c r="F155" s="147"/>
      <c r="G155" s="147"/>
      <c r="H155" s="150"/>
      <c r="I155" s="150"/>
      <c r="J155" s="148"/>
      <c r="K155" s="144"/>
    </row>
    <row r="156" spans="1:11" x14ac:dyDescent="0.25">
      <c r="A156" s="149"/>
      <c r="B156" s="149"/>
      <c r="C156" s="145"/>
      <c r="D156" s="145"/>
      <c r="E156" s="146"/>
      <c r="F156" s="147"/>
      <c r="G156" s="147"/>
      <c r="H156" s="150"/>
      <c r="I156" s="150"/>
      <c r="J156" s="148"/>
      <c r="K156" s="144"/>
    </row>
    <row r="157" spans="1:11" x14ac:dyDescent="0.25">
      <c r="A157" s="149"/>
      <c r="B157" s="149"/>
      <c r="C157" s="145"/>
      <c r="D157" s="145"/>
      <c r="E157" s="146"/>
      <c r="F157" s="147"/>
      <c r="G157" s="147"/>
      <c r="H157" s="150"/>
      <c r="I157" s="150"/>
      <c r="J157" s="148"/>
      <c r="K157" s="144"/>
    </row>
    <row r="158" spans="1:11" x14ac:dyDescent="0.25">
      <c r="A158" s="149"/>
      <c r="B158" s="149"/>
      <c r="C158" s="145"/>
      <c r="D158" s="145"/>
      <c r="E158" s="146"/>
      <c r="F158" s="147"/>
      <c r="G158" s="147"/>
      <c r="H158" s="150"/>
      <c r="I158" s="150"/>
      <c r="J158" s="148"/>
      <c r="K158" s="144"/>
    </row>
    <row r="159" spans="1:11" x14ac:dyDescent="0.25">
      <c r="A159" s="149"/>
      <c r="B159" s="149"/>
      <c r="C159" s="145"/>
      <c r="D159" s="145"/>
      <c r="E159" s="146"/>
      <c r="F159" s="147"/>
      <c r="G159" s="147"/>
      <c r="H159" s="150"/>
      <c r="I159" s="150"/>
      <c r="J159" s="148"/>
      <c r="K159" s="144"/>
    </row>
    <row r="160" spans="1:11" x14ac:dyDescent="0.25">
      <c r="A160" s="149"/>
      <c r="B160" s="149"/>
      <c r="C160" s="145"/>
      <c r="D160" s="145"/>
      <c r="E160" s="146"/>
      <c r="F160" s="147"/>
      <c r="G160" s="147"/>
      <c r="H160" s="150"/>
      <c r="I160" s="150"/>
      <c r="J160" s="148"/>
      <c r="K160" s="144"/>
    </row>
    <row r="161" spans="1:11" x14ac:dyDescent="0.25">
      <c r="A161" s="149"/>
      <c r="B161" s="149"/>
      <c r="C161" s="145"/>
      <c r="D161" s="145"/>
      <c r="E161" s="146"/>
      <c r="F161" s="147"/>
      <c r="G161" s="147"/>
      <c r="H161" s="150"/>
      <c r="I161" s="150"/>
      <c r="J161" s="148"/>
      <c r="K161" s="144"/>
    </row>
    <row r="162" spans="1:11" x14ac:dyDescent="0.25">
      <c r="A162" s="149"/>
      <c r="B162" s="149"/>
      <c r="C162" s="145"/>
      <c r="D162" s="145"/>
      <c r="E162" s="146"/>
      <c r="F162" s="147"/>
      <c r="G162" s="147"/>
      <c r="H162" s="150"/>
      <c r="I162" s="150"/>
      <c r="J162" s="148"/>
      <c r="K162" s="144"/>
    </row>
    <row r="163" spans="1:11" x14ac:dyDescent="0.25">
      <c r="A163" s="149"/>
      <c r="B163" s="149"/>
      <c r="C163" s="145"/>
      <c r="D163" s="145"/>
      <c r="E163" s="146"/>
      <c r="F163" s="147"/>
      <c r="G163" s="147"/>
      <c r="H163" s="150"/>
      <c r="I163" s="150"/>
      <c r="J163" s="148"/>
      <c r="K163" s="144"/>
    </row>
    <row r="164" spans="1:11" x14ac:dyDescent="0.25">
      <c r="A164" s="149"/>
      <c r="B164" s="149"/>
      <c r="C164" s="145"/>
      <c r="D164" s="145"/>
      <c r="E164" s="146"/>
      <c r="F164" s="147"/>
      <c r="G164" s="147"/>
      <c r="H164" s="150"/>
      <c r="I164" s="150"/>
      <c r="J164" s="148"/>
      <c r="K164" s="144"/>
    </row>
    <row r="165" spans="1:11" x14ac:dyDescent="0.25">
      <c r="A165" s="149"/>
      <c r="B165" s="149"/>
      <c r="C165" s="145"/>
      <c r="D165" s="145"/>
      <c r="E165" s="146"/>
      <c r="F165" s="147"/>
      <c r="G165" s="147"/>
      <c r="H165" s="150"/>
      <c r="I165" s="150"/>
      <c r="J165" s="148"/>
      <c r="K165" s="144"/>
    </row>
    <row r="166" spans="1:11" x14ac:dyDescent="0.25">
      <c r="A166" s="149"/>
      <c r="B166" s="149"/>
      <c r="C166" s="145"/>
      <c r="D166" s="145"/>
      <c r="E166" s="146"/>
      <c r="F166" s="147"/>
      <c r="G166" s="147"/>
      <c r="H166" s="150"/>
      <c r="I166" s="150"/>
      <c r="J166" s="148"/>
      <c r="K166" s="144"/>
    </row>
    <row r="167" spans="1:11" x14ac:dyDescent="0.25">
      <c r="A167" s="149"/>
      <c r="B167" s="149"/>
      <c r="C167" s="145"/>
      <c r="D167" s="145"/>
      <c r="E167" s="146"/>
      <c r="F167" s="147"/>
      <c r="G167" s="147"/>
      <c r="H167" s="150"/>
      <c r="I167" s="150"/>
      <c r="J167" s="148"/>
      <c r="K167" s="144"/>
    </row>
    <row r="168" spans="1:11" x14ac:dyDescent="0.25">
      <c r="A168" s="149"/>
      <c r="B168" s="149"/>
      <c r="C168" s="145"/>
      <c r="D168" s="145"/>
      <c r="E168" s="146"/>
      <c r="F168" s="147"/>
      <c r="G168" s="147"/>
      <c r="H168" s="150"/>
      <c r="I168" s="150"/>
      <c r="J168" s="148"/>
      <c r="K168" s="144"/>
    </row>
    <row r="169" spans="1:11" x14ac:dyDescent="0.25">
      <c r="A169" s="149"/>
      <c r="B169" s="149"/>
      <c r="C169" s="145"/>
      <c r="D169" s="145"/>
      <c r="E169" s="146"/>
      <c r="F169" s="147"/>
      <c r="G169" s="147"/>
      <c r="H169" s="150"/>
      <c r="I169" s="150"/>
      <c r="J169" s="148"/>
      <c r="K169" s="144"/>
    </row>
    <row r="170" spans="1:11" x14ac:dyDescent="0.25">
      <c r="A170" s="149"/>
      <c r="B170" s="149"/>
      <c r="C170" s="145"/>
      <c r="D170" s="145"/>
      <c r="E170" s="146"/>
      <c r="F170" s="147"/>
      <c r="G170" s="147"/>
      <c r="H170" s="150"/>
      <c r="I170" s="150"/>
      <c r="J170" s="148"/>
      <c r="K170" s="144"/>
    </row>
    <row r="171" spans="1:11" x14ac:dyDescent="0.25">
      <c r="A171" s="149"/>
      <c r="B171" s="149"/>
      <c r="C171" s="145"/>
      <c r="D171" s="145"/>
      <c r="E171" s="146"/>
      <c r="F171" s="147"/>
      <c r="G171" s="147"/>
      <c r="H171" s="150"/>
      <c r="I171" s="150"/>
      <c r="J171" s="148"/>
      <c r="K171" s="144"/>
    </row>
    <row r="172" spans="1:11" x14ac:dyDescent="0.25">
      <c r="A172" s="149"/>
      <c r="B172" s="149"/>
      <c r="C172" s="145"/>
      <c r="D172" s="145"/>
      <c r="E172" s="146"/>
      <c r="F172" s="147"/>
      <c r="G172" s="147"/>
      <c r="H172" s="150"/>
      <c r="I172" s="150"/>
      <c r="J172" s="148"/>
      <c r="K172" s="144"/>
    </row>
    <row r="173" spans="1:11" x14ac:dyDescent="0.25">
      <c r="A173" s="149"/>
      <c r="B173" s="149"/>
      <c r="C173" s="145"/>
      <c r="D173" s="145"/>
      <c r="E173" s="146"/>
      <c r="F173" s="147"/>
      <c r="G173" s="147"/>
      <c r="H173" s="150"/>
      <c r="I173" s="150"/>
      <c r="J173" s="148"/>
      <c r="K173" s="144"/>
    </row>
    <row r="174" spans="1:11" x14ac:dyDescent="0.25">
      <c r="A174" s="149"/>
      <c r="B174" s="149"/>
      <c r="C174" s="145"/>
      <c r="D174" s="145"/>
      <c r="E174" s="146"/>
      <c r="F174" s="147"/>
      <c r="G174" s="147"/>
      <c r="H174" s="150"/>
      <c r="I174" s="150"/>
      <c r="J174" s="148"/>
      <c r="K174" s="144"/>
    </row>
    <row r="175" spans="1:11" x14ac:dyDescent="0.25">
      <c r="A175" s="149"/>
      <c r="B175" s="149"/>
      <c r="C175" s="145"/>
      <c r="D175" s="145"/>
      <c r="E175" s="146"/>
      <c r="F175" s="147"/>
      <c r="G175" s="147"/>
      <c r="H175" s="150"/>
      <c r="I175" s="150"/>
      <c r="J175" s="148"/>
      <c r="K175" s="144"/>
    </row>
    <row r="176" spans="1:11" x14ac:dyDescent="0.25">
      <c r="A176" s="149"/>
      <c r="B176" s="149"/>
      <c r="C176" s="145"/>
      <c r="D176" s="145"/>
      <c r="E176" s="146"/>
      <c r="F176" s="147"/>
      <c r="G176" s="147"/>
      <c r="H176" s="150"/>
      <c r="I176" s="150"/>
      <c r="J176" s="148"/>
      <c r="K176" s="144"/>
    </row>
    <row r="177" spans="1:11" x14ac:dyDescent="0.25">
      <c r="A177" s="149"/>
      <c r="B177" s="149"/>
      <c r="C177" s="145"/>
      <c r="D177" s="145"/>
      <c r="E177" s="146"/>
      <c r="F177" s="147"/>
      <c r="G177" s="147"/>
      <c r="H177" s="150"/>
      <c r="I177" s="150"/>
      <c r="J177" s="148"/>
      <c r="K177" s="144"/>
    </row>
    <row r="178" spans="1:11" x14ac:dyDescent="0.25">
      <c r="A178" s="149"/>
      <c r="B178" s="149"/>
      <c r="C178" s="145"/>
      <c r="D178" s="145"/>
      <c r="E178" s="146"/>
      <c r="F178" s="147"/>
      <c r="G178" s="147"/>
      <c r="H178" s="150"/>
      <c r="I178" s="150"/>
      <c r="J178" s="148"/>
      <c r="K178" s="144"/>
    </row>
    <row r="179" spans="1:11" x14ac:dyDescent="0.25">
      <c r="A179" s="149"/>
      <c r="B179" s="149"/>
      <c r="C179" s="145"/>
      <c r="D179" s="145"/>
      <c r="E179" s="146"/>
      <c r="F179" s="147"/>
      <c r="G179" s="147"/>
      <c r="H179" s="150"/>
      <c r="I179" s="150"/>
      <c r="J179" s="148"/>
      <c r="K179" s="144"/>
    </row>
    <row r="180" spans="1:11" x14ac:dyDescent="0.25">
      <c r="A180" s="149"/>
      <c r="B180" s="149"/>
      <c r="C180" s="145"/>
      <c r="D180" s="145"/>
      <c r="E180" s="146"/>
      <c r="F180" s="147"/>
      <c r="G180" s="147"/>
      <c r="H180" s="150"/>
      <c r="I180" s="150"/>
      <c r="J180" s="148"/>
      <c r="K180" s="144"/>
    </row>
    <row r="181" spans="1:11" x14ac:dyDescent="0.25">
      <c r="A181" s="149"/>
      <c r="B181" s="149"/>
      <c r="C181" s="145"/>
      <c r="D181" s="145"/>
      <c r="E181" s="146"/>
      <c r="F181" s="147"/>
      <c r="G181" s="147"/>
      <c r="H181" s="150"/>
      <c r="I181" s="150"/>
      <c r="J181" s="148"/>
      <c r="K181" s="144"/>
    </row>
    <row r="182" spans="1:11" x14ac:dyDescent="0.25">
      <c r="A182" s="149"/>
      <c r="B182" s="149"/>
      <c r="C182" s="145"/>
      <c r="D182" s="145"/>
      <c r="E182" s="146"/>
      <c r="F182" s="147"/>
      <c r="G182" s="147"/>
      <c r="H182" s="150"/>
      <c r="I182" s="150"/>
      <c r="J182" s="148"/>
      <c r="K182" s="144"/>
    </row>
    <row r="183" spans="1:11" x14ac:dyDescent="0.25">
      <c r="A183" s="149"/>
      <c r="B183" s="149"/>
      <c r="C183" s="145"/>
      <c r="D183" s="145"/>
      <c r="E183" s="146"/>
      <c r="F183" s="147"/>
      <c r="G183" s="147"/>
      <c r="H183" s="150"/>
      <c r="I183" s="150"/>
      <c r="J183" s="148"/>
      <c r="K183" s="144"/>
    </row>
    <row r="184" spans="1:11" x14ac:dyDescent="0.25">
      <c r="A184" s="149"/>
      <c r="B184" s="149"/>
      <c r="C184" s="145"/>
      <c r="D184" s="145"/>
      <c r="E184" s="146"/>
      <c r="F184" s="147"/>
      <c r="G184" s="147"/>
      <c r="H184" s="150"/>
      <c r="I184" s="150"/>
      <c r="J184" s="148"/>
      <c r="K184" s="144"/>
    </row>
    <row r="185" spans="1:11" x14ac:dyDescent="0.25">
      <c r="A185" s="149"/>
      <c r="B185" s="149"/>
      <c r="C185" s="145"/>
      <c r="D185" s="145"/>
      <c r="E185" s="146"/>
      <c r="F185" s="147"/>
      <c r="G185" s="147"/>
      <c r="H185" s="150"/>
      <c r="I185" s="150"/>
      <c r="J185" s="148"/>
      <c r="K185" s="144"/>
    </row>
    <row r="186" spans="1:11" x14ac:dyDescent="0.25">
      <c r="A186" s="149"/>
      <c r="B186" s="149"/>
      <c r="C186" s="145"/>
      <c r="D186" s="145"/>
      <c r="E186" s="146"/>
      <c r="F186" s="147"/>
      <c r="G186" s="147"/>
      <c r="H186" s="150"/>
      <c r="I186" s="150"/>
      <c r="J186" s="148"/>
      <c r="K186" s="144"/>
    </row>
    <row r="187" spans="1:11" x14ac:dyDescent="0.25">
      <c r="A187" s="149"/>
      <c r="B187" s="149"/>
      <c r="C187" s="145"/>
      <c r="D187" s="145"/>
      <c r="E187" s="146"/>
      <c r="F187" s="147"/>
      <c r="G187" s="147"/>
      <c r="H187" s="150"/>
      <c r="I187" s="150"/>
      <c r="J187" s="148"/>
      <c r="K187" s="144"/>
    </row>
    <row r="188" spans="1:11" x14ac:dyDescent="0.25">
      <c r="A188" s="149"/>
      <c r="B188" s="149"/>
      <c r="C188" s="145"/>
      <c r="D188" s="145"/>
      <c r="E188" s="146"/>
      <c r="F188" s="147"/>
      <c r="G188" s="147"/>
      <c r="H188" s="150"/>
      <c r="I188" s="150"/>
      <c r="J188" s="148"/>
      <c r="K188" s="144"/>
    </row>
    <row r="189" spans="1:11" x14ac:dyDescent="0.25">
      <c r="A189" s="149"/>
      <c r="B189" s="149"/>
      <c r="C189" s="145"/>
      <c r="D189" s="145"/>
      <c r="E189" s="146"/>
      <c r="F189" s="147"/>
      <c r="G189" s="147"/>
      <c r="H189" s="150"/>
      <c r="I189" s="150"/>
      <c r="J189" s="148"/>
      <c r="K189" s="144"/>
    </row>
    <row r="190" spans="1:11" x14ac:dyDescent="0.25">
      <c r="A190" s="149"/>
      <c r="B190" s="149"/>
      <c r="C190" s="145"/>
      <c r="D190" s="145"/>
      <c r="E190" s="146"/>
      <c r="F190" s="147"/>
      <c r="G190" s="147"/>
      <c r="H190" s="150"/>
      <c r="I190" s="150"/>
      <c r="J190" s="148"/>
      <c r="K190" s="144"/>
    </row>
    <row r="191" spans="1:11" x14ac:dyDescent="0.25">
      <c r="A191" s="149"/>
      <c r="B191" s="149"/>
      <c r="C191" s="145"/>
      <c r="D191" s="145"/>
      <c r="E191" s="146"/>
      <c r="F191" s="147"/>
      <c r="G191" s="147"/>
      <c r="H191" s="150"/>
      <c r="I191" s="150"/>
      <c r="J191" s="148"/>
      <c r="K191" s="144"/>
    </row>
    <row r="192" spans="1:11" x14ac:dyDescent="0.25">
      <c r="A192" s="149"/>
      <c r="B192" s="149"/>
      <c r="C192" s="145"/>
      <c r="D192" s="145"/>
      <c r="E192" s="146"/>
      <c r="F192" s="147"/>
      <c r="G192" s="147"/>
      <c r="H192" s="150"/>
      <c r="I192" s="150"/>
      <c r="J192" s="148"/>
      <c r="K192" s="144"/>
    </row>
    <row r="193" spans="1:11" x14ac:dyDescent="0.25">
      <c r="A193" s="149"/>
      <c r="B193" s="149"/>
      <c r="C193" s="145"/>
      <c r="D193" s="145"/>
      <c r="E193" s="146"/>
      <c r="F193" s="147"/>
      <c r="G193" s="147"/>
      <c r="H193" s="150"/>
      <c r="I193" s="150"/>
      <c r="J193" s="148"/>
      <c r="K193" s="144"/>
    </row>
    <row r="194" spans="1:11" x14ac:dyDescent="0.25">
      <c r="A194" s="149"/>
      <c r="B194" s="149"/>
      <c r="C194" s="145"/>
      <c r="D194" s="145"/>
      <c r="E194" s="146"/>
      <c r="F194" s="147"/>
      <c r="G194" s="147"/>
      <c r="H194" s="150"/>
      <c r="I194" s="150"/>
      <c r="J194" s="148"/>
      <c r="K194" s="144"/>
    </row>
    <row r="195" spans="1:11" x14ac:dyDescent="0.25">
      <c r="A195" s="149"/>
      <c r="B195" s="149"/>
      <c r="C195" s="145"/>
      <c r="D195" s="145"/>
      <c r="E195" s="146"/>
      <c r="F195" s="147"/>
      <c r="G195" s="147"/>
      <c r="H195" s="150"/>
      <c r="I195" s="150"/>
      <c r="J195" s="148"/>
      <c r="K195" s="144"/>
    </row>
    <row r="196" spans="1:11" x14ac:dyDescent="0.25">
      <c r="A196" s="149"/>
      <c r="B196" s="149"/>
      <c r="C196" s="145"/>
      <c r="D196" s="145"/>
      <c r="E196" s="146"/>
      <c r="F196" s="147"/>
      <c r="G196" s="147"/>
      <c r="H196" s="150"/>
      <c r="I196" s="150"/>
      <c r="J196" s="148"/>
      <c r="K196" s="144"/>
    </row>
    <row r="197" spans="1:11" x14ac:dyDescent="0.25">
      <c r="A197" s="149"/>
      <c r="B197" s="149"/>
      <c r="C197" s="145"/>
      <c r="D197" s="145"/>
      <c r="E197" s="146"/>
      <c r="F197" s="147"/>
      <c r="G197" s="147"/>
      <c r="H197" s="150"/>
      <c r="I197" s="150"/>
      <c r="J197" s="148"/>
      <c r="K197" s="144"/>
    </row>
    <row r="198" spans="1:11" x14ac:dyDescent="0.25">
      <c r="A198" s="149"/>
      <c r="B198" s="149"/>
      <c r="C198" s="145"/>
      <c r="D198" s="145"/>
      <c r="E198" s="146"/>
      <c r="F198" s="147"/>
      <c r="G198" s="147"/>
      <c r="H198" s="150"/>
      <c r="I198" s="150"/>
      <c r="J198" s="148"/>
      <c r="K198" s="144"/>
    </row>
    <row r="199" spans="1:11" x14ac:dyDescent="0.25">
      <c r="A199" s="149"/>
      <c r="B199" s="149"/>
      <c r="C199" s="145"/>
      <c r="D199" s="145"/>
      <c r="E199" s="146"/>
      <c r="F199" s="147"/>
      <c r="G199" s="147"/>
      <c r="H199" s="150"/>
      <c r="I199" s="150"/>
      <c r="J199" s="148"/>
      <c r="K199" s="144"/>
    </row>
    <row r="200" spans="1:11" x14ac:dyDescent="0.25">
      <c r="A200" s="149"/>
      <c r="B200" s="149"/>
      <c r="C200" s="145"/>
      <c r="D200" s="145"/>
      <c r="E200" s="146"/>
      <c r="F200" s="147"/>
      <c r="G200" s="147"/>
      <c r="H200" s="150"/>
      <c r="I200" s="150"/>
      <c r="J200" s="148"/>
      <c r="K200" s="144"/>
    </row>
    <row r="201" spans="1:11" x14ac:dyDescent="0.25">
      <c r="A201" s="149"/>
      <c r="B201" s="149"/>
      <c r="C201" s="145"/>
      <c r="D201" s="145"/>
      <c r="E201" s="146"/>
      <c r="F201" s="147"/>
      <c r="G201" s="147"/>
      <c r="H201" s="150"/>
      <c r="I201" s="150"/>
      <c r="J201" s="148"/>
      <c r="K201" s="144"/>
    </row>
    <row r="202" spans="1:11" x14ac:dyDescent="0.25">
      <c r="A202" s="149"/>
      <c r="B202" s="149"/>
      <c r="C202" s="145"/>
      <c r="D202" s="145"/>
      <c r="E202" s="146"/>
      <c r="F202" s="147"/>
      <c r="G202" s="147"/>
      <c r="H202" s="150"/>
      <c r="I202" s="150"/>
      <c r="J202" s="148"/>
      <c r="K202" s="144"/>
    </row>
    <row r="203" spans="1:11" x14ac:dyDescent="0.25">
      <c r="A203" s="149"/>
      <c r="B203" s="149"/>
      <c r="C203" s="145"/>
      <c r="D203" s="145"/>
      <c r="E203" s="146"/>
      <c r="F203" s="147"/>
      <c r="G203" s="147"/>
      <c r="H203" s="150"/>
      <c r="I203" s="150"/>
      <c r="J203" s="148"/>
      <c r="K203" s="144"/>
    </row>
    <row r="204" spans="1:11" x14ac:dyDescent="0.25">
      <c r="A204" s="149"/>
      <c r="B204" s="149"/>
      <c r="C204" s="145"/>
      <c r="D204" s="145"/>
      <c r="E204" s="146"/>
      <c r="F204" s="147"/>
      <c r="G204" s="147"/>
      <c r="H204" s="150"/>
      <c r="I204" s="150"/>
      <c r="J204" s="148"/>
      <c r="K204" s="144"/>
    </row>
    <row r="205" spans="1:11" x14ac:dyDescent="0.25">
      <c r="A205" s="149"/>
      <c r="B205" s="149"/>
      <c r="C205" s="145"/>
      <c r="D205" s="145"/>
      <c r="E205" s="146"/>
      <c r="F205" s="147"/>
      <c r="G205" s="147"/>
      <c r="H205" s="150"/>
      <c r="I205" s="150"/>
      <c r="J205" s="148"/>
      <c r="K205" s="144"/>
    </row>
    <row r="206" spans="1:11" x14ac:dyDescent="0.25">
      <c r="A206" s="149"/>
      <c r="B206" s="149"/>
      <c r="C206" s="145"/>
      <c r="D206" s="145"/>
      <c r="E206" s="146"/>
      <c r="F206" s="147"/>
      <c r="G206" s="147"/>
      <c r="H206" s="150"/>
      <c r="I206" s="150"/>
      <c r="J206" s="148"/>
      <c r="K206" s="144"/>
    </row>
    <row r="207" spans="1:11" x14ac:dyDescent="0.25">
      <c r="A207" s="149"/>
      <c r="B207" s="149"/>
      <c r="C207" s="145"/>
      <c r="D207" s="145"/>
      <c r="E207" s="146"/>
      <c r="F207" s="147"/>
      <c r="G207" s="147"/>
      <c r="H207" s="150"/>
      <c r="I207" s="150"/>
      <c r="J207" s="148"/>
      <c r="K207" s="144"/>
    </row>
    <row r="208" spans="1:11" x14ac:dyDescent="0.25">
      <c r="A208" s="149"/>
      <c r="B208" s="149"/>
      <c r="C208" s="145"/>
      <c r="D208" s="145"/>
      <c r="E208" s="146"/>
      <c r="F208" s="147"/>
      <c r="G208" s="147"/>
      <c r="H208" s="150"/>
      <c r="I208" s="150"/>
      <c r="J208" s="148"/>
      <c r="K208" s="144"/>
    </row>
    <row r="209" spans="1:11" x14ac:dyDescent="0.25">
      <c r="A209" s="149"/>
      <c r="B209" s="149"/>
      <c r="C209" s="145"/>
      <c r="D209" s="145"/>
      <c r="E209" s="146"/>
      <c r="F209" s="147"/>
      <c r="G209" s="147"/>
      <c r="H209" s="150"/>
      <c r="I209" s="150"/>
      <c r="J209" s="148"/>
      <c r="K209" s="144"/>
    </row>
    <row r="210" spans="1:11" x14ac:dyDescent="0.25">
      <c r="A210" s="149"/>
      <c r="B210" s="149"/>
      <c r="C210" s="145"/>
      <c r="D210" s="145"/>
      <c r="E210" s="146"/>
      <c r="F210" s="147"/>
      <c r="G210" s="147"/>
      <c r="H210" s="150"/>
      <c r="I210" s="150"/>
      <c r="J210" s="148"/>
      <c r="K210" s="144"/>
    </row>
    <row r="211" spans="1:11" x14ac:dyDescent="0.25">
      <c r="A211" s="149"/>
      <c r="B211" s="149"/>
      <c r="C211" s="145"/>
      <c r="D211" s="145"/>
      <c r="E211" s="146"/>
      <c r="F211" s="147"/>
      <c r="G211" s="147"/>
      <c r="H211" s="150"/>
      <c r="I211" s="150"/>
      <c r="J211" s="148"/>
      <c r="K211" s="144"/>
    </row>
    <row r="212" spans="1:11" x14ac:dyDescent="0.25">
      <c r="A212" s="149"/>
      <c r="B212" s="149"/>
      <c r="C212" s="145"/>
      <c r="D212" s="145"/>
      <c r="E212" s="146"/>
      <c r="F212" s="147"/>
      <c r="G212" s="147"/>
      <c r="H212" s="150"/>
      <c r="I212" s="150"/>
      <c r="J212" s="148"/>
      <c r="K212" s="144"/>
    </row>
    <row r="213" spans="1:11" x14ac:dyDescent="0.25">
      <c r="A213" s="149"/>
      <c r="B213" s="149"/>
      <c r="C213" s="145"/>
      <c r="D213" s="145"/>
      <c r="E213" s="146"/>
      <c r="F213" s="147"/>
      <c r="G213" s="147"/>
      <c r="H213" s="150"/>
      <c r="I213" s="150"/>
      <c r="J213" s="148"/>
      <c r="K213" s="144"/>
    </row>
    <row r="214" spans="1:11" x14ac:dyDescent="0.25">
      <c r="A214" s="149"/>
      <c r="B214" s="149"/>
      <c r="C214" s="145"/>
      <c r="D214" s="145"/>
      <c r="E214" s="146"/>
      <c r="F214" s="147"/>
      <c r="G214" s="147"/>
      <c r="H214" s="150"/>
      <c r="I214" s="150"/>
      <c r="J214" s="148"/>
      <c r="K214" s="144"/>
    </row>
    <row r="215" spans="1:11" x14ac:dyDescent="0.25">
      <c r="A215" s="149"/>
      <c r="B215" s="149"/>
      <c r="C215" s="145"/>
      <c r="D215" s="145"/>
      <c r="E215" s="146"/>
      <c r="F215" s="147"/>
      <c r="G215" s="147"/>
      <c r="H215" s="150"/>
      <c r="I215" s="150"/>
      <c r="J215" s="148"/>
      <c r="K215" s="144"/>
    </row>
    <row r="216" spans="1:11" x14ac:dyDescent="0.25">
      <c r="A216" s="149"/>
      <c r="B216" s="149"/>
      <c r="C216" s="145"/>
      <c r="D216" s="145"/>
      <c r="E216" s="146"/>
      <c r="F216" s="147"/>
      <c r="G216" s="147"/>
      <c r="H216" s="150"/>
      <c r="I216" s="150"/>
      <c r="J216" s="148"/>
      <c r="K216" s="144"/>
    </row>
    <row r="217" spans="1:11" x14ac:dyDescent="0.25">
      <c r="A217" s="149"/>
      <c r="B217" s="149"/>
      <c r="C217" s="145"/>
      <c r="D217" s="145"/>
      <c r="E217" s="146"/>
      <c r="F217" s="147"/>
      <c r="G217" s="147"/>
      <c r="H217" s="150"/>
      <c r="I217" s="150"/>
      <c r="J217" s="148"/>
      <c r="K217" s="144"/>
    </row>
    <row r="218" spans="1:11" x14ac:dyDescent="0.25">
      <c r="A218" s="149"/>
      <c r="B218" s="149"/>
      <c r="C218" s="145"/>
      <c r="D218" s="145"/>
      <c r="E218" s="146"/>
      <c r="F218" s="147"/>
      <c r="G218" s="147"/>
      <c r="H218" s="150"/>
      <c r="I218" s="150"/>
      <c r="J218" s="148"/>
      <c r="K218" s="144"/>
    </row>
    <row r="219" spans="1:11" x14ac:dyDescent="0.25">
      <c r="A219" s="149"/>
      <c r="B219" s="149"/>
      <c r="C219" s="145"/>
      <c r="D219" s="145"/>
      <c r="E219" s="146"/>
      <c r="F219" s="147"/>
      <c r="G219" s="147"/>
      <c r="H219" s="150"/>
      <c r="I219" s="150"/>
      <c r="J219" s="148"/>
      <c r="K219" s="144"/>
    </row>
    <row r="220" spans="1:11" x14ac:dyDescent="0.25">
      <c r="A220" s="149"/>
      <c r="B220" s="149"/>
      <c r="C220" s="145"/>
      <c r="D220" s="145"/>
      <c r="E220" s="146"/>
      <c r="F220" s="147"/>
      <c r="G220" s="147"/>
      <c r="H220" s="150"/>
      <c r="I220" s="150"/>
      <c r="J220" s="148"/>
      <c r="K220" s="144"/>
    </row>
    <row r="221" spans="1:11" x14ac:dyDescent="0.25">
      <c r="A221" s="149"/>
      <c r="B221" s="149"/>
      <c r="C221" s="145"/>
      <c r="D221" s="145"/>
      <c r="E221" s="146"/>
      <c r="F221" s="147"/>
      <c r="G221" s="147"/>
      <c r="H221" s="150"/>
      <c r="I221" s="150"/>
      <c r="J221" s="148"/>
      <c r="K221" s="144"/>
    </row>
    <row r="222" spans="1:11" x14ac:dyDescent="0.25">
      <c r="A222" s="149"/>
      <c r="B222" s="149"/>
      <c r="C222" s="145"/>
      <c r="D222" s="145"/>
      <c r="E222" s="146"/>
      <c r="F222" s="147"/>
      <c r="G222" s="147"/>
      <c r="H222" s="150"/>
      <c r="I222" s="150"/>
      <c r="J222" s="148"/>
      <c r="K222" s="144"/>
    </row>
    <row r="223" spans="1:11" x14ac:dyDescent="0.25">
      <c r="A223" s="149"/>
      <c r="B223" s="149"/>
      <c r="C223" s="145"/>
      <c r="D223" s="145"/>
      <c r="E223" s="146"/>
      <c r="F223" s="147"/>
      <c r="G223" s="147"/>
      <c r="H223" s="150"/>
      <c r="I223" s="150"/>
      <c r="J223" s="148"/>
      <c r="K223" s="144"/>
    </row>
    <row r="224" spans="1:11" x14ac:dyDescent="0.25">
      <c r="A224" s="149"/>
      <c r="B224" s="149"/>
      <c r="C224" s="145"/>
      <c r="D224" s="145"/>
      <c r="E224" s="146"/>
      <c r="F224" s="147"/>
      <c r="G224" s="147"/>
      <c r="H224" s="150"/>
      <c r="I224" s="150"/>
      <c r="J224" s="148"/>
      <c r="K224" s="144"/>
    </row>
    <row r="225" spans="1:11" x14ac:dyDescent="0.25">
      <c r="A225" s="149"/>
      <c r="B225" s="149"/>
      <c r="C225" s="145"/>
      <c r="D225" s="145"/>
      <c r="E225" s="146"/>
      <c r="F225" s="147"/>
      <c r="G225" s="147"/>
      <c r="H225" s="150"/>
      <c r="I225" s="150"/>
      <c r="J225" s="148"/>
      <c r="K225" s="144"/>
    </row>
    <row r="226" spans="1:11" x14ac:dyDescent="0.25">
      <c r="A226" s="149"/>
      <c r="B226" s="149"/>
      <c r="C226" s="145"/>
      <c r="D226" s="145"/>
      <c r="E226" s="146"/>
      <c r="F226" s="147"/>
      <c r="G226" s="147"/>
      <c r="H226" s="150"/>
      <c r="I226" s="150"/>
      <c r="J226" s="148"/>
      <c r="K226" s="144"/>
    </row>
    <row r="227" spans="1:11" x14ac:dyDescent="0.25">
      <c r="A227" s="149"/>
      <c r="B227" s="149"/>
      <c r="C227" s="145"/>
      <c r="D227" s="145"/>
      <c r="E227" s="146"/>
      <c r="F227" s="147"/>
      <c r="G227" s="147"/>
      <c r="H227" s="150"/>
      <c r="I227" s="150"/>
      <c r="J227" s="148"/>
      <c r="K227" s="144"/>
    </row>
    <row r="228" spans="1:11" x14ac:dyDescent="0.25">
      <c r="A228" s="149"/>
      <c r="B228" s="149"/>
      <c r="C228" s="145"/>
      <c r="D228" s="145"/>
      <c r="E228" s="146"/>
      <c r="F228" s="147"/>
      <c r="G228" s="147"/>
      <c r="H228" s="150"/>
      <c r="I228" s="150"/>
      <c r="J228" s="148"/>
      <c r="K228" s="144"/>
    </row>
    <row r="229" spans="1:11" x14ac:dyDescent="0.25">
      <c r="A229" s="149"/>
      <c r="B229" s="149"/>
      <c r="C229" s="145"/>
      <c r="D229" s="145"/>
      <c r="E229" s="146"/>
      <c r="F229" s="147"/>
      <c r="G229" s="147"/>
      <c r="H229" s="150"/>
      <c r="I229" s="150"/>
      <c r="J229" s="148"/>
      <c r="K229" s="144"/>
    </row>
    <row r="230" spans="1:11" x14ac:dyDescent="0.25">
      <c r="A230" s="149"/>
      <c r="B230" s="149"/>
      <c r="C230" s="145"/>
      <c r="D230" s="145"/>
      <c r="E230" s="146"/>
      <c r="F230" s="147"/>
      <c r="G230" s="147"/>
      <c r="H230" s="150"/>
      <c r="I230" s="150"/>
      <c r="J230" s="148"/>
      <c r="K230" s="144"/>
    </row>
    <row r="231" spans="1:11" x14ac:dyDescent="0.25">
      <c r="A231" s="149"/>
      <c r="B231" s="149"/>
      <c r="C231" s="145"/>
      <c r="D231" s="145"/>
      <c r="E231" s="146"/>
      <c r="F231" s="147"/>
      <c r="G231" s="147"/>
      <c r="H231" s="150"/>
      <c r="I231" s="150"/>
      <c r="J231" s="148"/>
      <c r="K231" s="144"/>
    </row>
    <row r="232" spans="1:11" x14ac:dyDescent="0.25">
      <c r="A232" s="149"/>
      <c r="B232" s="149"/>
      <c r="C232" s="145"/>
      <c r="D232" s="145"/>
      <c r="E232" s="146"/>
      <c r="F232" s="147"/>
      <c r="G232" s="147"/>
      <c r="H232" s="150"/>
      <c r="I232" s="150"/>
      <c r="J232" s="148"/>
      <c r="K232" s="144"/>
    </row>
    <row r="233" spans="1:11" x14ac:dyDescent="0.25">
      <c r="A233" s="149"/>
      <c r="B233" s="149"/>
      <c r="C233" s="145"/>
      <c r="D233" s="145"/>
      <c r="E233" s="146"/>
      <c r="F233" s="147"/>
      <c r="G233" s="147"/>
      <c r="H233" s="150"/>
      <c r="I233" s="150"/>
      <c r="J233" s="148"/>
      <c r="K233" s="144"/>
    </row>
    <row r="234" spans="1:11" x14ac:dyDescent="0.25">
      <c r="A234" s="149"/>
      <c r="B234" s="149"/>
      <c r="C234" s="145"/>
      <c r="D234" s="145"/>
      <c r="E234" s="146"/>
      <c r="F234" s="147"/>
      <c r="G234" s="147"/>
      <c r="H234" s="150"/>
      <c r="I234" s="150"/>
      <c r="J234" s="148"/>
      <c r="K234" s="144"/>
    </row>
    <row r="235" spans="1:11" x14ac:dyDescent="0.25">
      <c r="A235" s="149"/>
      <c r="B235" s="149"/>
      <c r="C235" s="145"/>
      <c r="D235" s="145"/>
      <c r="E235" s="146"/>
      <c r="F235" s="147"/>
      <c r="G235" s="147"/>
      <c r="H235" s="150"/>
      <c r="I235" s="150"/>
      <c r="J235" s="148"/>
      <c r="K235" s="144"/>
    </row>
    <row r="236" spans="1:11" x14ac:dyDescent="0.25">
      <c r="A236" s="149"/>
      <c r="B236" s="149"/>
      <c r="C236" s="145"/>
      <c r="D236" s="145"/>
      <c r="E236" s="146"/>
      <c r="F236" s="147"/>
      <c r="G236" s="147"/>
      <c r="H236" s="150"/>
      <c r="I236" s="150"/>
      <c r="J236" s="148"/>
      <c r="K236" s="144"/>
    </row>
    <row r="237" spans="1:11" x14ac:dyDescent="0.25">
      <c r="A237" s="149"/>
      <c r="B237" s="149"/>
      <c r="C237" s="145"/>
      <c r="D237" s="145"/>
      <c r="E237" s="146"/>
      <c r="F237" s="147"/>
      <c r="G237" s="147"/>
      <c r="H237" s="150"/>
      <c r="I237" s="150"/>
      <c r="J237" s="148"/>
      <c r="K237" s="144"/>
    </row>
    <row r="238" spans="1:11" x14ac:dyDescent="0.25">
      <c r="A238" s="149"/>
      <c r="B238" s="149"/>
      <c r="C238" s="145"/>
      <c r="D238" s="145"/>
      <c r="E238" s="146"/>
      <c r="F238" s="147"/>
      <c r="G238" s="147"/>
      <c r="H238" s="150"/>
      <c r="I238" s="150"/>
      <c r="J238" s="148"/>
      <c r="K238" s="144"/>
    </row>
    <row r="239" spans="1:11" x14ac:dyDescent="0.25">
      <c r="A239" s="149"/>
      <c r="B239" s="149"/>
      <c r="C239" s="145"/>
      <c r="D239" s="145"/>
      <c r="E239" s="146"/>
      <c r="F239" s="147"/>
      <c r="G239" s="147"/>
      <c r="H239" s="150"/>
      <c r="I239" s="150"/>
      <c r="J239" s="148"/>
      <c r="K239" s="144"/>
    </row>
    <row r="240" spans="1:11" x14ac:dyDescent="0.25">
      <c r="A240" s="149"/>
      <c r="B240" s="149"/>
      <c r="C240" s="145"/>
      <c r="D240" s="145"/>
      <c r="E240" s="146"/>
      <c r="F240" s="147"/>
      <c r="G240" s="147"/>
      <c r="H240" s="150"/>
      <c r="I240" s="150"/>
      <c r="J240" s="148"/>
      <c r="K240" s="144"/>
    </row>
    <row r="241" spans="1:11" x14ac:dyDescent="0.25">
      <c r="A241" s="149"/>
      <c r="B241" s="149"/>
      <c r="C241" s="145"/>
      <c r="D241" s="145"/>
      <c r="E241" s="146"/>
      <c r="F241" s="147"/>
      <c r="G241" s="147"/>
      <c r="H241" s="150"/>
      <c r="I241" s="150"/>
      <c r="J241" s="148"/>
      <c r="K241" s="144"/>
    </row>
    <row r="242" spans="1:11" x14ac:dyDescent="0.25">
      <c r="A242" s="149"/>
      <c r="B242" s="149"/>
      <c r="C242" s="145"/>
      <c r="D242" s="145"/>
      <c r="E242" s="146"/>
      <c r="F242" s="147"/>
      <c r="G242" s="147"/>
      <c r="H242" s="150"/>
      <c r="I242" s="150"/>
      <c r="J242" s="148"/>
      <c r="K242" s="144"/>
    </row>
    <row r="243" spans="1:11" x14ac:dyDescent="0.25">
      <c r="A243" s="149"/>
      <c r="B243" s="149"/>
      <c r="C243" s="145"/>
      <c r="D243" s="145"/>
      <c r="E243" s="146"/>
      <c r="F243" s="147"/>
      <c r="G243" s="147"/>
      <c r="H243" s="150"/>
      <c r="I243" s="150"/>
      <c r="J243" s="148"/>
      <c r="K243" s="144"/>
    </row>
    <row r="244" spans="1:11" x14ac:dyDescent="0.25">
      <c r="A244" s="149"/>
      <c r="B244" s="149"/>
      <c r="C244" s="145"/>
      <c r="D244" s="145"/>
      <c r="E244" s="146"/>
      <c r="F244" s="147"/>
      <c r="G244" s="147"/>
      <c r="H244" s="150"/>
      <c r="I244" s="150"/>
      <c r="J244" s="148"/>
      <c r="K244" s="144"/>
    </row>
    <row r="245" spans="1:11" x14ac:dyDescent="0.25">
      <c r="A245" s="149"/>
      <c r="B245" s="149"/>
      <c r="C245" s="145"/>
      <c r="D245" s="145"/>
      <c r="E245" s="146"/>
      <c r="F245" s="147"/>
      <c r="G245" s="147"/>
      <c r="H245" s="150"/>
      <c r="I245" s="150"/>
      <c r="J245" s="148"/>
      <c r="K245" s="144"/>
    </row>
    <row r="246" spans="1:11" x14ac:dyDescent="0.25">
      <c r="A246" s="149"/>
      <c r="B246" s="149"/>
      <c r="C246" s="145"/>
      <c r="D246" s="145"/>
      <c r="E246" s="146"/>
      <c r="F246" s="147"/>
      <c r="G246" s="147"/>
      <c r="H246" s="150"/>
      <c r="I246" s="150"/>
      <c r="J246" s="148"/>
      <c r="K246" s="144"/>
    </row>
    <row r="247" spans="1:11" x14ac:dyDescent="0.25">
      <c r="A247" s="149"/>
      <c r="B247" s="149"/>
      <c r="C247" s="145"/>
      <c r="D247" s="145"/>
      <c r="E247" s="146"/>
      <c r="F247" s="147"/>
      <c r="G247" s="147"/>
      <c r="H247" s="150"/>
      <c r="I247" s="150"/>
      <c r="J247" s="148"/>
      <c r="K247" s="144"/>
    </row>
    <row r="248" spans="1:11" x14ac:dyDescent="0.25">
      <c r="A248" s="149"/>
      <c r="B248" s="149"/>
      <c r="C248" s="145"/>
      <c r="D248" s="145"/>
      <c r="E248" s="146"/>
      <c r="F248" s="147"/>
      <c r="G248" s="147"/>
      <c r="H248" s="150"/>
      <c r="I248" s="150"/>
      <c r="J248" s="148"/>
      <c r="K248" s="144"/>
    </row>
    <row r="249" spans="1:11" x14ac:dyDescent="0.25">
      <c r="A249" s="149"/>
      <c r="B249" s="149"/>
      <c r="C249" s="145"/>
      <c r="D249" s="145"/>
      <c r="E249" s="146"/>
      <c r="F249" s="147"/>
      <c r="G249" s="147"/>
      <c r="H249" s="150"/>
      <c r="I249" s="150"/>
      <c r="J249" s="148"/>
      <c r="K249" s="144"/>
    </row>
    <row r="250" spans="1:11" x14ac:dyDescent="0.25">
      <c r="A250" s="149"/>
      <c r="B250" s="149"/>
      <c r="C250" s="145"/>
      <c r="D250" s="145"/>
      <c r="E250" s="146"/>
      <c r="F250" s="147"/>
      <c r="G250" s="147"/>
      <c r="H250" s="150"/>
      <c r="I250" s="150"/>
      <c r="J250" s="148"/>
      <c r="K250" s="144"/>
    </row>
    <row r="251" spans="1:11" x14ac:dyDescent="0.25">
      <c r="A251" s="149"/>
      <c r="B251" s="149"/>
      <c r="C251" s="145"/>
      <c r="D251" s="145"/>
      <c r="E251" s="146"/>
      <c r="F251" s="147"/>
      <c r="G251" s="147"/>
      <c r="H251" s="150"/>
      <c r="I251" s="150"/>
      <c r="J251" s="148"/>
      <c r="K251" s="144"/>
    </row>
    <row r="252" spans="1:11" x14ac:dyDescent="0.25">
      <c r="A252" s="149"/>
      <c r="B252" s="149"/>
      <c r="C252" s="145"/>
      <c r="D252" s="145"/>
      <c r="E252" s="146"/>
      <c r="F252" s="147"/>
      <c r="G252" s="147"/>
      <c r="H252" s="150"/>
      <c r="I252" s="150"/>
      <c r="J252" s="148"/>
      <c r="K252" s="144"/>
    </row>
    <row r="253" spans="1:11" x14ac:dyDescent="0.25">
      <c r="A253" s="149"/>
      <c r="B253" s="149"/>
      <c r="C253" s="145"/>
      <c r="D253" s="145"/>
      <c r="E253" s="146"/>
      <c r="F253" s="147"/>
      <c r="G253" s="147"/>
      <c r="H253" s="150"/>
      <c r="I253" s="150"/>
      <c r="J253" s="148"/>
      <c r="K253" s="144"/>
    </row>
    <row r="254" spans="1:11" x14ac:dyDescent="0.25">
      <c r="A254" s="149"/>
      <c r="B254" s="149"/>
      <c r="C254" s="145"/>
      <c r="D254" s="145"/>
      <c r="E254" s="146"/>
      <c r="F254" s="147"/>
      <c r="G254" s="147"/>
      <c r="H254" s="150"/>
      <c r="I254" s="150"/>
      <c r="J254" s="148"/>
      <c r="K254" s="144"/>
    </row>
    <row r="255" spans="1:11" x14ac:dyDescent="0.25">
      <c r="A255" s="149"/>
      <c r="B255" s="149"/>
      <c r="C255" s="145"/>
      <c r="D255" s="145"/>
      <c r="E255" s="146"/>
      <c r="F255" s="147"/>
      <c r="G255" s="147"/>
      <c r="H255" s="150"/>
      <c r="I255" s="150"/>
      <c r="J255" s="148"/>
      <c r="K255" s="144"/>
    </row>
    <row r="256" spans="1:11" x14ac:dyDescent="0.25">
      <c r="A256" s="149"/>
      <c r="B256" s="149"/>
      <c r="C256" s="145"/>
      <c r="D256" s="145"/>
      <c r="E256" s="146"/>
      <c r="F256" s="147"/>
      <c r="G256" s="147"/>
      <c r="H256" s="150"/>
      <c r="I256" s="150"/>
      <c r="J256" s="148"/>
      <c r="K256" s="144"/>
    </row>
    <row r="257" spans="1:11" x14ac:dyDescent="0.25">
      <c r="A257" s="149"/>
      <c r="B257" s="149"/>
      <c r="C257" s="145"/>
      <c r="D257" s="145"/>
      <c r="E257" s="146"/>
      <c r="F257" s="147"/>
      <c r="G257" s="147"/>
      <c r="H257" s="150"/>
      <c r="I257" s="150"/>
      <c r="J257" s="148"/>
      <c r="K257" s="144"/>
    </row>
    <row r="258" spans="1:11" x14ac:dyDescent="0.25">
      <c r="A258" s="149"/>
      <c r="B258" s="149"/>
      <c r="C258" s="145"/>
      <c r="D258" s="145"/>
      <c r="E258" s="146"/>
      <c r="F258" s="147"/>
      <c r="G258" s="147"/>
      <c r="H258" s="150"/>
      <c r="I258" s="150"/>
      <c r="J258" s="148"/>
      <c r="K258" s="144"/>
    </row>
    <row r="259" spans="1:11" x14ac:dyDescent="0.25">
      <c r="A259" s="149"/>
      <c r="B259" s="149"/>
      <c r="C259" s="145"/>
      <c r="D259" s="145"/>
      <c r="E259" s="146"/>
      <c r="F259" s="147"/>
      <c r="G259" s="147"/>
      <c r="H259" s="150"/>
      <c r="I259" s="150"/>
      <c r="J259" s="148"/>
      <c r="K259" s="144"/>
    </row>
    <row r="260" spans="1:11" x14ac:dyDescent="0.25">
      <c r="A260" s="149"/>
      <c r="B260" s="149"/>
      <c r="C260" s="145"/>
      <c r="D260" s="145"/>
      <c r="E260" s="146"/>
      <c r="F260" s="147"/>
      <c r="G260" s="147"/>
      <c r="H260" s="150"/>
      <c r="I260" s="150"/>
      <c r="J260" s="148"/>
      <c r="K260" s="144"/>
    </row>
    <row r="261" spans="1:11" x14ac:dyDescent="0.25">
      <c r="A261" s="149"/>
      <c r="B261" s="149"/>
      <c r="C261" s="145"/>
      <c r="D261" s="145"/>
      <c r="E261" s="146"/>
      <c r="F261" s="147"/>
      <c r="G261" s="147"/>
      <c r="H261" s="150"/>
      <c r="I261" s="150"/>
      <c r="J261" s="148"/>
      <c r="K261" s="144"/>
    </row>
    <row r="262" spans="1:11" x14ac:dyDescent="0.25">
      <c r="A262" s="149"/>
      <c r="B262" s="149"/>
      <c r="C262" s="145"/>
      <c r="D262" s="145"/>
      <c r="E262" s="146"/>
      <c r="F262" s="147"/>
      <c r="G262" s="147"/>
      <c r="H262" s="150"/>
      <c r="I262" s="150"/>
      <c r="J262" s="148"/>
      <c r="K262" s="144"/>
    </row>
    <row r="263" spans="1:11" x14ac:dyDescent="0.25">
      <c r="A263" s="149"/>
      <c r="B263" s="149"/>
      <c r="C263" s="145"/>
      <c r="D263" s="145"/>
      <c r="E263" s="146"/>
      <c r="F263" s="147"/>
      <c r="G263" s="147"/>
      <c r="H263" s="150"/>
      <c r="I263" s="150"/>
      <c r="J263" s="148"/>
      <c r="K263" s="144"/>
    </row>
    <row r="264" spans="1:11" x14ac:dyDescent="0.25">
      <c r="A264" s="149"/>
      <c r="B264" s="149"/>
      <c r="C264" s="145"/>
      <c r="D264" s="145"/>
      <c r="E264" s="146"/>
      <c r="F264" s="147"/>
      <c r="G264" s="147"/>
      <c r="H264" s="150"/>
      <c r="I264" s="150"/>
      <c r="J264" s="148"/>
      <c r="K264" s="144"/>
    </row>
    <row r="265" spans="1:11" x14ac:dyDescent="0.25">
      <c r="A265" s="149"/>
      <c r="B265" s="149"/>
      <c r="C265" s="145"/>
      <c r="D265" s="145"/>
      <c r="E265" s="146"/>
      <c r="F265" s="147"/>
      <c r="G265" s="147"/>
      <c r="H265" s="150"/>
      <c r="I265" s="150"/>
      <c r="J265" s="148"/>
      <c r="K265" s="144"/>
    </row>
    <row r="266" spans="1:11" x14ac:dyDescent="0.25">
      <c r="A266" s="149"/>
      <c r="B266" s="149"/>
      <c r="C266" s="145"/>
      <c r="D266" s="145"/>
      <c r="E266" s="146"/>
      <c r="F266" s="147"/>
      <c r="G266" s="147"/>
      <c r="H266" s="150"/>
      <c r="I266" s="150"/>
      <c r="J266" s="148"/>
      <c r="K266" s="144"/>
    </row>
    <row r="267" spans="1:11" x14ac:dyDescent="0.25">
      <c r="A267" s="149"/>
      <c r="B267" s="149"/>
      <c r="C267" s="145"/>
      <c r="D267" s="145"/>
      <c r="E267" s="146"/>
      <c r="F267" s="147"/>
      <c r="G267" s="147"/>
      <c r="H267" s="150"/>
      <c r="I267" s="150"/>
      <c r="J267" s="148"/>
      <c r="K267" s="144"/>
    </row>
    <row r="268" spans="1:11" x14ac:dyDescent="0.25">
      <c r="A268" s="149"/>
      <c r="B268" s="149"/>
      <c r="C268" s="145"/>
      <c r="D268" s="145"/>
      <c r="E268" s="146"/>
      <c r="F268" s="147"/>
      <c r="G268" s="147"/>
      <c r="H268" s="150"/>
      <c r="I268" s="150"/>
      <c r="J268" s="148"/>
      <c r="K268" s="144"/>
    </row>
    <row r="269" spans="1:11" x14ac:dyDescent="0.25">
      <c r="A269" s="149"/>
      <c r="B269" s="149"/>
      <c r="C269" s="145"/>
      <c r="D269" s="145"/>
      <c r="E269" s="146"/>
      <c r="F269" s="147"/>
      <c r="G269" s="147"/>
      <c r="H269" s="150"/>
      <c r="I269" s="150"/>
      <c r="J269" s="148"/>
      <c r="K269" s="144"/>
    </row>
    <row r="270" spans="1:11" x14ac:dyDescent="0.25">
      <c r="A270" s="149"/>
      <c r="B270" s="149"/>
      <c r="C270" s="145"/>
      <c r="D270" s="145"/>
      <c r="E270" s="146"/>
      <c r="F270" s="147"/>
      <c r="G270" s="147"/>
      <c r="H270" s="150"/>
      <c r="I270" s="150"/>
      <c r="J270" s="148"/>
      <c r="K270" s="144"/>
    </row>
    <row r="271" spans="1:11" x14ac:dyDescent="0.25">
      <c r="A271" s="149"/>
      <c r="B271" s="149"/>
      <c r="C271" s="145"/>
      <c r="D271" s="145"/>
      <c r="E271" s="146"/>
      <c r="F271" s="147"/>
      <c r="G271" s="147"/>
      <c r="H271" s="150"/>
      <c r="I271" s="150"/>
      <c r="J271" s="148"/>
      <c r="K271" s="144"/>
    </row>
    <row r="272" spans="1:11" x14ac:dyDescent="0.25">
      <c r="A272" s="149"/>
      <c r="B272" s="149"/>
      <c r="C272" s="145"/>
      <c r="D272" s="145"/>
      <c r="E272" s="146"/>
      <c r="F272" s="147"/>
      <c r="G272" s="147"/>
      <c r="H272" s="150"/>
      <c r="I272" s="150"/>
      <c r="J272" s="148"/>
      <c r="K272" s="144"/>
    </row>
    <row r="273" spans="1:11" x14ac:dyDescent="0.25">
      <c r="A273" s="149"/>
      <c r="B273" s="149"/>
      <c r="C273" s="145"/>
      <c r="D273" s="145"/>
      <c r="E273" s="146"/>
      <c r="F273" s="147"/>
      <c r="G273" s="147"/>
      <c r="H273" s="150"/>
      <c r="I273" s="150"/>
      <c r="J273" s="148"/>
      <c r="K273" s="144"/>
    </row>
    <row r="274" spans="1:11" x14ac:dyDescent="0.25">
      <c r="A274" s="149"/>
      <c r="B274" s="149"/>
      <c r="C274" s="145"/>
      <c r="D274" s="145"/>
      <c r="E274" s="146"/>
      <c r="F274" s="147"/>
      <c r="G274" s="147"/>
      <c r="H274" s="150"/>
      <c r="I274" s="150"/>
      <c r="J274" s="148"/>
      <c r="K274" s="144"/>
    </row>
    <row r="275" spans="1:11" x14ac:dyDescent="0.25">
      <c r="A275" s="149"/>
      <c r="B275" s="149"/>
      <c r="C275" s="145"/>
      <c r="D275" s="145"/>
      <c r="E275" s="146"/>
      <c r="F275" s="147"/>
      <c r="G275" s="147"/>
      <c r="H275" s="150"/>
      <c r="I275" s="150"/>
      <c r="J275" s="148"/>
      <c r="K275" s="144"/>
    </row>
    <row r="276" spans="1:11" x14ac:dyDescent="0.25">
      <c r="A276" s="149"/>
      <c r="B276" s="149"/>
      <c r="C276" s="145"/>
      <c r="D276" s="145"/>
      <c r="E276" s="146"/>
      <c r="F276" s="147"/>
      <c r="G276" s="147"/>
      <c r="H276" s="150"/>
      <c r="I276" s="150"/>
      <c r="J276" s="148"/>
      <c r="K276" s="144"/>
    </row>
    <row r="277" spans="1:11" x14ac:dyDescent="0.25">
      <c r="A277" s="149"/>
      <c r="B277" s="149"/>
      <c r="C277" s="145"/>
      <c r="D277" s="145"/>
      <c r="E277" s="146"/>
      <c r="F277" s="147"/>
      <c r="G277" s="147"/>
      <c r="H277" s="150"/>
      <c r="I277" s="150"/>
      <c r="J277" s="148"/>
      <c r="K277" s="144"/>
    </row>
    <row r="278" spans="1:11" x14ac:dyDescent="0.25">
      <c r="A278" s="149"/>
      <c r="B278" s="149"/>
      <c r="C278" s="145"/>
      <c r="D278" s="145"/>
      <c r="E278" s="146"/>
      <c r="F278" s="147"/>
      <c r="G278" s="147"/>
      <c r="H278" s="150"/>
      <c r="I278" s="150"/>
      <c r="J278" s="148"/>
      <c r="K278" s="144"/>
    </row>
    <row r="279" spans="1:11" x14ac:dyDescent="0.25">
      <c r="A279" s="149"/>
      <c r="B279" s="149"/>
      <c r="C279" s="145"/>
      <c r="D279" s="145"/>
      <c r="E279" s="146"/>
      <c r="F279" s="147"/>
      <c r="G279" s="147"/>
      <c r="H279" s="150"/>
      <c r="I279" s="150"/>
      <c r="J279" s="148"/>
      <c r="K279" s="144"/>
    </row>
    <row r="280" spans="1:11" x14ac:dyDescent="0.25">
      <c r="A280" s="149"/>
      <c r="B280" s="149"/>
      <c r="C280" s="145"/>
      <c r="D280" s="145"/>
      <c r="E280" s="146"/>
      <c r="F280" s="147"/>
      <c r="G280" s="147"/>
      <c r="H280" s="150"/>
      <c r="I280" s="150"/>
      <c r="J280" s="148"/>
      <c r="K280" s="144"/>
    </row>
    <row r="281" spans="1:11" x14ac:dyDescent="0.25">
      <c r="A281" s="149"/>
      <c r="B281" s="149"/>
      <c r="C281" s="145"/>
      <c r="D281" s="145"/>
      <c r="E281" s="146"/>
      <c r="F281" s="147"/>
      <c r="G281" s="147"/>
      <c r="H281" s="150"/>
      <c r="I281" s="150"/>
      <c r="J281" s="148"/>
      <c r="K281" s="144"/>
    </row>
    <row r="282" spans="1:11" x14ac:dyDescent="0.25">
      <c r="A282" s="149"/>
      <c r="B282" s="149"/>
      <c r="C282" s="145"/>
      <c r="D282" s="145"/>
      <c r="E282" s="146"/>
      <c r="F282" s="147"/>
      <c r="G282" s="147"/>
      <c r="H282" s="150"/>
      <c r="I282" s="150"/>
      <c r="J282" s="148"/>
      <c r="K282" s="144"/>
    </row>
    <row r="283" spans="1:11" x14ac:dyDescent="0.25">
      <c r="A283" s="149"/>
      <c r="B283" s="149"/>
      <c r="C283" s="145"/>
      <c r="D283" s="145"/>
      <c r="E283" s="146"/>
      <c r="F283" s="147"/>
      <c r="G283" s="147"/>
      <c r="H283" s="150"/>
      <c r="I283" s="150"/>
      <c r="J283" s="148"/>
      <c r="K283" s="144"/>
    </row>
    <row r="284" spans="1:11" x14ac:dyDescent="0.25">
      <c r="A284" s="149"/>
      <c r="B284" s="149"/>
      <c r="C284" s="145"/>
      <c r="D284" s="145"/>
      <c r="E284" s="146"/>
      <c r="F284" s="147"/>
      <c r="G284" s="147"/>
      <c r="H284" s="150"/>
      <c r="I284" s="150"/>
      <c r="J284" s="148"/>
      <c r="K284" s="144"/>
    </row>
    <row r="285" spans="1:11" x14ac:dyDescent="0.25">
      <c r="A285" s="149"/>
      <c r="B285" s="149"/>
      <c r="C285" s="145"/>
      <c r="D285" s="145"/>
      <c r="E285" s="146"/>
      <c r="F285" s="147"/>
      <c r="G285" s="147"/>
      <c r="H285" s="150"/>
      <c r="I285" s="150"/>
      <c r="J285" s="148"/>
      <c r="K285" s="144"/>
    </row>
    <row r="286" spans="1:11" x14ac:dyDescent="0.25">
      <c r="A286" s="149"/>
      <c r="B286" s="149"/>
      <c r="C286" s="145"/>
      <c r="D286" s="145"/>
      <c r="E286" s="146"/>
      <c r="F286" s="147"/>
      <c r="G286" s="147"/>
      <c r="H286" s="150"/>
      <c r="I286" s="150"/>
      <c r="J286" s="148"/>
      <c r="K286" s="144"/>
    </row>
    <row r="287" spans="1:11" x14ac:dyDescent="0.25">
      <c r="A287" s="149"/>
      <c r="B287" s="149"/>
      <c r="C287" s="145"/>
      <c r="D287" s="145"/>
      <c r="E287" s="146"/>
      <c r="F287" s="147"/>
      <c r="G287" s="147"/>
      <c r="H287" s="150"/>
      <c r="I287" s="150"/>
      <c r="J287" s="148"/>
      <c r="K287" s="144"/>
    </row>
    <row r="288" spans="1:11" x14ac:dyDescent="0.25">
      <c r="A288" s="149"/>
      <c r="B288" s="149"/>
      <c r="C288" s="145"/>
      <c r="D288" s="145"/>
      <c r="E288" s="146"/>
      <c r="F288" s="147"/>
      <c r="G288" s="147"/>
      <c r="H288" s="150"/>
      <c r="I288" s="150"/>
      <c r="J288" s="148"/>
      <c r="K288" s="144"/>
    </row>
    <row r="289" spans="1:11" x14ac:dyDescent="0.25">
      <c r="A289" s="149"/>
      <c r="B289" s="149"/>
      <c r="C289" s="145"/>
      <c r="D289" s="145"/>
      <c r="E289" s="146"/>
      <c r="F289" s="147"/>
      <c r="G289" s="147"/>
      <c r="H289" s="150"/>
      <c r="I289" s="150"/>
      <c r="J289" s="148"/>
      <c r="K289" s="144"/>
    </row>
    <row r="290" spans="1:11" x14ac:dyDescent="0.25">
      <c r="A290" s="149"/>
      <c r="B290" s="149"/>
      <c r="C290" s="145"/>
      <c r="D290" s="145"/>
      <c r="E290" s="146"/>
      <c r="F290" s="147"/>
      <c r="G290" s="147"/>
      <c r="H290" s="150"/>
      <c r="I290" s="150"/>
      <c r="J290" s="148"/>
      <c r="K290" s="144"/>
    </row>
    <row r="291" spans="1:11" x14ac:dyDescent="0.25">
      <c r="A291" s="149"/>
      <c r="B291" s="149"/>
      <c r="C291" s="145"/>
      <c r="D291" s="145"/>
      <c r="E291" s="146"/>
      <c r="F291" s="147"/>
      <c r="G291" s="147"/>
      <c r="H291" s="150"/>
      <c r="I291" s="150"/>
      <c r="J291" s="148"/>
      <c r="K291" s="144"/>
    </row>
    <row r="292" spans="1:11" x14ac:dyDescent="0.25">
      <c r="A292" s="149"/>
      <c r="B292" s="149"/>
      <c r="C292" s="145"/>
      <c r="D292" s="145"/>
      <c r="E292" s="146"/>
      <c r="F292" s="147"/>
      <c r="G292" s="147"/>
      <c r="H292" s="150"/>
      <c r="I292" s="150"/>
      <c r="J292" s="148"/>
      <c r="K292" s="144"/>
    </row>
    <row r="293" spans="1:11" x14ac:dyDescent="0.25">
      <c r="A293" s="149"/>
      <c r="B293" s="149"/>
      <c r="C293" s="145"/>
      <c r="D293" s="145"/>
      <c r="E293" s="146"/>
      <c r="F293" s="147"/>
      <c r="G293" s="147"/>
      <c r="H293" s="150"/>
      <c r="I293" s="150"/>
      <c r="J293" s="148"/>
      <c r="K293" s="144"/>
    </row>
    <row r="294" spans="1:11" x14ac:dyDescent="0.25">
      <c r="A294" s="149"/>
      <c r="B294" s="149"/>
      <c r="C294" s="145"/>
      <c r="D294" s="145"/>
      <c r="E294" s="146"/>
      <c r="F294" s="147"/>
      <c r="G294" s="147"/>
      <c r="H294" s="150"/>
      <c r="I294" s="150"/>
      <c r="J294" s="148"/>
      <c r="K294" s="144"/>
    </row>
    <row r="295" spans="1:11" x14ac:dyDescent="0.25">
      <c r="A295" s="149"/>
      <c r="B295" s="149"/>
      <c r="C295" s="145"/>
      <c r="D295" s="145"/>
      <c r="E295" s="146"/>
      <c r="F295" s="147"/>
      <c r="G295" s="147"/>
      <c r="H295" s="150"/>
      <c r="I295" s="150"/>
      <c r="J295" s="148"/>
      <c r="K295" s="144"/>
    </row>
    <row r="296" spans="1:11" x14ac:dyDescent="0.25">
      <c r="A296" s="149"/>
      <c r="B296" s="149"/>
      <c r="C296" s="145"/>
      <c r="D296" s="145"/>
      <c r="E296" s="146"/>
      <c r="F296" s="147"/>
      <c r="G296" s="147"/>
      <c r="H296" s="150"/>
      <c r="I296" s="150"/>
      <c r="J296" s="148"/>
      <c r="K296" s="144"/>
    </row>
    <row r="297" spans="1:11" x14ac:dyDescent="0.25">
      <c r="A297" s="149"/>
      <c r="B297" s="149"/>
      <c r="C297" s="145"/>
      <c r="D297" s="145"/>
      <c r="E297" s="146"/>
      <c r="F297" s="147"/>
      <c r="G297" s="147"/>
      <c r="H297" s="150"/>
      <c r="I297" s="150"/>
      <c r="J297" s="148"/>
      <c r="K297" s="144"/>
    </row>
    <row r="298" spans="1:11" x14ac:dyDescent="0.25">
      <c r="A298" s="149"/>
      <c r="B298" s="149"/>
      <c r="C298" s="145"/>
      <c r="D298" s="145"/>
      <c r="E298" s="146"/>
      <c r="F298" s="147"/>
      <c r="G298" s="147"/>
      <c r="H298" s="150"/>
      <c r="I298" s="150"/>
      <c r="J298" s="148"/>
      <c r="K298" s="144"/>
    </row>
    <row r="299" spans="1:11" x14ac:dyDescent="0.25">
      <c r="A299" s="149"/>
      <c r="B299" s="149"/>
      <c r="C299" s="145"/>
      <c r="D299" s="145"/>
      <c r="E299" s="146"/>
      <c r="F299" s="147"/>
      <c r="G299" s="147"/>
      <c r="H299" s="150"/>
      <c r="I299" s="150"/>
      <c r="J299" s="148"/>
      <c r="K299" s="144"/>
    </row>
    <row r="300" spans="1:11" x14ac:dyDescent="0.25">
      <c r="A300" s="149"/>
      <c r="B300" s="149"/>
      <c r="C300" s="145"/>
      <c r="D300" s="145"/>
      <c r="E300" s="146"/>
      <c r="F300" s="147"/>
      <c r="G300" s="147"/>
      <c r="H300" s="150"/>
      <c r="I300" s="150"/>
      <c r="J300" s="148"/>
      <c r="K300" s="144"/>
    </row>
    <row r="301" spans="1:11" x14ac:dyDescent="0.25">
      <c r="A301" s="149"/>
      <c r="B301" s="149"/>
      <c r="C301" s="145"/>
      <c r="D301" s="145"/>
      <c r="E301" s="146"/>
      <c r="F301" s="147"/>
      <c r="G301" s="147"/>
      <c r="H301" s="150"/>
      <c r="I301" s="150"/>
      <c r="J301" s="148"/>
      <c r="K301" s="144"/>
    </row>
    <row r="302" spans="1:11" x14ac:dyDescent="0.25">
      <c r="A302" s="149"/>
      <c r="B302" s="149"/>
      <c r="C302" s="145"/>
      <c r="D302" s="145"/>
      <c r="E302" s="146"/>
      <c r="F302" s="147"/>
      <c r="G302" s="147"/>
      <c r="H302" s="150"/>
      <c r="I302" s="150"/>
      <c r="J302" s="148"/>
      <c r="K302" s="144"/>
    </row>
    <row r="303" spans="1:11" x14ac:dyDescent="0.25">
      <c r="A303" s="149"/>
      <c r="B303" s="149"/>
      <c r="C303" s="145"/>
      <c r="D303" s="145"/>
      <c r="E303" s="146"/>
      <c r="F303" s="147"/>
      <c r="G303" s="147"/>
      <c r="H303" s="150"/>
      <c r="I303" s="150"/>
      <c r="J303" s="148"/>
      <c r="K303" s="144"/>
    </row>
    <row r="304" spans="1:11" x14ac:dyDescent="0.25">
      <c r="A304" s="149"/>
      <c r="B304" s="149"/>
      <c r="C304" s="145"/>
      <c r="D304" s="145"/>
      <c r="E304" s="146"/>
      <c r="F304" s="147"/>
      <c r="G304" s="147"/>
      <c r="H304" s="150"/>
      <c r="I304" s="150"/>
      <c r="J304" s="148"/>
      <c r="K304" s="144"/>
    </row>
    <row r="305" spans="1:11" x14ac:dyDescent="0.25">
      <c r="A305" s="149"/>
      <c r="B305" s="149"/>
      <c r="C305" s="145"/>
      <c r="D305" s="145"/>
      <c r="E305" s="146"/>
      <c r="F305" s="147"/>
      <c r="G305" s="147"/>
      <c r="H305" s="150"/>
      <c r="I305" s="150"/>
      <c r="J305" s="148"/>
      <c r="K305" s="144"/>
    </row>
    <row r="306" spans="1:11" x14ac:dyDescent="0.25">
      <c r="A306" s="149"/>
      <c r="B306" s="149"/>
      <c r="C306" s="145"/>
      <c r="D306" s="145"/>
      <c r="E306" s="146"/>
      <c r="F306" s="147"/>
      <c r="G306" s="147"/>
      <c r="H306" s="150"/>
      <c r="I306" s="150"/>
      <c r="J306" s="148"/>
      <c r="K306" s="144"/>
    </row>
    <row r="307" spans="1:11" x14ac:dyDescent="0.25">
      <c r="A307" s="149"/>
      <c r="B307" s="149"/>
      <c r="C307" s="145"/>
      <c r="D307" s="145"/>
      <c r="E307" s="146"/>
      <c r="F307" s="147"/>
      <c r="G307" s="147"/>
      <c r="H307" s="150"/>
      <c r="I307" s="150"/>
      <c r="J307" s="148"/>
      <c r="K307" s="144"/>
    </row>
    <row r="308" spans="1:11" x14ac:dyDescent="0.25">
      <c r="A308" s="149"/>
      <c r="B308" s="149"/>
      <c r="C308" s="145"/>
      <c r="D308" s="145"/>
      <c r="E308" s="146"/>
      <c r="F308" s="147"/>
      <c r="G308" s="147"/>
      <c r="H308" s="150"/>
      <c r="I308" s="150"/>
      <c r="J308" s="148"/>
      <c r="K308" s="144"/>
    </row>
    <row r="309" spans="1:11" x14ac:dyDescent="0.25">
      <c r="A309" s="149"/>
      <c r="B309" s="149"/>
      <c r="C309" s="145"/>
      <c r="D309" s="145"/>
      <c r="E309" s="146"/>
      <c r="F309" s="147"/>
      <c r="G309" s="147"/>
      <c r="H309" s="150"/>
      <c r="I309" s="150"/>
      <c r="J309" s="148"/>
      <c r="K309" s="144"/>
    </row>
    <row r="310" spans="1:11" x14ac:dyDescent="0.25">
      <c r="A310" s="149"/>
      <c r="B310" s="149"/>
      <c r="C310" s="145"/>
      <c r="D310" s="145"/>
      <c r="E310" s="146"/>
      <c r="F310" s="147"/>
      <c r="G310" s="147"/>
      <c r="H310" s="150"/>
      <c r="I310" s="150"/>
      <c r="J310" s="148"/>
      <c r="K310" s="144"/>
    </row>
    <row r="311" spans="1:11" x14ac:dyDescent="0.25">
      <c r="A311" s="149"/>
      <c r="B311" s="149"/>
      <c r="C311" s="145"/>
      <c r="D311" s="145"/>
      <c r="E311" s="146"/>
      <c r="F311" s="147"/>
      <c r="G311" s="147"/>
      <c r="H311" s="150"/>
      <c r="I311" s="150"/>
      <c r="J311" s="148"/>
      <c r="K311" s="144"/>
    </row>
    <row r="312" spans="1:11" x14ac:dyDescent="0.25">
      <c r="A312" s="149"/>
      <c r="B312" s="149"/>
      <c r="C312" s="145"/>
      <c r="D312" s="145"/>
      <c r="E312" s="146"/>
      <c r="F312" s="147"/>
      <c r="G312" s="147"/>
      <c r="H312" s="150"/>
      <c r="I312" s="150"/>
      <c r="J312" s="148"/>
      <c r="K312" s="144"/>
    </row>
    <row r="313" spans="1:11" x14ac:dyDescent="0.25">
      <c r="A313" s="149"/>
      <c r="B313" s="149"/>
      <c r="C313" s="145"/>
      <c r="D313" s="145"/>
      <c r="E313" s="146"/>
      <c r="F313" s="147"/>
      <c r="G313" s="147"/>
      <c r="H313" s="150"/>
      <c r="I313" s="150"/>
      <c r="J313" s="148"/>
      <c r="K313" s="144"/>
    </row>
    <row r="314" spans="1:11" x14ac:dyDescent="0.25">
      <c r="A314" s="149"/>
      <c r="B314" s="149"/>
      <c r="C314" s="145"/>
      <c r="D314" s="145"/>
      <c r="E314" s="146"/>
      <c r="F314" s="147"/>
      <c r="G314" s="147"/>
      <c r="H314" s="150"/>
      <c r="I314" s="150"/>
      <c r="J314" s="148"/>
      <c r="K314" s="144"/>
    </row>
    <row r="315" spans="1:11" x14ac:dyDescent="0.25">
      <c r="A315" s="149"/>
      <c r="B315" s="149"/>
      <c r="C315" s="145"/>
      <c r="D315" s="145"/>
      <c r="E315" s="146"/>
      <c r="F315" s="147"/>
      <c r="G315" s="147"/>
      <c r="H315" s="150"/>
      <c r="I315" s="150"/>
      <c r="J315" s="148"/>
      <c r="K315" s="144"/>
    </row>
    <row r="316" spans="1:11" x14ac:dyDescent="0.25">
      <c r="A316" s="149"/>
      <c r="B316" s="149"/>
      <c r="C316" s="145"/>
      <c r="D316" s="145"/>
      <c r="E316" s="146"/>
      <c r="F316" s="147"/>
      <c r="G316" s="147"/>
      <c r="H316" s="150"/>
      <c r="I316" s="150"/>
      <c r="J316" s="148"/>
      <c r="K316" s="144"/>
    </row>
    <row r="317" spans="1:11" x14ac:dyDescent="0.25">
      <c r="A317" s="149"/>
      <c r="B317" s="149"/>
      <c r="C317" s="145"/>
      <c r="D317" s="145"/>
      <c r="E317" s="146"/>
      <c r="F317" s="147"/>
      <c r="G317" s="147"/>
      <c r="H317" s="150"/>
      <c r="I317" s="150"/>
      <c r="J317" s="148"/>
      <c r="K317" s="144"/>
    </row>
    <row r="318" spans="1:11" x14ac:dyDescent="0.25">
      <c r="A318" s="149"/>
      <c r="B318" s="149"/>
      <c r="C318" s="145"/>
      <c r="D318" s="145"/>
      <c r="E318" s="146"/>
      <c r="F318" s="147"/>
      <c r="G318" s="147"/>
      <c r="H318" s="150"/>
      <c r="I318" s="150"/>
      <c r="J318" s="148"/>
      <c r="K318" s="144"/>
    </row>
    <row r="319" spans="1:11" x14ac:dyDescent="0.25">
      <c r="A319" s="149"/>
      <c r="B319" s="149"/>
      <c r="C319" s="145"/>
      <c r="D319" s="145"/>
      <c r="E319" s="146"/>
      <c r="F319" s="147"/>
      <c r="G319" s="147"/>
      <c r="H319" s="150"/>
      <c r="I319" s="150"/>
      <c r="J319" s="148"/>
      <c r="K319" s="144"/>
    </row>
    <row r="320" spans="1:11" x14ac:dyDescent="0.25">
      <c r="A320" s="149"/>
      <c r="B320" s="149"/>
      <c r="C320" s="145"/>
      <c r="D320" s="145"/>
      <c r="E320" s="146"/>
      <c r="F320" s="147"/>
      <c r="G320" s="147"/>
      <c r="H320" s="150"/>
      <c r="I320" s="150"/>
      <c r="J320" s="148"/>
      <c r="K320" s="144"/>
    </row>
    <row r="321" spans="1:11" x14ac:dyDescent="0.25">
      <c r="A321" s="149"/>
      <c r="B321" s="149"/>
      <c r="C321" s="145"/>
      <c r="D321" s="145"/>
      <c r="E321" s="146"/>
      <c r="F321" s="147"/>
      <c r="G321" s="147"/>
      <c r="H321" s="150"/>
      <c r="I321" s="150"/>
      <c r="J321" s="148"/>
      <c r="K321" s="144"/>
    </row>
    <row r="322" spans="1:11" x14ac:dyDescent="0.25">
      <c r="A322" s="149"/>
      <c r="B322" s="149"/>
      <c r="C322" s="145"/>
      <c r="D322" s="145"/>
      <c r="E322" s="146"/>
      <c r="F322" s="147"/>
      <c r="G322" s="147"/>
      <c r="H322" s="150"/>
      <c r="I322" s="150"/>
      <c r="J322" s="148"/>
      <c r="K322" s="144"/>
    </row>
    <row r="323" spans="1:11" x14ac:dyDescent="0.25">
      <c r="A323" s="149"/>
      <c r="B323" s="149"/>
      <c r="C323" s="145"/>
      <c r="D323" s="145"/>
      <c r="E323" s="146"/>
      <c r="F323" s="147"/>
      <c r="G323" s="147"/>
      <c r="H323" s="150"/>
      <c r="I323" s="150"/>
      <c r="J323" s="148"/>
      <c r="K323" s="144"/>
    </row>
    <row r="324" spans="1:11" x14ac:dyDescent="0.25">
      <c r="A324" s="149"/>
      <c r="B324" s="149"/>
      <c r="C324" s="145"/>
      <c r="D324" s="145"/>
      <c r="E324" s="146"/>
      <c r="F324" s="147"/>
      <c r="G324" s="147"/>
      <c r="H324" s="150"/>
      <c r="I324" s="150"/>
      <c r="J324" s="148"/>
      <c r="K324" s="144"/>
    </row>
    <row r="325" spans="1:11" x14ac:dyDescent="0.25">
      <c r="A325" s="149"/>
      <c r="B325" s="149"/>
      <c r="C325" s="145"/>
      <c r="D325" s="145"/>
      <c r="E325" s="146"/>
      <c r="F325" s="147"/>
      <c r="G325" s="147"/>
      <c r="H325" s="150"/>
      <c r="I325" s="150"/>
      <c r="J325" s="148"/>
      <c r="K325" s="144"/>
    </row>
    <row r="326" spans="1:11" x14ac:dyDescent="0.25">
      <c r="A326" s="149"/>
      <c r="B326" s="149"/>
      <c r="C326" s="145"/>
      <c r="D326" s="145"/>
      <c r="E326" s="146"/>
      <c r="F326" s="147"/>
      <c r="G326" s="147"/>
      <c r="H326" s="150"/>
      <c r="I326" s="150"/>
      <c r="J326" s="148"/>
      <c r="K326" s="144"/>
    </row>
    <row r="327" spans="1:11" x14ac:dyDescent="0.25">
      <c r="A327" s="149"/>
      <c r="B327" s="149"/>
      <c r="C327" s="145"/>
      <c r="D327" s="145"/>
      <c r="E327" s="146"/>
      <c r="F327" s="147"/>
      <c r="G327" s="147"/>
      <c r="H327" s="150"/>
      <c r="I327" s="150"/>
      <c r="J327" s="148"/>
      <c r="K327" s="144"/>
    </row>
    <row r="328" spans="1:11" x14ac:dyDescent="0.25">
      <c r="A328" s="149"/>
      <c r="B328" s="149"/>
      <c r="C328" s="145"/>
      <c r="D328" s="145"/>
      <c r="E328" s="146"/>
      <c r="F328" s="147"/>
      <c r="G328" s="147"/>
      <c r="H328" s="150"/>
      <c r="I328" s="150"/>
      <c r="J328" s="148"/>
      <c r="K328" s="144"/>
    </row>
    <row r="329" spans="1:11" x14ac:dyDescent="0.25">
      <c r="A329" s="149"/>
      <c r="B329" s="149"/>
      <c r="C329" s="145"/>
      <c r="D329" s="145"/>
      <c r="E329" s="146"/>
      <c r="F329" s="147"/>
      <c r="G329" s="147"/>
      <c r="H329" s="150"/>
      <c r="I329" s="150"/>
      <c r="J329" s="148"/>
      <c r="K329" s="144"/>
    </row>
    <row r="330" spans="1:11" x14ac:dyDescent="0.25">
      <c r="A330" s="149"/>
      <c r="B330" s="149"/>
      <c r="C330" s="145"/>
      <c r="D330" s="145"/>
      <c r="E330" s="146"/>
      <c r="F330" s="147"/>
      <c r="G330" s="147"/>
      <c r="H330" s="150"/>
      <c r="I330" s="150"/>
      <c r="J330" s="148"/>
      <c r="K330" s="144"/>
    </row>
    <row r="331" spans="1:11" x14ac:dyDescent="0.25">
      <c r="A331" s="149"/>
      <c r="B331" s="149"/>
      <c r="C331" s="145"/>
      <c r="D331" s="145"/>
      <c r="E331" s="146"/>
      <c r="F331" s="147"/>
      <c r="G331" s="147"/>
      <c r="H331" s="150"/>
      <c r="I331" s="150"/>
      <c r="J331" s="148"/>
      <c r="K331" s="144"/>
    </row>
    <row r="332" spans="1:11" x14ac:dyDescent="0.25">
      <c r="A332" s="149"/>
      <c r="B332" s="149"/>
      <c r="C332" s="145"/>
      <c r="D332" s="145"/>
      <c r="E332" s="146"/>
      <c r="F332" s="147"/>
      <c r="G332" s="147"/>
      <c r="H332" s="150"/>
      <c r="I332" s="150"/>
      <c r="J332" s="148"/>
      <c r="K332" s="144"/>
    </row>
    <row r="333" spans="1:11" x14ac:dyDescent="0.25">
      <c r="A333" s="149"/>
      <c r="B333" s="149"/>
      <c r="C333" s="145"/>
      <c r="D333" s="145"/>
      <c r="E333" s="146"/>
      <c r="F333" s="147"/>
      <c r="G333" s="147"/>
      <c r="H333" s="150"/>
      <c r="I333" s="150"/>
      <c r="J333" s="148"/>
      <c r="K333" s="144"/>
    </row>
    <row r="334" spans="1:11" x14ac:dyDescent="0.25">
      <c r="A334" s="149"/>
      <c r="B334" s="149"/>
      <c r="C334" s="145"/>
      <c r="D334" s="145"/>
      <c r="E334" s="146"/>
      <c r="F334" s="147"/>
      <c r="G334" s="147"/>
      <c r="H334" s="150"/>
      <c r="I334" s="150"/>
      <c r="J334" s="148"/>
      <c r="K334" s="144"/>
    </row>
    <row r="335" spans="1:11" x14ac:dyDescent="0.25">
      <c r="A335" s="149"/>
      <c r="B335" s="149"/>
      <c r="C335" s="145"/>
      <c r="D335" s="145"/>
      <c r="E335" s="146"/>
      <c r="F335" s="147"/>
      <c r="G335" s="147"/>
      <c r="H335" s="150"/>
      <c r="I335" s="150"/>
      <c r="J335" s="148"/>
      <c r="K335" s="144"/>
    </row>
    <row r="336" spans="1:11" x14ac:dyDescent="0.25">
      <c r="A336" s="149"/>
      <c r="B336" s="149"/>
      <c r="C336" s="145"/>
      <c r="D336" s="145"/>
      <c r="E336" s="146"/>
      <c r="F336" s="147"/>
      <c r="G336" s="147"/>
      <c r="H336" s="150"/>
      <c r="I336" s="150"/>
      <c r="J336" s="148"/>
      <c r="K336" s="144"/>
    </row>
    <row r="337" spans="1:11" x14ac:dyDescent="0.25">
      <c r="A337" s="149"/>
      <c r="B337" s="149"/>
      <c r="C337" s="145"/>
      <c r="D337" s="145"/>
      <c r="E337" s="146"/>
      <c r="F337" s="147"/>
      <c r="G337" s="147"/>
      <c r="H337" s="150"/>
      <c r="I337" s="150"/>
      <c r="J337" s="148"/>
      <c r="K337" s="144"/>
    </row>
    <row r="338" spans="1:11" x14ac:dyDescent="0.25">
      <c r="A338" s="149"/>
      <c r="B338" s="149"/>
      <c r="C338" s="145"/>
      <c r="D338" s="145"/>
      <c r="E338" s="146"/>
      <c r="F338" s="147"/>
      <c r="G338" s="147"/>
      <c r="H338" s="150"/>
      <c r="I338" s="150"/>
      <c r="J338" s="148"/>
      <c r="K338" s="144"/>
    </row>
    <row r="339" spans="1:11" x14ac:dyDescent="0.25">
      <c r="A339" s="149"/>
      <c r="B339" s="149"/>
      <c r="C339" s="145"/>
      <c r="D339" s="145"/>
      <c r="E339" s="146"/>
      <c r="F339" s="147"/>
      <c r="G339" s="147"/>
      <c r="H339" s="150"/>
      <c r="I339" s="150"/>
      <c r="J339" s="148"/>
      <c r="K339" s="144"/>
    </row>
    <row r="340" spans="1:11" x14ac:dyDescent="0.25">
      <c r="A340" s="149"/>
      <c r="B340" s="149"/>
      <c r="C340" s="145"/>
      <c r="D340" s="145"/>
      <c r="E340" s="146"/>
      <c r="F340" s="147"/>
      <c r="G340" s="147"/>
      <c r="H340" s="150"/>
      <c r="I340" s="150"/>
      <c r="J340" s="148"/>
      <c r="K340" s="144"/>
    </row>
    <row r="341" spans="1:11" x14ac:dyDescent="0.25">
      <c r="A341" s="149"/>
      <c r="B341" s="149"/>
      <c r="C341" s="145"/>
      <c r="D341" s="145"/>
      <c r="E341" s="146"/>
      <c r="F341" s="147"/>
      <c r="G341" s="147"/>
      <c r="H341" s="150"/>
      <c r="I341" s="150"/>
      <c r="J341" s="148"/>
      <c r="K341" s="144"/>
    </row>
    <row r="342" spans="1:11" x14ac:dyDescent="0.25">
      <c r="A342" s="149"/>
      <c r="B342" s="149"/>
      <c r="C342" s="145"/>
      <c r="D342" s="145"/>
      <c r="E342" s="146"/>
      <c r="F342" s="147"/>
      <c r="G342" s="147"/>
      <c r="H342" s="150"/>
      <c r="I342" s="150"/>
      <c r="J342" s="148"/>
      <c r="K342" s="144"/>
    </row>
    <row r="343" spans="1:11" x14ac:dyDescent="0.25">
      <c r="A343" s="149"/>
      <c r="B343" s="149"/>
      <c r="C343" s="145"/>
      <c r="D343" s="145"/>
      <c r="E343" s="146"/>
      <c r="F343" s="147"/>
      <c r="G343" s="147"/>
      <c r="H343" s="150"/>
      <c r="I343" s="150"/>
      <c r="J343" s="148"/>
      <c r="K343" s="144"/>
    </row>
    <row r="344" spans="1:11" x14ac:dyDescent="0.25">
      <c r="A344" s="149"/>
      <c r="B344" s="149"/>
      <c r="C344" s="145"/>
      <c r="D344" s="145"/>
      <c r="E344" s="146"/>
      <c r="F344" s="147"/>
      <c r="G344" s="147"/>
      <c r="H344" s="150"/>
      <c r="I344" s="150"/>
      <c r="J344" s="148"/>
      <c r="K344" s="144"/>
    </row>
    <row r="345" spans="1:11" x14ac:dyDescent="0.25">
      <c r="A345" s="149"/>
      <c r="B345" s="149"/>
      <c r="C345" s="145"/>
      <c r="D345" s="145"/>
      <c r="E345" s="146"/>
      <c r="F345" s="147"/>
      <c r="G345" s="147"/>
      <c r="H345" s="150"/>
      <c r="I345" s="150"/>
      <c r="J345" s="148"/>
      <c r="K345" s="144"/>
    </row>
    <row r="346" spans="1:11" x14ac:dyDescent="0.25">
      <c r="A346" s="149"/>
      <c r="B346" s="149"/>
      <c r="C346" s="145"/>
      <c r="D346" s="145"/>
      <c r="E346" s="146"/>
      <c r="F346" s="147"/>
      <c r="G346" s="147"/>
      <c r="H346" s="150"/>
      <c r="I346" s="150"/>
      <c r="J346" s="148"/>
      <c r="K346" s="144"/>
    </row>
    <row r="347" spans="1:11" x14ac:dyDescent="0.25">
      <c r="A347" s="149"/>
      <c r="B347" s="149"/>
      <c r="C347" s="145"/>
      <c r="D347" s="145"/>
      <c r="E347" s="146"/>
      <c r="F347" s="147"/>
      <c r="G347" s="147"/>
      <c r="H347" s="150"/>
      <c r="I347" s="150"/>
      <c r="J347" s="148"/>
      <c r="K347" s="144"/>
    </row>
    <row r="348" spans="1:11" x14ac:dyDescent="0.25">
      <c r="A348" s="149"/>
      <c r="B348" s="149"/>
      <c r="C348" s="145"/>
      <c r="D348" s="145"/>
      <c r="E348" s="146"/>
      <c r="F348" s="147"/>
      <c r="G348" s="147"/>
      <c r="H348" s="150"/>
      <c r="I348" s="150"/>
      <c r="J348" s="148"/>
      <c r="K348" s="144"/>
    </row>
    <row r="349" spans="1:11" x14ac:dyDescent="0.25">
      <c r="A349" s="149"/>
      <c r="B349" s="149"/>
      <c r="C349" s="145"/>
      <c r="D349" s="145"/>
      <c r="E349" s="146"/>
      <c r="F349" s="147"/>
      <c r="G349" s="147"/>
      <c r="H349" s="150"/>
      <c r="I349" s="150"/>
      <c r="J349" s="148"/>
      <c r="K349" s="144"/>
    </row>
    <row r="350" spans="1:11" x14ac:dyDescent="0.25">
      <c r="A350" s="149"/>
      <c r="B350" s="149"/>
      <c r="C350" s="145"/>
      <c r="D350" s="145"/>
      <c r="E350" s="146"/>
      <c r="F350" s="147"/>
      <c r="G350" s="147"/>
      <c r="H350" s="150"/>
      <c r="I350" s="150"/>
      <c r="J350" s="148"/>
      <c r="K350" s="144"/>
    </row>
    <row r="351" spans="1:11" x14ac:dyDescent="0.25">
      <c r="A351" s="149"/>
      <c r="B351" s="149"/>
      <c r="C351" s="145"/>
      <c r="D351" s="145"/>
      <c r="E351" s="146"/>
      <c r="F351" s="147"/>
      <c r="G351" s="147"/>
      <c r="H351" s="150"/>
      <c r="I351" s="150"/>
      <c r="J351" s="148"/>
      <c r="K351" s="144"/>
    </row>
    <row r="352" spans="1:11" x14ac:dyDescent="0.25">
      <c r="A352" s="149"/>
      <c r="B352" s="149"/>
      <c r="C352" s="145"/>
      <c r="D352" s="145"/>
      <c r="E352" s="146"/>
      <c r="F352" s="147"/>
      <c r="G352" s="147"/>
      <c r="H352" s="150"/>
      <c r="I352" s="150"/>
      <c r="J352" s="148"/>
      <c r="K352" s="144"/>
    </row>
    <row r="353" spans="1:11" x14ac:dyDescent="0.25">
      <c r="A353" s="149"/>
      <c r="B353" s="149"/>
      <c r="C353" s="145"/>
      <c r="D353" s="145"/>
      <c r="E353" s="146"/>
      <c r="F353" s="147"/>
      <c r="G353" s="147"/>
      <c r="H353" s="150"/>
      <c r="I353" s="150"/>
      <c r="J353" s="148"/>
      <c r="K353" s="144"/>
    </row>
    <row r="354" spans="1:11" x14ac:dyDescent="0.25">
      <c r="A354" s="149"/>
      <c r="B354" s="149"/>
      <c r="C354" s="145"/>
      <c r="D354" s="145"/>
      <c r="E354" s="146"/>
      <c r="F354" s="147"/>
      <c r="G354" s="147"/>
      <c r="H354" s="150"/>
      <c r="I354" s="150"/>
      <c r="J354" s="148"/>
      <c r="K354" s="144"/>
    </row>
    <row r="355" spans="1:11" x14ac:dyDescent="0.25">
      <c r="A355" s="149"/>
      <c r="B355" s="149"/>
      <c r="C355" s="145"/>
      <c r="D355" s="145"/>
      <c r="E355" s="146"/>
      <c r="F355" s="147"/>
      <c r="G355" s="147"/>
      <c r="H355" s="150"/>
      <c r="I355" s="150"/>
      <c r="J355" s="148"/>
      <c r="K355" s="144"/>
    </row>
    <row r="356" spans="1:11" x14ac:dyDescent="0.25">
      <c r="A356" s="149"/>
      <c r="B356" s="149"/>
      <c r="C356" s="145"/>
      <c r="D356" s="145"/>
      <c r="E356" s="146"/>
      <c r="F356" s="147"/>
      <c r="G356" s="147"/>
      <c r="H356" s="150"/>
      <c r="I356" s="150"/>
      <c r="J356" s="148"/>
      <c r="K356" s="144"/>
    </row>
    <row r="357" spans="1:11" x14ac:dyDescent="0.25">
      <c r="A357" s="149"/>
      <c r="B357" s="149"/>
      <c r="C357" s="145"/>
      <c r="D357" s="145"/>
      <c r="E357" s="146"/>
      <c r="F357" s="147"/>
      <c r="G357" s="147"/>
      <c r="H357" s="150"/>
      <c r="I357" s="150"/>
      <c r="J357" s="148"/>
      <c r="K357" s="144"/>
    </row>
    <row r="358" spans="1:11" x14ac:dyDescent="0.25">
      <c r="A358" s="149"/>
      <c r="B358" s="149"/>
      <c r="C358" s="145"/>
      <c r="D358" s="145"/>
      <c r="E358" s="146"/>
      <c r="F358" s="147"/>
      <c r="G358" s="147"/>
      <c r="H358" s="150"/>
      <c r="I358" s="150"/>
      <c r="J358" s="148"/>
      <c r="K358" s="144"/>
    </row>
    <row r="359" spans="1:11" x14ac:dyDescent="0.25">
      <c r="A359" s="149"/>
      <c r="B359" s="149"/>
      <c r="C359" s="145"/>
      <c r="D359" s="145"/>
      <c r="E359" s="146"/>
      <c r="F359" s="147"/>
      <c r="G359" s="147"/>
      <c r="H359" s="150"/>
      <c r="I359" s="150"/>
      <c r="J359" s="148"/>
      <c r="K359" s="144"/>
    </row>
    <row r="360" spans="1:11" x14ac:dyDescent="0.25">
      <c r="A360" s="149"/>
      <c r="B360" s="149"/>
      <c r="C360" s="145"/>
      <c r="D360" s="145"/>
      <c r="E360" s="146"/>
      <c r="F360" s="147"/>
      <c r="G360" s="147"/>
      <c r="H360" s="150"/>
      <c r="I360" s="150"/>
      <c r="J360" s="148"/>
      <c r="K360" s="144"/>
    </row>
    <row r="361" spans="1:11" x14ac:dyDescent="0.25">
      <c r="A361" s="149"/>
      <c r="B361" s="149"/>
      <c r="C361" s="145"/>
      <c r="D361" s="145"/>
      <c r="E361" s="146"/>
      <c r="F361" s="147"/>
      <c r="G361" s="147"/>
      <c r="H361" s="150"/>
      <c r="I361" s="150"/>
      <c r="J361" s="148"/>
      <c r="K361" s="144"/>
    </row>
    <row r="362" spans="1:11" x14ac:dyDescent="0.25">
      <c r="A362" s="149"/>
      <c r="B362" s="149"/>
      <c r="C362" s="145"/>
      <c r="D362" s="145"/>
      <c r="E362" s="146"/>
      <c r="F362" s="147"/>
      <c r="G362" s="147"/>
      <c r="H362" s="150"/>
      <c r="I362" s="150"/>
      <c r="J362" s="148"/>
      <c r="K362" s="144"/>
    </row>
    <row r="363" spans="1:11" x14ac:dyDescent="0.25">
      <c r="A363" s="149"/>
      <c r="B363" s="149"/>
      <c r="C363" s="145"/>
      <c r="D363" s="145"/>
      <c r="E363" s="146"/>
      <c r="F363" s="147"/>
      <c r="G363" s="147"/>
      <c r="H363" s="150"/>
      <c r="I363" s="150"/>
      <c r="J363" s="148"/>
      <c r="K363" s="144"/>
    </row>
    <row r="364" spans="1:11" x14ac:dyDescent="0.25">
      <c r="A364" s="149"/>
      <c r="B364" s="149"/>
      <c r="C364" s="145"/>
      <c r="D364" s="145"/>
      <c r="E364" s="146"/>
      <c r="F364" s="147"/>
      <c r="G364" s="147"/>
      <c r="H364" s="150"/>
      <c r="I364" s="150"/>
      <c r="J364" s="148"/>
      <c r="K364" s="144"/>
    </row>
    <row r="365" spans="1:11" x14ac:dyDescent="0.25">
      <c r="A365" s="149"/>
      <c r="B365" s="149"/>
      <c r="C365" s="145"/>
      <c r="D365" s="145"/>
      <c r="E365" s="146"/>
      <c r="F365" s="147"/>
      <c r="G365" s="147"/>
      <c r="H365" s="150"/>
      <c r="I365" s="150"/>
      <c r="J365" s="148"/>
      <c r="K365" s="144"/>
    </row>
    <row r="366" spans="1:11" x14ac:dyDescent="0.25">
      <c r="A366" s="149"/>
      <c r="B366" s="149"/>
      <c r="C366" s="145"/>
      <c r="D366" s="145"/>
      <c r="E366" s="146"/>
      <c r="F366" s="147"/>
      <c r="G366" s="147"/>
      <c r="H366" s="150"/>
      <c r="I366" s="150"/>
      <c r="J366" s="148"/>
      <c r="K366" s="144"/>
    </row>
    <row r="367" spans="1:11" x14ac:dyDescent="0.25">
      <c r="A367" s="149"/>
      <c r="B367" s="149"/>
      <c r="C367" s="145"/>
      <c r="D367" s="145"/>
      <c r="E367" s="146"/>
      <c r="F367" s="147"/>
      <c r="G367" s="147"/>
      <c r="H367" s="150"/>
      <c r="I367" s="150"/>
      <c r="J367" s="148"/>
      <c r="K367" s="144"/>
    </row>
    <row r="368" spans="1:11" x14ac:dyDescent="0.25">
      <c r="A368" s="149"/>
      <c r="B368" s="149"/>
      <c r="C368" s="145"/>
      <c r="D368" s="145"/>
      <c r="E368" s="146"/>
      <c r="F368" s="147"/>
      <c r="G368" s="147"/>
      <c r="H368" s="150"/>
      <c r="I368" s="150"/>
      <c r="J368" s="148"/>
      <c r="K368" s="144"/>
    </row>
    <row r="369" spans="1:11" x14ac:dyDescent="0.25">
      <c r="A369" s="149"/>
      <c r="B369" s="149"/>
      <c r="C369" s="145"/>
      <c r="D369" s="145"/>
      <c r="E369" s="146"/>
      <c r="F369" s="147"/>
      <c r="G369" s="147"/>
      <c r="H369" s="150"/>
      <c r="I369" s="150"/>
      <c r="J369" s="148"/>
      <c r="K369" s="144"/>
    </row>
    <row r="370" spans="1:11" x14ac:dyDescent="0.25">
      <c r="A370" s="149"/>
      <c r="B370" s="149"/>
      <c r="C370" s="145"/>
      <c r="D370" s="145"/>
      <c r="E370" s="146"/>
      <c r="F370" s="147"/>
      <c r="G370" s="147"/>
      <c r="H370" s="150"/>
      <c r="I370" s="150"/>
      <c r="J370" s="148"/>
      <c r="K370" s="144"/>
    </row>
    <row r="371" spans="1:11" x14ac:dyDescent="0.25">
      <c r="A371" s="149"/>
      <c r="B371" s="149"/>
      <c r="C371" s="145"/>
      <c r="D371" s="145"/>
      <c r="E371" s="146"/>
      <c r="F371" s="147"/>
      <c r="G371" s="147"/>
      <c r="H371" s="150"/>
      <c r="I371" s="150"/>
      <c r="J371" s="148"/>
      <c r="K371" s="144"/>
    </row>
    <row r="372" spans="1:11" x14ac:dyDescent="0.25">
      <c r="A372" s="149"/>
      <c r="B372" s="149"/>
      <c r="C372" s="145"/>
      <c r="D372" s="145"/>
      <c r="E372" s="146"/>
      <c r="F372" s="147"/>
      <c r="G372" s="147"/>
      <c r="H372" s="150"/>
      <c r="I372" s="150"/>
      <c r="J372" s="148"/>
      <c r="K372" s="144"/>
    </row>
    <row r="373" spans="1:11" x14ac:dyDescent="0.25">
      <c r="A373" s="149"/>
      <c r="B373" s="149"/>
      <c r="C373" s="145"/>
      <c r="D373" s="145"/>
      <c r="E373" s="146"/>
      <c r="F373" s="147"/>
      <c r="G373" s="147"/>
      <c r="H373" s="150"/>
      <c r="I373" s="150"/>
      <c r="J373" s="148"/>
      <c r="K373" s="144"/>
    </row>
    <row r="374" spans="1:11" x14ac:dyDescent="0.25">
      <c r="A374" s="149"/>
      <c r="B374" s="149"/>
      <c r="C374" s="145"/>
      <c r="D374" s="145"/>
      <c r="E374" s="146"/>
      <c r="F374" s="147"/>
      <c r="G374" s="147"/>
      <c r="H374" s="150"/>
      <c r="I374" s="150"/>
      <c r="J374" s="148"/>
      <c r="K374" s="144"/>
    </row>
    <row r="375" spans="1:11" x14ac:dyDescent="0.25">
      <c r="A375" s="149"/>
      <c r="B375" s="149"/>
      <c r="C375" s="145"/>
      <c r="D375" s="145"/>
      <c r="E375" s="146"/>
      <c r="F375" s="147"/>
      <c r="G375" s="147"/>
      <c r="H375" s="150"/>
      <c r="I375" s="150"/>
      <c r="J375" s="148"/>
      <c r="K375" s="144"/>
    </row>
    <row r="376" spans="1:11" x14ac:dyDescent="0.25">
      <c r="A376" s="149"/>
      <c r="B376" s="149"/>
      <c r="C376" s="145"/>
      <c r="D376" s="145"/>
      <c r="E376" s="146"/>
      <c r="F376" s="147"/>
      <c r="G376" s="147"/>
      <c r="H376" s="150"/>
      <c r="I376" s="150"/>
      <c r="J376" s="148"/>
      <c r="K376" s="144"/>
    </row>
    <row r="377" spans="1:11" x14ac:dyDescent="0.25">
      <c r="A377" s="149"/>
      <c r="B377" s="149"/>
      <c r="C377" s="145"/>
      <c r="D377" s="145"/>
      <c r="E377" s="146"/>
      <c r="F377" s="147"/>
      <c r="G377" s="147"/>
      <c r="H377" s="150"/>
      <c r="I377" s="150"/>
      <c r="J377" s="148"/>
      <c r="K377" s="144"/>
    </row>
    <row r="378" spans="1:11" x14ac:dyDescent="0.25">
      <c r="A378" s="149"/>
      <c r="B378" s="149"/>
      <c r="C378" s="145"/>
      <c r="D378" s="145"/>
      <c r="E378" s="146"/>
      <c r="F378" s="147"/>
      <c r="G378" s="147"/>
      <c r="H378" s="150"/>
      <c r="I378" s="150"/>
      <c r="J378" s="148"/>
      <c r="K378" s="144"/>
    </row>
    <row r="379" spans="1:11" x14ac:dyDescent="0.25">
      <c r="A379" s="149"/>
      <c r="B379" s="149"/>
      <c r="C379" s="145"/>
      <c r="D379" s="145"/>
      <c r="E379" s="146"/>
      <c r="F379" s="147"/>
      <c r="G379" s="147"/>
      <c r="H379" s="150"/>
      <c r="I379" s="150"/>
      <c r="J379" s="148"/>
      <c r="K379" s="144"/>
    </row>
    <row r="380" spans="1:11" x14ac:dyDescent="0.25">
      <c r="A380" s="149"/>
      <c r="B380" s="149"/>
      <c r="C380" s="145"/>
      <c r="D380" s="145"/>
      <c r="E380" s="146"/>
      <c r="F380" s="147"/>
      <c r="G380" s="147"/>
      <c r="H380" s="150"/>
      <c r="I380" s="150"/>
      <c r="J380" s="148"/>
      <c r="K380" s="144"/>
    </row>
    <row r="381" spans="1:11" x14ac:dyDescent="0.25">
      <c r="A381" s="149"/>
      <c r="B381" s="149"/>
      <c r="C381" s="145"/>
      <c r="D381" s="145"/>
      <c r="E381" s="146"/>
      <c r="F381" s="147"/>
      <c r="G381" s="147"/>
      <c r="H381" s="150"/>
      <c r="I381" s="150"/>
      <c r="J381" s="148"/>
      <c r="K381" s="144"/>
    </row>
    <row r="382" spans="1:11" x14ac:dyDescent="0.25">
      <c r="A382" s="149"/>
      <c r="B382" s="149"/>
      <c r="C382" s="145"/>
      <c r="D382" s="145"/>
      <c r="E382" s="146"/>
      <c r="F382" s="147"/>
      <c r="G382" s="147"/>
      <c r="H382" s="150"/>
      <c r="I382" s="150"/>
      <c r="J382" s="148"/>
      <c r="K382" s="144"/>
    </row>
    <row r="383" spans="1:11" x14ac:dyDescent="0.25">
      <c r="A383" s="149"/>
      <c r="B383" s="149"/>
      <c r="C383" s="145"/>
      <c r="D383" s="145"/>
      <c r="E383" s="146"/>
      <c r="F383" s="147"/>
      <c r="G383" s="147"/>
      <c r="H383" s="150"/>
      <c r="I383" s="150"/>
      <c r="J383" s="148"/>
      <c r="K383" s="144"/>
    </row>
    <row r="384" spans="1:11" x14ac:dyDescent="0.25">
      <c r="A384" s="149"/>
      <c r="B384" s="149"/>
      <c r="C384" s="145"/>
      <c r="D384" s="145"/>
      <c r="E384" s="146"/>
      <c r="F384" s="147"/>
      <c r="G384" s="147"/>
      <c r="H384" s="150"/>
      <c r="I384" s="150"/>
      <c r="J384" s="148"/>
      <c r="K384" s="144"/>
    </row>
    <row r="385" spans="1:11" x14ac:dyDescent="0.25">
      <c r="A385" s="149"/>
      <c r="B385" s="149"/>
      <c r="C385" s="145"/>
      <c r="D385" s="145"/>
      <c r="E385" s="146"/>
      <c r="F385" s="147"/>
      <c r="G385" s="147"/>
      <c r="H385" s="150"/>
      <c r="I385" s="150"/>
      <c r="J385" s="148"/>
      <c r="K385" s="144"/>
    </row>
    <row r="386" spans="1:11" x14ac:dyDescent="0.25">
      <c r="A386" s="149"/>
      <c r="B386" s="149"/>
      <c r="C386" s="145"/>
      <c r="D386" s="145"/>
      <c r="E386" s="146"/>
      <c r="F386" s="147"/>
      <c r="G386" s="147"/>
      <c r="H386" s="150"/>
      <c r="I386" s="150"/>
      <c r="J386" s="148"/>
      <c r="K386" s="144"/>
    </row>
    <row r="387" spans="1:11" x14ac:dyDescent="0.25">
      <c r="A387" s="149"/>
      <c r="B387" s="149"/>
      <c r="C387" s="145"/>
      <c r="D387" s="145"/>
      <c r="E387" s="146"/>
      <c r="F387" s="147"/>
      <c r="G387" s="147"/>
      <c r="H387" s="150"/>
      <c r="I387" s="150"/>
      <c r="J387" s="148"/>
      <c r="K387" s="144"/>
    </row>
    <row r="388" spans="1:11" x14ac:dyDescent="0.25">
      <c r="A388" s="149"/>
      <c r="B388" s="149"/>
      <c r="C388" s="145"/>
      <c r="D388" s="145"/>
      <c r="E388" s="146"/>
      <c r="F388" s="147"/>
      <c r="G388" s="147"/>
      <c r="H388" s="150"/>
      <c r="I388" s="150"/>
      <c r="J388" s="148"/>
      <c r="K388" s="144"/>
    </row>
    <row r="389" spans="1:11" x14ac:dyDescent="0.25">
      <c r="A389" s="149"/>
      <c r="B389" s="149"/>
      <c r="C389" s="145"/>
      <c r="D389" s="145"/>
      <c r="E389" s="146"/>
      <c r="F389" s="147"/>
      <c r="G389" s="147"/>
      <c r="H389" s="150"/>
      <c r="I389" s="150"/>
      <c r="J389" s="148"/>
      <c r="K389" s="144"/>
    </row>
    <row r="390" spans="1:11" x14ac:dyDescent="0.25">
      <c r="A390" s="149"/>
      <c r="B390" s="149"/>
      <c r="C390" s="145"/>
      <c r="D390" s="145"/>
      <c r="E390" s="146"/>
      <c r="F390" s="147"/>
      <c r="G390" s="147"/>
      <c r="H390" s="150"/>
      <c r="I390" s="150"/>
      <c r="J390" s="148"/>
      <c r="K390" s="144"/>
    </row>
    <row r="391" spans="1:11" x14ac:dyDescent="0.25">
      <c r="A391" s="149"/>
      <c r="B391" s="149"/>
      <c r="C391" s="145"/>
      <c r="D391" s="145"/>
      <c r="E391" s="146"/>
      <c r="F391" s="147"/>
      <c r="G391" s="147"/>
      <c r="H391" s="150"/>
      <c r="I391" s="150"/>
      <c r="J391" s="148"/>
      <c r="K391" s="144"/>
    </row>
    <row r="392" spans="1:11" x14ac:dyDescent="0.25">
      <c r="A392" s="149"/>
      <c r="B392" s="149"/>
      <c r="C392" s="145"/>
      <c r="D392" s="145"/>
      <c r="E392" s="146"/>
      <c r="F392" s="147"/>
      <c r="G392" s="147"/>
      <c r="H392" s="150"/>
      <c r="I392" s="150"/>
      <c r="J392" s="148"/>
      <c r="K392" s="144"/>
    </row>
    <row r="393" spans="1:11" x14ac:dyDescent="0.25">
      <c r="A393" s="149"/>
      <c r="B393" s="149"/>
      <c r="C393" s="145"/>
      <c r="D393" s="145"/>
      <c r="E393" s="146"/>
      <c r="F393" s="147"/>
      <c r="G393" s="147"/>
      <c r="H393" s="150"/>
      <c r="I393" s="150"/>
      <c r="J393" s="148"/>
      <c r="K393" s="144"/>
    </row>
    <row r="394" spans="1:11" x14ac:dyDescent="0.25">
      <c r="A394" s="149"/>
      <c r="B394" s="149"/>
      <c r="C394" s="145"/>
      <c r="D394" s="145"/>
      <c r="E394" s="146"/>
      <c r="F394" s="147"/>
      <c r="G394" s="147"/>
      <c r="H394" s="150"/>
      <c r="I394" s="150"/>
      <c r="J394" s="148"/>
      <c r="K394" s="144"/>
    </row>
    <row r="395" spans="1:11" x14ac:dyDescent="0.25">
      <c r="A395" s="149"/>
      <c r="B395" s="149"/>
      <c r="C395" s="145"/>
      <c r="D395" s="145"/>
      <c r="E395" s="146"/>
      <c r="F395" s="147"/>
      <c r="G395" s="147"/>
      <c r="H395" s="150"/>
      <c r="I395" s="150"/>
      <c r="J395" s="148"/>
      <c r="K395" s="144"/>
    </row>
    <row r="396" spans="1:11" x14ac:dyDescent="0.25">
      <c r="A396" s="149"/>
      <c r="B396" s="149"/>
      <c r="C396" s="145"/>
      <c r="D396" s="145"/>
      <c r="E396" s="146"/>
      <c r="F396" s="147"/>
      <c r="G396" s="147"/>
      <c r="H396" s="150"/>
      <c r="I396" s="150"/>
      <c r="J396" s="148"/>
      <c r="K396" s="144"/>
    </row>
    <row r="397" spans="1:11" x14ac:dyDescent="0.25">
      <c r="A397" s="149"/>
      <c r="B397" s="149"/>
      <c r="C397" s="145"/>
      <c r="D397" s="145"/>
      <c r="E397" s="146"/>
      <c r="F397" s="147"/>
      <c r="G397" s="147"/>
      <c r="H397" s="150"/>
      <c r="I397" s="150"/>
      <c r="J397" s="148"/>
      <c r="K397" s="144"/>
    </row>
    <row r="398" spans="1:11" x14ac:dyDescent="0.25">
      <c r="A398" s="149"/>
      <c r="B398" s="149"/>
      <c r="C398" s="145"/>
      <c r="D398" s="145"/>
      <c r="E398" s="146"/>
      <c r="F398" s="147"/>
      <c r="G398" s="147"/>
      <c r="H398" s="150"/>
      <c r="I398" s="150"/>
      <c r="J398" s="148"/>
      <c r="K398" s="144"/>
    </row>
    <row r="399" spans="1:11" x14ac:dyDescent="0.25">
      <c r="A399" s="149"/>
      <c r="B399" s="149"/>
      <c r="C399" s="145"/>
      <c r="D399" s="145"/>
      <c r="E399" s="146"/>
      <c r="F399" s="147"/>
      <c r="G399" s="147"/>
      <c r="H399" s="150"/>
      <c r="I399" s="150"/>
      <c r="J399" s="148"/>
      <c r="K399" s="144"/>
    </row>
    <row r="400" spans="1:11" x14ac:dyDescent="0.25">
      <c r="A400" s="149"/>
      <c r="B400" s="149"/>
      <c r="C400" s="145"/>
      <c r="D400" s="145"/>
      <c r="E400" s="146"/>
      <c r="F400" s="147"/>
      <c r="G400" s="147"/>
      <c r="H400" s="150"/>
      <c r="I400" s="150"/>
      <c r="J400" s="148"/>
      <c r="K400" s="144"/>
    </row>
    <row r="401" spans="1:11" x14ac:dyDescent="0.25">
      <c r="A401" s="149"/>
      <c r="B401" s="149"/>
      <c r="C401" s="145"/>
      <c r="D401" s="145"/>
      <c r="E401" s="146"/>
      <c r="F401" s="147"/>
      <c r="G401" s="147"/>
      <c r="H401" s="150"/>
      <c r="I401" s="150"/>
      <c r="J401" s="148"/>
      <c r="K401" s="144"/>
    </row>
    <row r="402" spans="1:11" x14ac:dyDescent="0.25">
      <c r="A402" s="149"/>
      <c r="B402" s="149"/>
      <c r="C402" s="145"/>
      <c r="D402" s="145"/>
      <c r="E402" s="146"/>
      <c r="F402" s="147"/>
      <c r="G402" s="147"/>
      <c r="H402" s="150"/>
      <c r="I402" s="150"/>
      <c r="J402" s="148"/>
      <c r="K402" s="144"/>
    </row>
    <row r="403" spans="1:11" x14ac:dyDescent="0.25">
      <c r="A403" s="149"/>
      <c r="B403" s="149"/>
      <c r="C403" s="145"/>
      <c r="D403" s="145"/>
      <c r="E403" s="146"/>
      <c r="F403" s="147"/>
      <c r="G403" s="147"/>
      <c r="H403" s="150"/>
      <c r="I403" s="150"/>
      <c r="J403" s="148"/>
      <c r="K403" s="144"/>
    </row>
    <row r="404" spans="1:11" x14ac:dyDescent="0.25">
      <c r="A404" s="149"/>
      <c r="B404" s="149"/>
      <c r="C404" s="145"/>
      <c r="D404" s="145"/>
      <c r="E404" s="146"/>
      <c r="F404" s="147"/>
      <c r="G404" s="147"/>
      <c r="H404" s="150"/>
      <c r="I404" s="150"/>
      <c r="J404" s="148"/>
      <c r="K404" s="144"/>
    </row>
    <row r="405" spans="1:11" x14ac:dyDescent="0.25">
      <c r="A405" s="149"/>
      <c r="B405" s="149"/>
      <c r="C405" s="145"/>
      <c r="D405" s="145"/>
      <c r="E405" s="146"/>
      <c r="F405" s="147"/>
      <c r="G405" s="147"/>
      <c r="H405" s="150"/>
      <c r="I405" s="150"/>
      <c r="J405" s="148"/>
      <c r="K405" s="144"/>
    </row>
    <row r="406" spans="1:11" x14ac:dyDescent="0.25">
      <c r="A406" s="149"/>
      <c r="B406" s="149"/>
      <c r="C406" s="145"/>
      <c r="D406" s="145"/>
      <c r="E406" s="146"/>
      <c r="F406" s="147"/>
      <c r="G406" s="147"/>
      <c r="H406" s="150"/>
      <c r="I406" s="150"/>
      <c r="J406" s="148"/>
      <c r="K406" s="144"/>
    </row>
    <row r="407" spans="1:11" x14ac:dyDescent="0.25">
      <c r="A407" s="149"/>
      <c r="B407" s="149"/>
      <c r="C407" s="145"/>
      <c r="D407" s="145"/>
      <c r="E407" s="146"/>
      <c r="F407" s="147"/>
      <c r="G407" s="147"/>
      <c r="H407" s="150"/>
      <c r="I407" s="150"/>
      <c r="J407" s="148"/>
      <c r="K407" s="144"/>
    </row>
    <row r="408" spans="1:11" x14ac:dyDescent="0.25">
      <c r="A408" s="149"/>
      <c r="B408" s="149"/>
      <c r="C408" s="145"/>
      <c r="D408" s="145"/>
      <c r="E408" s="146"/>
      <c r="F408" s="147"/>
      <c r="G408" s="147"/>
      <c r="H408" s="150"/>
      <c r="I408" s="150"/>
      <c r="J408" s="148"/>
      <c r="K408" s="144"/>
    </row>
    <row r="409" spans="1:11" x14ac:dyDescent="0.25">
      <c r="A409" s="149"/>
      <c r="B409" s="149"/>
      <c r="C409" s="145"/>
      <c r="D409" s="145"/>
      <c r="E409" s="146"/>
      <c r="F409" s="147"/>
      <c r="G409" s="147"/>
      <c r="H409" s="150"/>
      <c r="I409" s="150"/>
      <c r="J409" s="148"/>
      <c r="K409" s="144"/>
    </row>
    <row r="410" spans="1:11" x14ac:dyDescent="0.25">
      <c r="A410" s="149"/>
      <c r="B410" s="149"/>
      <c r="C410" s="145"/>
      <c r="D410" s="145"/>
      <c r="E410" s="146"/>
      <c r="F410" s="147"/>
      <c r="G410" s="147"/>
      <c r="H410" s="150"/>
      <c r="I410" s="150"/>
      <c r="J410" s="148"/>
      <c r="K410" s="144"/>
    </row>
    <row r="411" spans="1:11" x14ac:dyDescent="0.25">
      <c r="A411" s="149"/>
      <c r="B411" s="149"/>
      <c r="C411" s="145"/>
      <c r="D411" s="145"/>
      <c r="E411" s="146"/>
      <c r="F411" s="147"/>
      <c r="G411" s="147"/>
      <c r="H411" s="150"/>
      <c r="I411" s="150"/>
      <c r="J411" s="148"/>
      <c r="K411" s="144"/>
    </row>
    <row r="412" spans="1:11" x14ac:dyDescent="0.25">
      <c r="A412" s="149"/>
      <c r="B412" s="149"/>
      <c r="C412" s="145"/>
      <c r="D412" s="145"/>
      <c r="E412" s="146"/>
      <c r="F412" s="147"/>
      <c r="G412" s="147"/>
      <c r="H412" s="150"/>
      <c r="I412" s="150"/>
      <c r="J412" s="148"/>
      <c r="K412" s="144"/>
    </row>
    <row r="413" spans="1:11" x14ac:dyDescent="0.25">
      <c r="A413" s="149"/>
      <c r="B413" s="149"/>
      <c r="C413" s="145"/>
      <c r="D413" s="145"/>
      <c r="E413" s="146"/>
      <c r="F413" s="147"/>
      <c r="G413" s="147"/>
      <c r="H413" s="150"/>
      <c r="I413" s="150"/>
      <c r="J413" s="148"/>
      <c r="K413" s="144"/>
    </row>
    <row r="414" spans="1:11" x14ac:dyDescent="0.25">
      <c r="A414" s="149"/>
      <c r="B414" s="149"/>
      <c r="C414" s="145"/>
      <c r="D414" s="145"/>
      <c r="E414" s="146"/>
      <c r="F414" s="147"/>
      <c r="G414" s="147"/>
      <c r="H414" s="150"/>
      <c r="I414" s="150"/>
      <c r="J414" s="148"/>
      <c r="K414" s="144"/>
    </row>
    <row r="415" spans="1:11" x14ac:dyDescent="0.25">
      <c r="A415" s="149"/>
      <c r="B415" s="149"/>
      <c r="C415" s="145"/>
      <c r="D415" s="145"/>
      <c r="E415" s="146"/>
      <c r="F415" s="147"/>
      <c r="G415" s="147"/>
      <c r="H415" s="150"/>
      <c r="I415" s="150"/>
      <c r="J415" s="148"/>
      <c r="K415" s="144"/>
    </row>
    <row r="416" spans="1:11" x14ac:dyDescent="0.25">
      <c r="A416" s="149"/>
      <c r="B416" s="149"/>
      <c r="C416" s="145"/>
      <c r="D416" s="145"/>
      <c r="E416" s="146"/>
      <c r="F416" s="147"/>
      <c r="G416" s="147"/>
      <c r="H416" s="150"/>
      <c r="I416" s="150"/>
      <c r="J416" s="148"/>
      <c r="K416" s="144"/>
    </row>
    <row r="417" spans="1:11" x14ac:dyDescent="0.25">
      <c r="A417" s="149"/>
      <c r="B417" s="149"/>
      <c r="C417" s="145"/>
      <c r="D417" s="145"/>
      <c r="E417" s="146"/>
      <c r="F417" s="147"/>
      <c r="G417" s="147"/>
      <c r="H417" s="150"/>
      <c r="I417" s="150"/>
      <c r="J417" s="148"/>
      <c r="K417" s="144"/>
    </row>
    <row r="418" spans="1:11" x14ac:dyDescent="0.25">
      <c r="A418" s="149"/>
      <c r="B418" s="149"/>
      <c r="C418" s="145"/>
      <c r="D418" s="145"/>
      <c r="E418" s="146"/>
      <c r="F418" s="147"/>
      <c r="G418" s="147"/>
      <c r="H418" s="150"/>
      <c r="I418" s="150"/>
      <c r="J418" s="148"/>
      <c r="K418" s="144"/>
    </row>
    <row r="419" spans="1:11" x14ac:dyDescent="0.25">
      <c r="A419" s="149"/>
      <c r="B419" s="149"/>
      <c r="C419" s="145"/>
      <c r="D419" s="145"/>
      <c r="E419" s="146"/>
      <c r="F419" s="147"/>
      <c r="G419" s="147"/>
      <c r="H419" s="150"/>
      <c r="I419" s="150"/>
      <c r="J419" s="148"/>
      <c r="K419" s="144"/>
    </row>
    <row r="420" spans="1:11" x14ac:dyDescent="0.25">
      <c r="A420" s="149"/>
      <c r="B420" s="149"/>
      <c r="C420" s="145"/>
      <c r="D420" s="145"/>
      <c r="E420" s="146"/>
      <c r="F420" s="147"/>
      <c r="G420" s="147"/>
      <c r="H420" s="150"/>
      <c r="I420" s="150"/>
      <c r="J420" s="148"/>
      <c r="K420" s="144"/>
    </row>
    <row r="421" spans="1:11" x14ac:dyDescent="0.25">
      <c r="A421" s="149"/>
      <c r="B421" s="149"/>
      <c r="C421" s="145"/>
      <c r="D421" s="145"/>
      <c r="E421" s="146"/>
      <c r="F421" s="147"/>
      <c r="G421" s="147"/>
      <c r="H421" s="150"/>
      <c r="I421" s="150"/>
      <c r="J421" s="148"/>
      <c r="K421" s="144"/>
    </row>
    <row r="422" spans="1:11" x14ac:dyDescent="0.25">
      <c r="A422" s="149"/>
      <c r="B422" s="149"/>
      <c r="C422" s="145"/>
      <c r="D422" s="145"/>
      <c r="E422" s="146"/>
      <c r="F422" s="147"/>
      <c r="G422" s="147"/>
      <c r="H422" s="150"/>
      <c r="I422" s="150"/>
      <c r="J422" s="148"/>
      <c r="K422" s="144"/>
    </row>
    <row r="423" spans="1:11" x14ac:dyDescent="0.25">
      <c r="A423" s="149"/>
      <c r="B423" s="149"/>
      <c r="C423" s="145"/>
      <c r="D423" s="145"/>
      <c r="E423" s="146"/>
      <c r="F423" s="147"/>
      <c r="G423" s="147"/>
      <c r="H423" s="150"/>
      <c r="I423" s="150"/>
      <c r="J423" s="148"/>
      <c r="K423" s="144"/>
    </row>
    <row r="424" spans="1:11" x14ac:dyDescent="0.25">
      <c r="A424" s="149"/>
      <c r="B424" s="149"/>
      <c r="C424" s="145"/>
      <c r="D424" s="145"/>
      <c r="E424" s="146"/>
      <c r="F424" s="147"/>
      <c r="G424" s="147"/>
      <c r="H424" s="150"/>
      <c r="I424" s="150"/>
      <c r="J424" s="148"/>
      <c r="K424" s="144"/>
    </row>
    <row r="425" spans="1:11" x14ac:dyDescent="0.25">
      <c r="A425" s="149"/>
      <c r="B425" s="149"/>
      <c r="C425" s="145"/>
      <c r="D425" s="145"/>
      <c r="E425" s="146"/>
      <c r="F425" s="147"/>
      <c r="G425" s="147"/>
      <c r="H425" s="150"/>
      <c r="I425" s="150"/>
      <c r="J425" s="148"/>
      <c r="K425" s="144"/>
    </row>
    <row r="426" spans="1:11" x14ac:dyDescent="0.25">
      <c r="A426" s="149"/>
      <c r="B426" s="149"/>
      <c r="C426" s="145"/>
      <c r="D426" s="145"/>
      <c r="E426" s="146"/>
      <c r="F426" s="147"/>
      <c r="G426" s="147"/>
      <c r="H426" s="150"/>
      <c r="I426" s="150"/>
      <c r="J426" s="148"/>
      <c r="K426" s="144"/>
    </row>
    <row r="427" spans="1:11" x14ac:dyDescent="0.25">
      <c r="A427" s="149"/>
      <c r="B427" s="149"/>
      <c r="C427" s="145"/>
      <c r="D427" s="145"/>
      <c r="E427" s="146"/>
      <c r="F427" s="147"/>
      <c r="G427" s="147"/>
      <c r="H427" s="150"/>
      <c r="I427" s="150"/>
      <c r="J427" s="148"/>
      <c r="K427" s="144"/>
    </row>
    <row r="428" spans="1:11" x14ac:dyDescent="0.25">
      <c r="A428" s="149"/>
      <c r="B428" s="149"/>
      <c r="C428" s="145"/>
      <c r="D428" s="145"/>
      <c r="E428" s="146"/>
      <c r="F428" s="147"/>
      <c r="G428" s="147"/>
      <c r="H428" s="150"/>
      <c r="I428" s="150"/>
      <c r="J428" s="148"/>
      <c r="K428" s="144"/>
    </row>
    <row r="429" spans="1:11" x14ac:dyDescent="0.25">
      <c r="A429" s="149"/>
      <c r="B429" s="149"/>
      <c r="C429" s="145"/>
      <c r="D429" s="145"/>
      <c r="E429" s="146"/>
      <c r="F429" s="147"/>
      <c r="G429" s="147"/>
      <c r="H429" s="150"/>
      <c r="I429" s="150"/>
      <c r="J429" s="148"/>
      <c r="K429" s="144"/>
    </row>
    <row r="430" spans="1:11" x14ac:dyDescent="0.25">
      <c r="A430" s="149"/>
      <c r="B430" s="149"/>
      <c r="C430" s="145"/>
      <c r="D430" s="145"/>
      <c r="E430" s="146"/>
      <c r="F430" s="147"/>
      <c r="G430" s="147"/>
      <c r="H430" s="150"/>
      <c r="I430" s="150"/>
      <c r="J430" s="148"/>
      <c r="K430" s="144"/>
    </row>
    <row r="431" spans="1:11" x14ac:dyDescent="0.25">
      <c r="A431" s="149"/>
      <c r="B431" s="149"/>
      <c r="C431" s="145"/>
      <c r="D431" s="145"/>
      <c r="E431" s="146"/>
      <c r="F431" s="147"/>
      <c r="G431" s="147"/>
      <c r="H431" s="150"/>
      <c r="I431" s="150"/>
      <c r="J431" s="148"/>
      <c r="K431" s="144"/>
    </row>
    <row r="432" spans="1:11" x14ac:dyDescent="0.25">
      <c r="A432" s="149"/>
      <c r="B432" s="149"/>
      <c r="C432" s="145"/>
      <c r="D432" s="145"/>
      <c r="E432" s="146"/>
      <c r="F432" s="147"/>
      <c r="G432" s="147"/>
      <c r="H432" s="150"/>
      <c r="I432" s="150"/>
      <c r="J432" s="148"/>
      <c r="K432" s="144"/>
    </row>
    <row r="433" spans="1:11" x14ac:dyDescent="0.25">
      <c r="A433" s="149"/>
      <c r="B433" s="149"/>
      <c r="C433" s="145"/>
      <c r="D433" s="145"/>
      <c r="E433" s="146"/>
      <c r="F433" s="147"/>
      <c r="G433" s="147"/>
      <c r="H433" s="150"/>
      <c r="I433" s="150"/>
      <c r="J433" s="148"/>
      <c r="K433" s="144"/>
    </row>
    <row r="434" spans="1:11" x14ac:dyDescent="0.25">
      <c r="A434" s="149"/>
      <c r="B434" s="149"/>
      <c r="C434" s="145"/>
      <c r="D434" s="145"/>
      <c r="E434" s="146"/>
      <c r="F434" s="147"/>
      <c r="G434" s="147"/>
      <c r="H434" s="150"/>
      <c r="I434" s="150"/>
      <c r="J434" s="148"/>
      <c r="K434" s="144"/>
    </row>
    <row r="435" spans="1:11" x14ac:dyDescent="0.25">
      <c r="A435" s="149"/>
      <c r="B435" s="149"/>
      <c r="C435" s="145"/>
      <c r="D435" s="145"/>
      <c r="E435" s="146"/>
      <c r="F435" s="147"/>
      <c r="G435" s="147"/>
      <c r="H435" s="150"/>
      <c r="I435" s="150"/>
      <c r="J435" s="148"/>
      <c r="K435" s="144"/>
    </row>
    <row r="436" spans="1:11" x14ac:dyDescent="0.25">
      <c r="A436" s="149"/>
      <c r="B436" s="149"/>
      <c r="C436" s="145"/>
      <c r="D436" s="145"/>
      <c r="E436" s="146"/>
      <c r="F436" s="147"/>
      <c r="G436" s="147"/>
      <c r="H436" s="150"/>
      <c r="I436" s="150"/>
      <c r="J436" s="148"/>
      <c r="K436" s="144"/>
    </row>
    <row r="437" spans="1:11" x14ac:dyDescent="0.25">
      <c r="A437" s="149"/>
      <c r="B437" s="149"/>
      <c r="C437" s="145"/>
      <c r="D437" s="145"/>
      <c r="E437" s="146"/>
      <c r="F437" s="147"/>
      <c r="G437" s="147"/>
      <c r="H437" s="150"/>
      <c r="I437" s="150"/>
      <c r="J437" s="148"/>
      <c r="K437" s="144"/>
    </row>
    <row r="438" spans="1:11" x14ac:dyDescent="0.25">
      <c r="A438" s="149"/>
      <c r="B438" s="149"/>
      <c r="C438" s="145"/>
      <c r="D438" s="145"/>
      <c r="E438" s="146"/>
      <c r="F438" s="147"/>
      <c r="G438" s="147"/>
      <c r="H438" s="150"/>
      <c r="I438" s="150"/>
      <c r="J438" s="148"/>
      <c r="K438" s="144"/>
    </row>
    <row r="439" spans="1:11" x14ac:dyDescent="0.25">
      <c r="A439" s="149"/>
      <c r="B439" s="149"/>
      <c r="C439" s="145"/>
      <c r="D439" s="145"/>
      <c r="E439" s="146"/>
      <c r="F439" s="147"/>
      <c r="G439" s="147"/>
      <c r="H439" s="150"/>
      <c r="I439" s="150"/>
      <c r="J439" s="148"/>
      <c r="K439" s="144"/>
    </row>
    <row r="440" spans="1:11" x14ac:dyDescent="0.25">
      <c r="A440" s="149"/>
      <c r="B440" s="149"/>
      <c r="C440" s="145"/>
      <c r="D440" s="145"/>
      <c r="E440" s="146"/>
      <c r="F440" s="147"/>
      <c r="G440" s="147"/>
      <c r="H440" s="150"/>
      <c r="I440" s="150"/>
      <c r="J440" s="148"/>
      <c r="K440" s="144"/>
    </row>
    <row r="441" spans="1:11" x14ac:dyDescent="0.25">
      <c r="A441" s="149"/>
      <c r="B441" s="149"/>
      <c r="C441" s="145"/>
      <c r="D441" s="145"/>
      <c r="E441" s="146"/>
      <c r="F441" s="147"/>
      <c r="G441" s="147"/>
      <c r="H441" s="150"/>
      <c r="I441" s="150"/>
      <c r="J441" s="148"/>
      <c r="K441" s="144"/>
    </row>
    <row r="442" spans="1:11" x14ac:dyDescent="0.25">
      <c r="A442" s="149"/>
      <c r="B442" s="149"/>
      <c r="C442" s="145"/>
      <c r="D442" s="145"/>
      <c r="E442" s="146"/>
      <c r="F442" s="147"/>
      <c r="G442" s="147"/>
      <c r="H442" s="150"/>
      <c r="I442" s="150"/>
      <c r="J442" s="148"/>
      <c r="K442" s="151"/>
    </row>
    <row r="443" spans="1:11" x14ac:dyDescent="0.25">
      <c r="A443" s="149"/>
      <c r="B443" s="149"/>
      <c r="C443" s="145"/>
      <c r="D443" s="145"/>
      <c r="E443" s="146"/>
      <c r="F443" s="147"/>
      <c r="G443" s="147"/>
      <c r="H443" s="150"/>
      <c r="I443" s="150"/>
      <c r="J443" s="148"/>
      <c r="K443" s="151"/>
    </row>
    <row r="444" spans="1:11" x14ac:dyDescent="0.25">
      <c r="A444" s="149"/>
      <c r="B444" s="149"/>
      <c r="C444" s="145"/>
      <c r="D444" s="145"/>
      <c r="E444" s="146"/>
      <c r="F444" s="147"/>
      <c r="G444" s="147"/>
      <c r="H444" s="150"/>
      <c r="I444" s="150"/>
      <c r="J444" s="148"/>
      <c r="K444" s="151"/>
    </row>
    <row r="445" spans="1:11" x14ac:dyDescent="0.25">
      <c r="A445" s="149"/>
      <c r="B445" s="149"/>
      <c r="C445" s="145"/>
      <c r="D445" s="145"/>
      <c r="E445" s="146"/>
      <c r="F445" s="147"/>
      <c r="G445" s="147"/>
      <c r="H445" s="150"/>
      <c r="I445" s="150"/>
      <c r="J445" s="148"/>
      <c r="K445" s="151"/>
    </row>
    <row r="446" spans="1:11" x14ac:dyDescent="0.25">
      <c r="A446" s="149"/>
      <c r="B446" s="149"/>
      <c r="C446" s="145"/>
      <c r="D446" s="145"/>
      <c r="E446" s="146"/>
      <c r="F446" s="147"/>
      <c r="G446" s="147"/>
      <c r="H446" s="150"/>
      <c r="I446" s="150"/>
      <c r="J446" s="148"/>
      <c r="K446" s="151"/>
    </row>
    <row r="447" spans="1:11" x14ac:dyDescent="0.25">
      <c r="A447" s="149"/>
      <c r="B447" s="149"/>
      <c r="C447" s="145"/>
      <c r="D447" s="145"/>
      <c r="E447" s="146"/>
      <c r="F447" s="147"/>
      <c r="G447" s="147"/>
      <c r="H447" s="150"/>
      <c r="I447" s="150"/>
      <c r="J447" s="148"/>
      <c r="K447" s="151"/>
    </row>
    <row r="448" spans="1:11" x14ac:dyDescent="0.25">
      <c r="A448" s="149"/>
      <c r="B448" s="149"/>
      <c r="C448" s="145"/>
      <c r="D448" s="145"/>
      <c r="E448" s="146"/>
      <c r="F448" s="147"/>
      <c r="G448" s="147"/>
      <c r="H448" s="150"/>
      <c r="I448" s="150"/>
      <c r="J448" s="148"/>
      <c r="K448" s="151"/>
    </row>
    <row r="449" spans="1:11" x14ac:dyDescent="0.25">
      <c r="A449" s="149"/>
      <c r="B449" s="149"/>
      <c r="C449" s="145"/>
      <c r="D449" s="145"/>
      <c r="E449" s="146"/>
      <c r="F449" s="147"/>
      <c r="G449" s="147"/>
      <c r="H449" s="150"/>
      <c r="I449" s="150"/>
      <c r="J449" s="148"/>
      <c r="K449" s="151"/>
    </row>
    <row r="450" spans="1:11" x14ac:dyDescent="0.25">
      <c r="A450" s="149"/>
      <c r="B450" s="149"/>
      <c r="C450" s="145"/>
      <c r="D450" s="145"/>
      <c r="E450" s="146"/>
      <c r="F450" s="147"/>
      <c r="G450" s="147"/>
      <c r="H450" s="150"/>
      <c r="I450" s="150"/>
      <c r="J450" s="148"/>
      <c r="K450" s="151"/>
    </row>
    <row r="451" spans="1:11" x14ac:dyDescent="0.25">
      <c r="A451" s="149"/>
      <c r="B451" s="149"/>
      <c r="C451" s="145"/>
      <c r="D451" s="145"/>
      <c r="E451" s="146"/>
      <c r="F451" s="147"/>
      <c r="G451" s="147"/>
      <c r="H451" s="150"/>
      <c r="I451" s="150"/>
      <c r="J451" s="148"/>
      <c r="K451" s="151"/>
    </row>
    <row r="452" spans="1:11" x14ac:dyDescent="0.25">
      <c r="A452" s="149"/>
      <c r="B452" s="149"/>
      <c r="C452" s="145"/>
      <c r="D452" s="145"/>
      <c r="E452" s="146"/>
      <c r="F452" s="147"/>
      <c r="G452" s="147"/>
      <c r="H452" s="150"/>
      <c r="I452" s="150"/>
      <c r="J452" s="148"/>
      <c r="K452" s="151"/>
    </row>
    <row r="453" spans="1:11" x14ac:dyDescent="0.25">
      <c r="A453" s="149"/>
      <c r="B453" s="149"/>
      <c r="C453" s="145"/>
      <c r="D453" s="145"/>
      <c r="E453" s="146"/>
      <c r="F453" s="147"/>
      <c r="G453" s="147"/>
      <c r="H453" s="150"/>
      <c r="I453" s="150"/>
      <c r="J453" s="148"/>
      <c r="K453" s="151"/>
    </row>
    <row r="454" spans="1:11" x14ac:dyDescent="0.25">
      <c r="A454" s="149"/>
      <c r="B454" s="149"/>
      <c r="C454" s="145"/>
      <c r="D454" s="145"/>
      <c r="E454" s="146"/>
      <c r="F454" s="147"/>
      <c r="G454" s="147"/>
      <c r="H454" s="150"/>
      <c r="I454" s="150"/>
      <c r="J454" s="148"/>
      <c r="K454" s="151"/>
    </row>
    <row r="455" spans="1:11" x14ac:dyDescent="0.25">
      <c r="A455" s="149"/>
      <c r="B455" s="149"/>
      <c r="C455" s="145"/>
      <c r="D455" s="145"/>
      <c r="E455" s="146"/>
      <c r="F455" s="147"/>
      <c r="G455" s="147"/>
      <c r="H455" s="150"/>
      <c r="I455" s="150"/>
      <c r="J455" s="148"/>
      <c r="K455" s="151"/>
    </row>
    <row r="456" spans="1:11" x14ac:dyDescent="0.25">
      <c r="A456" s="149"/>
      <c r="B456" s="149"/>
      <c r="C456" s="145"/>
      <c r="D456" s="145"/>
      <c r="E456" s="146"/>
      <c r="F456" s="147"/>
      <c r="G456" s="147"/>
      <c r="H456" s="150"/>
      <c r="I456" s="150"/>
      <c r="J456" s="148"/>
      <c r="K456" s="151"/>
    </row>
    <row r="457" spans="1:11" x14ac:dyDescent="0.25">
      <c r="A457" s="149"/>
      <c r="B457" s="149"/>
      <c r="C457" s="145"/>
      <c r="D457" s="145"/>
      <c r="E457" s="146"/>
      <c r="F457" s="147"/>
      <c r="G457" s="147"/>
      <c r="H457" s="150"/>
      <c r="I457" s="150"/>
      <c r="J457" s="148"/>
      <c r="K457" s="151"/>
    </row>
    <row r="458" spans="1:11" x14ac:dyDescent="0.25">
      <c r="A458" s="149"/>
      <c r="B458" s="149"/>
      <c r="C458" s="145"/>
      <c r="D458" s="145"/>
      <c r="E458" s="146"/>
      <c r="F458" s="147"/>
      <c r="G458" s="147"/>
      <c r="H458" s="150"/>
      <c r="I458" s="150"/>
      <c r="J458" s="148"/>
      <c r="K458" s="151"/>
    </row>
    <row r="459" spans="1:11" x14ac:dyDescent="0.25">
      <c r="A459" s="149"/>
      <c r="B459" s="149"/>
      <c r="C459" s="145"/>
      <c r="D459" s="145"/>
      <c r="E459" s="146"/>
      <c r="F459" s="147"/>
      <c r="G459" s="147"/>
      <c r="H459" s="150"/>
      <c r="I459" s="150"/>
      <c r="J459" s="148"/>
      <c r="K459" s="151"/>
    </row>
    <row r="460" spans="1:11" x14ac:dyDescent="0.25">
      <c r="A460" s="149"/>
      <c r="B460" s="149"/>
      <c r="C460" s="145"/>
      <c r="D460" s="145"/>
      <c r="E460" s="146"/>
      <c r="F460" s="147"/>
      <c r="G460" s="147"/>
      <c r="H460" s="150"/>
      <c r="I460" s="150"/>
      <c r="J460" s="148"/>
      <c r="K460" s="151"/>
    </row>
    <row r="461" spans="1:11" x14ac:dyDescent="0.25">
      <c r="A461" s="149"/>
      <c r="B461" s="149"/>
      <c r="C461" s="145"/>
      <c r="D461" s="145"/>
      <c r="E461" s="146"/>
      <c r="F461" s="147"/>
      <c r="G461" s="147"/>
      <c r="H461" s="150"/>
      <c r="I461" s="150"/>
      <c r="J461" s="148"/>
      <c r="K461" s="151"/>
    </row>
    <row r="462" spans="1:11" x14ac:dyDescent="0.25">
      <c r="A462" s="149"/>
      <c r="B462" s="149"/>
      <c r="C462" s="145"/>
      <c r="D462" s="145"/>
      <c r="E462" s="146"/>
      <c r="F462" s="147"/>
      <c r="G462" s="147"/>
      <c r="H462" s="150"/>
      <c r="I462" s="150"/>
      <c r="J462" s="148"/>
      <c r="K462" s="151"/>
    </row>
    <row r="463" spans="1:11" x14ac:dyDescent="0.25">
      <c r="A463" s="149"/>
      <c r="B463" s="149"/>
      <c r="C463" s="145"/>
      <c r="D463" s="145"/>
      <c r="E463" s="146"/>
      <c r="F463" s="147"/>
      <c r="G463" s="147"/>
      <c r="H463" s="150"/>
      <c r="I463" s="150"/>
      <c r="J463" s="148"/>
      <c r="K463" s="151"/>
    </row>
    <row r="464" spans="1:11" x14ac:dyDescent="0.25">
      <c r="A464" s="149"/>
      <c r="B464" s="149"/>
      <c r="C464" s="145"/>
      <c r="D464" s="145"/>
      <c r="E464" s="146"/>
      <c r="F464" s="147"/>
      <c r="G464" s="147"/>
      <c r="H464" s="150"/>
      <c r="I464" s="150"/>
      <c r="J464" s="148"/>
      <c r="K464" s="151"/>
    </row>
    <row r="465" spans="1:11" x14ac:dyDescent="0.25">
      <c r="A465" s="149"/>
      <c r="B465" s="149"/>
      <c r="C465" s="145"/>
      <c r="D465" s="145"/>
      <c r="E465" s="146"/>
      <c r="F465" s="147"/>
      <c r="G465" s="147"/>
      <c r="H465" s="150"/>
      <c r="I465" s="150"/>
      <c r="J465" s="148"/>
      <c r="K465" s="151"/>
    </row>
    <row r="466" spans="1:11" x14ac:dyDescent="0.25">
      <c r="A466" s="149"/>
      <c r="B466" s="149"/>
      <c r="C466" s="145"/>
      <c r="D466" s="145"/>
      <c r="E466" s="146"/>
      <c r="F466" s="147"/>
      <c r="G466" s="147"/>
      <c r="H466" s="150"/>
      <c r="I466" s="150"/>
      <c r="J466" s="148"/>
      <c r="K466" s="151"/>
    </row>
    <row r="467" spans="1:11" x14ac:dyDescent="0.25">
      <c r="A467" s="149"/>
      <c r="B467" s="149"/>
      <c r="C467" s="145"/>
      <c r="D467" s="145"/>
      <c r="E467" s="146"/>
      <c r="F467" s="147"/>
      <c r="G467" s="147"/>
      <c r="H467" s="150"/>
      <c r="I467" s="150"/>
      <c r="J467" s="148"/>
      <c r="K467" s="151"/>
    </row>
    <row r="468" spans="1:11" x14ac:dyDescent="0.25">
      <c r="A468" s="149"/>
      <c r="B468" s="149"/>
      <c r="C468" s="145"/>
      <c r="D468" s="145"/>
      <c r="E468" s="146"/>
      <c r="F468" s="147"/>
      <c r="G468" s="147"/>
      <c r="H468" s="150"/>
      <c r="I468" s="150"/>
      <c r="J468" s="148"/>
      <c r="K468" s="151"/>
    </row>
    <row r="469" spans="1:11" x14ac:dyDescent="0.25">
      <c r="A469" s="149"/>
      <c r="B469" s="149"/>
      <c r="C469" s="145"/>
      <c r="D469" s="145"/>
      <c r="E469" s="146"/>
      <c r="F469" s="147"/>
      <c r="G469" s="147"/>
      <c r="H469" s="150"/>
      <c r="I469" s="150"/>
      <c r="J469" s="148"/>
      <c r="K469" s="151"/>
    </row>
    <row r="470" spans="1:11" x14ac:dyDescent="0.25">
      <c r="A470" s="149"/>
      <c r="B470" s="149"/>
      <c r="C470" s="145"/>
      <c r="D470" s="145"/>
      <c r="E470" s="146"/>
      <c r="F470" s="147"/>
      <c r="G470" s="147"/>
      <c r="H470" s="150"/>
      <c r="I470" s="150"/>
      <c r="J470" s="148"/>
      <c r="K470" s="151"/>
    </row>
    <row r="471" spans="1:11" x14ac:dyDescent="0.25">
      <c r="A471" s="149"/>
      <c r="B471" s="149"/>
      <c r="C471" s="145"/>
      <c r="D471" s="145"/>
      <c r="E471" s="146"/>
      <c r="F471" s="147"/>
      <c r="G471" s="147"/>
      <c r="H471" s="150"/>
      <c r="I471" s="150"/>
      <c r="J471" s="148"/>
      <c r="K471" s="151"/>
    </row>
    <row r="472" spans="1:11" x14ac:dyDescent="0.25">
      <c r="A472" s="149"/>
      <c r="B472" s="149"/>
      <c r="C472" s="145"/>
      <c r="D472" s="145"/>
      <c r="E472" s="146"/>
      <c r="F472" s="147"/>
      <c r="G472" s="147"/>
      <c r="H472" s="150"/>
      <c r="I472" s="150"/>
      <c r="J472" s="148"/>
      <c r="K472" s="151"/>
    </row>
    <row r="473" spans="1:11" x14ac:dyDescent="0.25">
      <c r="A473" s="149"/>
      <c r="B473" s="149"/>
      <c r="C473" s="145"/>
      <c r="D473" s="145"/>
      <c r="E473" s="146"/>
      <c r="F473" s="147"/>
      <c r="G473" s="147"/>
      <c r="H473" s="150"/>
      <c r="I473" s="150"/>
      <c r="J473" s="148"/>
      <c r="K473" s="151"/>
    </row>
    <row r="474" spans="1:11" x14ac:dyDescent="0.25">
      <c r="A474" s="149"/>
      <c r="B474" s="149"/>
      <c r="C474" s="145"/>
      <c r="D474" s="145"/>
      <c r="E474" s="146"/>
      <c r="F474" s="147"/>
      <c r="G474" s="147"/>
      <c r="H474" s="150"/>
      <c r="I474" s="150"/>
      <c r="J474" s="148"/>
      <c r="K474" s="151"/>
    </row>
    <row r="475" spans="1:11" x14ac:dyDescent="0.25">
      <c r="A475" s="149"/>
      <c r="B475" s="149"/>
      <c r="C475" s="145"/>
      <c r="D475" s="145"/>
      <c r="E475" s="146"/>
      <c r="F475" s="147"/>
      <c r="G475" s="147"/>
      <c r="H475" s="150"/>
      <c r="I475" s="150"/>
      <c r="J475" s="148"/>
      <c r="K475" s="151"/>
    </row>
    <row r="476" spans="1:11" x14ac:dyDescent="0.25">
      <c r="A476" s="149"/>
      <c r="B476" s="149"/>
      <c r="C476" s="145"/>
      <c r="D476" s="145"/>
      <c r="E476" s="146"/>
      <c r="F476" s="147"/>
      <c r="G476" s="147"/>
      <c r="H476" s="150"/>
      <c r="I476" s="150"/>
      <c r="J476" s="148"/>
      <c r="K476" s="151"/>
    </row>
    <row r="477" spans="1:11" x14ac:dyDescent="0.25">
      <c r="A477" s="149"/>
      <c r="B477" s="149"/>
      <c r="C477" s="145"/>
      <c r="D477" s="145"/>
      <c r="E477" s="146"/>
      <c r="F477" s="147"/>
      <c r="G477" s="147"/>
      <c r="H477" s="150"/>
      <c r="I477" s="150"/>
      <c r="J477" s="148"/>
      <c r="K477" s="151"/>
    </row>
    <row r="478" spans="1:11" x14ac:dyDescent="0.25">
      <c r="A478" s="149"/>
      <c r="B478" s="149"/>
      <c r="C478" s="145"/>
      <c r="D478" s="145"/>
      <c r="E478" s="146"/>
      <c r="F478" s="147"/>
      <c r="G478" s="147"/>
      <c r="H478" s="150"/>
      <c r="I478" s="150"/>
      <c r="J478" s="148"/>
      <c r="K478" s="151"/>
    </row>
    <row r="479" spans="1:11" x14ac:dyDescent="0.25">
      <c r="A479" s="149"/>
      <c r="B479" s="149"/>
      <c r="C479" s="145"/>
      <c r="D479" s="145"/>
      <c r="E479" s="146"/>
      <c r="F479" s="147"/>
      <c r="G479" s="147"/>
      <c r="H479" s="150"/>
      <c r="I479" s="150"/>
      <c r="J479" s="148"/>
      <c r="K479" s="151"/>
    </row>
    <row r="480" spans="1:11" x14ac:dyDescent="0.25">
      <c r="A480" s="149"/>
      <c r="B480" s="149"/>
      <c r="C480" s="145"/>
      <c r="D480" s="145"/>
      <c r="E480" s="146"/>
      <c r="F480" s="147"/>
      <c r="G480" s="147"/>
      <c r="H480" s="150"/>
      <c r="I480" s="150"/>
      <c r="J480" s="148"/>
      <c r="K480" s="151"/>
    </row>
    <row r="481" spans="1:11" x14ac:dyDescent="0.25">
      <c r="A481" s="149"/>
      <c r="B481" s="149"/>
      <c r="C481" s="145"/>
      <c r="D481" s="145"/>
      <c r="E481" s="146"/>
      <c r="F481" s="147"/>
      <c r="G481" s="147"/>
      <c r="H481" s="150"/>
      <c r="I481" s="150"/>
      <c r="J481" s="148"/>
      <c r="K481" s="151"/>
    </row>
    <row r="482" spans="1:11" x14ac:dyDescent="0.25">
      <c r="A482" s="149"/>
      <c r="B482" s="149"/>
      <c r="C482" s="145"/>
      <c r="D482" s="145"/>
      <c r="E482" s="146"/>
      <c r="F482" s="147"/>
      <c r="G482" s="147"/>
      <c r="H482" s="150"/>
      <c r="I482" s="150"/>
      <c r="J482" s="148"/>
      <c r="K482" s="151"/>
    </row>
    <row r="483" spans="1:11" x14ac:dyDescent="0.25">
      <c r="A483" s="149"/>
      <c r="B483" s="149"/>
      <c r="C483" s="145"/>
      <c r="D483" s="145"/>
      <c r="E483" s="146"/>
      <c r="F483" s="147"/>
      <c r="G483" s="147"/>
      <c r="H483" s="150"/>
      <c r="I483" s="150"/>
      <c r="J483" s="148"/>
      <c r="K483" s="151"/>
    </row>
    <row r="484" spans="1:11" x14ac:dyDescent="0.25">
      <c r="A484" s="149"/>
      <c r="B484" s="149"/>
      <c r="C484" s="145"/>
      <c r="D484" s="145"/>
      <c r="E484" s="146"/>
      <c r="F484" s="147"/>
      <c r="G484" s="147"/>
      <c r="H484" s="150"/>
      <c r="I484" s="150"/>
      <c r="J484" s="148"/>
      <c r="K484" s="151"/>
    </row>
    <row r="485" spans="1:11" x14ac:dyDescent="0.25">
      <c r="A485" s="149"/>
      <c r="B485" s="149"/>
      <c r="C485" s="145"/>
      <c r="D485" s="145"/>
      <c r="E485" s="146"/>
      <c r="F485" s="147"/>
      <c r="G485" s="147"/>
      <c r="H485" s="150"/>
      <c r="I485" s="150"/>
      <c r="J485" s="148"/>
      <c r="K485" s="151"/>
    </row>
    <row r="486" spans="1:11" x14ac:dyDescent="0.25">
      <c r="A486" s="149"/>
      <c r="B486" s="149"/>
      <c r="C486" s="145"/>
      <c r="D486" s="145"/>
      <c r="E486" s="146"/>
      <c r="F486" s="147"/>
      <c r="G486" s="147"/>
      <c r="H486" s="150"/>
      <c r="I486" s="150"/>
      <c r="J486" s="148"/>
      <c r="K486" s="151"/>
    </row>
    <row r="487" spans="1:11" x14ac:dyDescent="0.25">
      <c r="A487" s="149"/>
      <c r="B487" s="149"/>
      <c r="C487" s="145"/>
      <c r="D487" s="145"/>
      <c r="E487" s="146"/>
      <c r="F487" s="147"/>
      <c r="G487" s="147"/>
      <c r="H487" s="150"/>
      <c r="I487" s="150"/>
      <c r="J487" s="148"/>
      <c r="K487" s="151"/>
    </row>
    <row r="488" spans="1:11" x14ac:dyDescent="0.25">
      <c r="A488" s="149"/>
      <c r="B488" s="149"/>
      <c r="C488" s="145"/>
      <c r="D488" s="145"/>
      <c r="E488" s="146"/>
      <c r="F488" s="147"/>
      <c r="G488" s="147"/>
      <c r="H488" s="150"/>
      <c r="I488" s="150"/>
      <c r="J488" s="148"/>
      <c r="K488" s="151"/>
    </row>
    <row r="489" spans="1:11" x14ac:dyDescent="0.25">
      <c r="A489" s="149"/>
      <c r="B489" s="149"/>
      <c r="C489" s="145"/>
      <c r="D489" s="145"/>
      <c r="E489" s="146"/>
      <c r="F489" s="147"/>
      <c r="G489" s="147"/>
      <c r="H489" s="150"/>
      <c r="I489" s="150"/>
      <c r="J489" s="148"/>
      <c r="K489" s="151"/>
    </row>
    <row r="490" spans="1:11" x14ac:dyDescent="0.25">
      <c r="A490" s="149"/>
      <c r="B490" s="149"/>
      <c r="C490" s="145"/>
      <c r="D490" s="145"/>
      <c r="E490" s="146"/>
      <c r="F490" s="147"/>
      <c r="G490" s="147"/>
      <c r="H490" s="150"/>
      <c r="I490" s="150"/>
      <c r="J490" s="148"/>
      <c r="K490" s="151"/>
    </row>
    <row r="491" spans="1:11" x14ac:dyDescent="0.25">
      <c r="A491" s="149"/>
      <c r="B491" s="149"/>
      <c r="C491" s="145"/>
      <c r="D491" s="145"/>
      <c r="E491" s="146"/>
      <c r="F491" s="147"/>
      <c r="G491" s="147"/>
      <c r="H491" s="150"/>
      <c r="I491" s="150"/>
      <c r="J491" s="148"/>
      <c r="K491" s="151"/>
    </row>
    <row r="492" spans="1:11" x14ac:dyDescent="0.25">
      <c r="A492" s="149"/>
      <c r="B492" s="149"/>
      <c r="C492" s="145"/>
      <c r="D492" s="145"/>
      <c r="E492" s="146"/>
      <c r="F492" s="147"/>
      <c r="G492" s="147"/>
      <c r="H492" s="150"/>
      <c r="I492" s="150"/>
      <c r="J492" s="148"/>
      <c r="K492" s="151"/>
    </row>
    <row r="493" spans="1:11" x14ac:dyDescent="0.25">
      <c r="A493" s="149"/>
      <c r="B493" s="149"/>
      <c r="C493" s="145"/>
      <c r="D493" s="145"/>
      <c r="E493" s="146"/>
      <c r="F493" s="147"/>
      <c r="G493" s="147"/>
      <c r="H493" s="150"/>
      <c r="I493" s="150"/>
      <c r="J493" s="148"/>
      <c r="K493" s="151"/>
    </row>
    <row r="494" spans="1:11" x14ac:dyDescent="0.25">
      <c r="A494" s="149"/>
      <c r="B494" s="149"/>
      <c r="C494" s="145"/>
      <c r="D494" s="145"/>
      <c r="E494" s="146"/>
      <c r="F494" s="147"/>
      <c r="G494" s="147"/>
      <c r="H494" s="150"/>
      <c r="I494" s="150"/>
      <c r="J494" s="148"/>
      <c r="K494" s="151"/>
    </row>
    <row r="495" spans="1:11" x14ac:dyDescent="0.25">
      <c r="A495" s="149"/>
      <c r="B495" s="149"/>
      <c r="C495" s="145"/>
      <c r="D495" s="145"/>
      <c r="E495" s="146"/>
      <c r="F495" s="147"/>
      <c r="G495" s="147"/>
      <c r="H495" s="150"/>
      <c r="I495" s="150"/>
      <c r="J495" s="148"/>
      <c r="K495" s="151"/>
    </row>
    <row r="496" spans="1:11" x14ac:dyDescent="0.25">
      <c r="A496" s="149"/>
      <c r="B496" s="149"/>
      <c r="C496" s="145"/>
      <c r="D496" s="145"/>
      <c r="E496" s="146"/>
      <c r="F496" s="147"/>
      <c r="G496" s="147"/>
      <c r="H496" s="150"/>
      <c r="I496" s="150"/>
      <c r="J496" s="148"/>
      <c r="K496" s="151"/>
    </row>
    <row r="497" spans="1:11" x14ac:dyDescent="0.25">
      <c r="A497" s="149"/>
      <c r="B497" s="149"/>
      <c r="C497" s="145"/>
      <c r="D497" s="145"/>
      <c r="E497" s="146"/>
      <c r="F497" s="147"/>
      <c r="G497" s="147"/>
      <c r="H497" s="150"/>
      <c r="I497" s="150"/>
      <c r="J497" s="148"/>
      <c r="K497" s="151"/>
    </row>
    <row r="498" spans="1:11" x14ac:dyDescent="0.25">
      <c r="A498" s="149"/>
      <c r="B498" s="149"/>
      <c r="C498" s="145"/>
      <c r="D498" s="145"/>
      <c r="E498" s="146"/>
      <c r="F498" s="147"/>
      <c r="G498" s="147"/>
      <c r="H498" s="150"/>
      <c r="I498" s="150"/>
      <c r="J498" s="148"/>
      <c r="K498" s="151"/>
    </row>
    <row r="499" spans="1:11" x14ac:dyDescent="0.25">
      <c r="A499" s="149"/>
      <c r="B499" s="149"/>
      <c r="C499" s="145"/>
      <c r="D499" s="145"/>
      <c r="E499" s="146"/>
      <c r="F499" s="147"/>
      <c r="G499" s="147"/>
      <c r="H499" s="150"/>
      <c r="I499" s="150"/>
      <c r="J499" s="148"/>
      <c r="K499" s="151"/>
    </row>
    <row r="500" spans="1:11" x14ac:dyDescent="0.25">
      <c r="A500" s="149"/>
      <c r="B500" s="149"/>
      <c r="C500" s="145"/>
      <c r="D500" s="145"/>
      <c r="E500" s="146"/>
      <c r="F500" s="147"/>
      <c r="G500" s="147"/>
      <c r="H500" s="150"/>
      <c r="I500" s="150"/>
      <c r="J500" s="148"/>
      <c r="K500" s="151"/>
    </row>
    <row r="501" spans="1:11" x14ac:dyDescent="0.25">
      <c r="A501" s="149"/>
      <c r="B501" s="149"/>
      <c r="C501" s="145"/>
      <c r="D501" s="145"/>
      <c r="E501" s="146"/>
      <c r="F501" s="147"/>
      <c r="G501" s="147"/>
      <c r="H501" s="150"/>
      <c r="I501" s="150"/>
      <c r="J501" s="148"/>
      <c r="K501" s="151"/>
    </row>
    <row r="502" spans="1:11" x14ac:dyDescent="0.25">
      <c r="A502" s="149"/>
      <c r="B502" s="149"/>
      <c r="C502" s="145"/>
      <c r="D502" s="145"/>
      <c r="E502" s="146"/>
      <c r="F502" s="147"/>
      <c r="G502" s="147"/>
      <c r="H502" s="150"/>
      <c r="I502" s="150"/>
      <c r="J502" s="148"/>
      <c r="K502" s="151"/>
    </row>
    <row r="503" spans="1:11" x14ac:dyDescent="0.25">
      <c r="A503" s="149"/>
      <c r="B503" s="149"/>
      <c r="C503" s="145"/>
      <c r="D503" s="145"/>
      <c r="E503" s="146"/>
      <c r="F503" s="147"/>
      <c r="G503" s="147"/>
      <c r="H503" s="150"/>
      <c r="I503" s="150"/>
      <c r="J503" s="148"/>
      <c r="K503" s="151"/>
    </row>
    <row r="504" spans="1:11" x14ac:dyDescent="0.25">
      <c r="A504" s="149"/>
      <c r="B504" s="149"/>
      <c r="C504" s="145"/>
      <c r="D504" s="145"/>
      <c r="E504" s="146"/>
      <c r="F504" s="147"/>
      <c r="G504" s="147"/>
      <c r="H504" s="150"/>
      <c r="I504" s="150"/>
      <c r="J504" s="148"/>
      <c r="K504" s="151"/>
    </row>
    <row r="505" spans="1:11" x14ac:dyDescent="0.25">
      <c r="A505" s="149"/>
      <c r="B505" s="149"/>
      <c r="C505" s="145"/>
      <c r="D505" s="145"/>
      <c r="E505" s="146"/>
      <c r="F505" s="147"/>
      <c r="G505" s="147"/>
      <c r="H505" s="150"/>
      <c r="I505" s="150"/>
      <c r="J505" s="148"/>
      <c r="K505" s="151"/>
    </row>
    <row r="506" spans="1:11" x14ac:dyDescent="0.25">
      <c r="A506" s="149"/>
      <c r="B506" s="149"/>
      <c r="C506" s="145"/>
      <c r="D506" s="145"/>
      <c r="E506" s="146"/>
      <c r="F506" s="147"/>
      <c r="G506" s="147"/>
      <c r="H506" s="150"/>
      <c r="I506" s="150"/>
      <c r="J506" s="148"/>
      <c r="K506" s="151"/>
    </row>
    <row r="507" spans="1:11" x14ac:dyDescent="0.25">
      <c r="A507" s="149"/>
      <c r="B507" s="149"/>
      <c r="C507" s="145"/>
      <c r="D507" s="145"/>
      <c r="E507" s="146"/>
      <c r="F507" s="147"/>
      <c r="G507" s="147"/>
      <c r="H507" s="150"/>
      <c r="I507" s="150"/>
      <c r="J507" s="148"/>
      <c r="K507" s="151"/>
    </row>
    <row r="508" spans="1:11" x14ac:dyDescent="0.25">
      <c r="A508" s="149"/>
      <c r="B508" s="149"/>
      <c r="C508" s="145"/>
      <c r="D508" s="145"/>
      <c r="E508" s="146"/>
      <c r="F508" s="147"/>
      <c r="G508" s="147"/>
      <c r="H508" s="150"/>
      <c r="I508" s="150"/>
      <c r="J508" s="148"/>
      <c r="K508" s="151"/>
    </row>
    <row r="509" spans="1:11" x14ac:dyDescent="0.25">
      <c r="A509" s="149"/>
      <c r="B509" s="149"/>
      <c r="C509" s="145"/>
      <c r="D509" s="145"/>
      <c r="E509" s="146"/>
      <c r="F509" s="147"/>
      <c r="G509" s="147"/>
      <c r="H509" s="150"/>
      <c r="I509" s="150"/>
      <c r="J509" s="148"/>
      <c r="K509" s="151"/>
    </row>
    <row r="510" spans="1:11" x14ac:dyDescent="0.25">
      <c r="A510" s="149"/>
      <c r="B510" s="149"/>
      <c r="C510" s="145"/>
      <c r="D510" s="145"/>
      <c r="E510" s="146"/>
      <c r="F510" s="147"/>
      <c r="G510" s="147"/>
      <c r="H510" s="150"/>
      <c r="I510" s="150"/>
      <c r="J510" s="148"/>
      <c r="K510" s="151"/>
    </row>
    <row r="511" spans="1:11" x14ac:dyDescent="0.25">
      <c r="A511" s="149"/>
      <c r="B511" s="149"/>
      <c r="C511" s="145"/>
      <c r="D511" s="145"/>
      <c r="E511" s="146"/>
      <c r="F511" s="147"/>
      <c r="G511" s="147"/>
      <c r="H511" s="150"/>
      <c r="I511" s="150"/>
      <c r="J511" s="148"/>
      <c r="K511" s="151"/>
    </row>
    <row r="512" spans="1:11" x14ac:dyDescent="0.25">
      <c r="A512" s="149"/>
      <c r="B512" s="149"/>
      <c r="C512" s="145"/>
      <c r="D512" s="145"/>
      <c r="E512" s="146"/>
      <c r="F512" s="147"/>
      <c r="G512" s="147"/>
      <c r="H512" s="150"/>
      <c r="I512" s="150"/>
      <c r="J512" s="148"/>
      <c r="K512" s="151"/>
    </row>
    <row r="513" spans="1:11" x14ac:dyDescent="0.25">
      <c r="A513" s="149"/>
      <c r="B513" s="149"/>
      <c r="C513" s="145"/>
      <c r="D513" s="145"/>
      <c r="E513" s="146"/>
      <c r="F513" s="147"/>
      <c r="G513" s="147"/>
      <c r="H513" s="150"/>
      <c r="I513" s="150"/>
      <c r="J513" s="148"/>
      <c r="K513" s="151"/>
    </row>
    <row r="514" spans="1:11" x14ac:dyDescent="0.25">
      <c r="A514" s="149"/>
      <c r="B514" s="149"/>
      <c r="C514" s="145"/>
      <c r="D514" s="145"/>
      <c r="E514" s="146"/>
      <c r="F514" s="147"/>
      <c r="G514" s="147"/>
      <c r="H514" s="150"/>
      <c r="I514" s="150"/>
      <c r="J514" s="148"/>
      <c r="K514" s="151"/>
    </row>
    <row r="515" spans="1:11" x14ac:dyDescent="0.25">
      <c r="A515" s="149"/>
      <c r="B515" s="149"/>
      <c r="C515" s="145"/>
      <c r="D515" s="145"/>
      <c r="E515" s="146"/>
      <c r="F515" s="147"/>
      <c r="G515" s="147"/>
      <c r="H515" s="150"/>
      <c r="I515" s="150"/>
      <c r="J515" s="148"/>
      <c r="K515" s="151"/>
    </row>
    <row r="516" spans="1:11" x14ac:dyDescent="0.25">
      <c r="A516" s="149"/>
      <c r="B516" s="149"/>
      <c r="C516" s="145"/>
      <c r="D516" s="145"/>
      <c r="E516" s="146"/>
      <c r="F516" s="147"/>
      <c r="G516" s="147"/>
      <c r="H516" s="150"/>
      <c r="I516" s="150"/>
      <c r="J516" s="148"/>
      <c r="K516" s="151"/>
    </row>
    <row r="517" spans="1:11" x14ac:dyDescent="0.25">
      <c r="A517" s="149"/>
      <c r="B517" s="149"/>
      <c r="C517" s="145"/>
      <c r="D517" s="145"/>
      <c r="E517" s="146"/>
      <c r="F517" s="147"/>
      <c r="G517" s="147"/>
      <c r="H517" s="150"/>
      <c r="I517" s="150"/>
      <c r="J517" s="148"/>
      <c r="K517" s="151"/>
    </row>
    <row r="518" spans="1:11" x14ac:dyDescent="0.25">
      <c r="A518" s="149"/>
      <c r="B518" s="149"/>
      <c r="C518" s="145"/>
      <c r="D518" s="145"/>
      <c r="E518" s="146"/>
      <c r="F518" s="147"/>
      <c r="G518" s="147"/>
      <c r="H518" s="150"/>
      <c r="I518" s="150"/>
      <c r="J518" s="148"/>
      <c r="K518" s="151"/>
    </row>
    <row r="519" spans="1:11" x14ac:dyDescent="0.25">
      <c r="A519" s="149"/>
      <c r="B519" s="149"/>
      <c r="C519" s="145"/>
      <c r="D519" s="145"/>
      <c r="E519" s="146"/>
      <c r="F519" s="147"/>
      <c r="G519" s="147"/>
      <c r="H519" s="150"/>
      <c r="I519" s="150"/>
      <c r="J519" s="148"/>
      <c r="K519" s="151"/>
    </row>
    <row r="520" spans="1:11" x14ac:dyDescent="0.25">
      <c r="A520" s="149"/>
      <c r="B520" s="149"/>
      <c r="C520" s="145"/>
      <c r="D520" s="145"/>
      <c r="E520" s="146"/>
      <c r="F520" s="147"/>
      <c r="G520" s="147"/>
      <c r="H520" s="150"/>
      <c r="I520" s="150"/>
      <c r="J520" s="148"/>
      <c r="K520" s="151"/>
    </row>
    <row r="521" spans="1:11" x14ac:dyDescent="0.25">
      <c r="A521" s="149"/>
      <c r="B521" s="149"/>
      <c r="C521" s="145"/>
      <c r="D521" s="145"/>
      <c r="E521" s="146"/>
      <c r="F521" s="147"/>
      <c r="G521" s="147"/>
      <c r="H521" s="150"/>
      <c r="I521" s="150"/>
      <c r="J521" s="148"/>
      <c r="K521" s="151"/>
    </row>
    <row r="522" spans="1:11" x14ac:dyDescent="0.25">
      <c r="A522" s="149"/>
      <c r="B522" s="149"/>
      <c r="C522" s="145"/>
      <c r="D522" s="145"/>
      <c r="E522" s="146"/>
      <c r="F522" s="147"/>
      <c r="G522" s="147"/>
      <c r="H522" s="150"/>
      <c r="I522" s="150"/>
      <c r="J522" s="148"/>
      <c r="K522" s="151"/>
    </row>
    <row r="523" spans="1:11" x14ac:dyDescent="0.25">
      <c r="A523" s="149"/>
      <c r="B523" s="149"/>
      <c r="C523" s="145"/>
      <c r="D523" s="145"/>
      <c r="E523" s="146"/>
      <c r="F523" s="147"/>
      <c r="G523" s="147"/>
      <c r="H523" s="150"/>
      <c r="I523" s="150"/>
      <c r="J523" s="148"/>
      <c r="K523" s="151"/>
    </row>
    <row r="524" spans="1:11" x14ac:dyDescent="0.25">
      <c r="A524" s="149"/>
      <c r="B524" s="149"/>
      <c r="C524" s="145"/>
      <c r="D524" s="145"/>
      <c r="E524" s="146"/>
      <c r="F524" s="147"/>
      <c r="G524" s="147"/>
      <c r="H524" s="150"/>
      <c r="I524" s="150"/>
      <c r="J524" s="148"/>
      <c r="K524" s="151"/>
    </row>
    <row r="525" spans="1:11" x14ac:dyDescent="0.25">
      <c r="A525" s="149"/>
      <c r="B525" s="149"/>
      <c r="C525" s="145"/>
      <c r="D525" s="145"/>
      <c r="E525" s="146"/>
      <c r="F525" s="147"/>
      <c r="G525" s="147"/>
      <c r="H525" s="150"/>
      <c r="I525" s="150"/>
      <c r="J525" s="148"/>
      <c r="K525" s="151"/>
    </row>
    <row r="526" spans="1:11" x14ac:dyDescent="0.25">
      <c r="A526" s="149"/>
      <c r="B526" s="149"/>
      <c r="C526" s="145"/>
      <c r="D526" s="145"/>
      <c r="E526" s="146"/>
      <c r="F526" s="147"/>
      <c r="G526" s="147"/>
      <c r="H526" s="150"/>
      <c r="I526" s="150"/>
      <c r="J526" s="148"/>
      <c r="K526" s="151"/>
    </row>
    <row r="527" spans="1:11" x14ac:dyDescent="0.25">
      <c r="A527" s="149"/>
      <c r="B527" s="149"/>
      <c r="C527" s="145"/>
      <c r="D527" s="145"/>
      <c r="E527" s="146"/>
      <c r="F527" s="147"/>
      <c r="G527" s="147"/>
      <c r="H527" s="150"/>
      <c r="I527" s="150"/>
      <c r="J527" s="148"/>
      <c r="K527" s="151"/>
    </row>
    <row r="528" spans="1:11" x14ac:dyDescent="0.25">
      <c r="A528" s="149"/>
      <c r="B528" s="149"/>
      <c r="C528" s="145"/>
      <c r="D528" s="145"/>
      <c r="E528" s="146"/>
      <c r="F528" s="147"/>
      <c r="G528" s="147"/>
      <c r="H528" s="150"/>
      <c r="I528" s="150"/>
      <c r="J528" s="148"/>
      <c r="K528" s="151"/>
    </row>
    <row r="529" spans="1:11" x14ac:dyDescent="0.25">
      <c r="A529" s="149"/>
      <c r="B529" s="149"/>
      <c r="C529" s="145"/>
      <c r="D529" s="145"/>
      <c r="E529" s="146"/>
      <c r="F529" s="147"/>
      <c r="G529" s="147"/>
      <c r="H529" s="150"/>
      <c r="I529" s="150"/>
      <c r="J529" s="148"/>
      <c r="K529" s="151"/>
    </row>
    <row r="530" spans="1:11" x14ac:dyDescent="0.25">
      <c r="A530" s="149"/>
      <c r="B530" s="149"/>
      <c r="C530" s="145"/>
      <c r="D530" s="145"/>
      <c r="E530" s="146"/>
      <c r="F530" s="147"/>
      <c r="G530" s="147"/>
      <c r="H530" s="150"/>
      <c r="I530" s="150"/>
      <c r="J530" s="148"/>
      <c r="K530" s="151"/>
    </row>
    <row r="531" spans="1:11" x14ac:dyDescent="0.25">
      <c r="A531" s="149"/>
      <c r="B531" s="149"/>
      <c r="C531" s="145"/>
      <c r="D531" s="145"/>
      <c r="E531" s="146"/>
      <c r="F531" s="147"/>
      <c r="G531" s="147"/>
      <c r="H531" s="150"/>
      <c r="I531" s="150"/>
      <c r="J531" s="148"/>
      <c r="K531" s="151"/>
    </row>
    <row r="532" spans="1:11" x14ac:dyDescent="0.25">
      <c r="A532" s="149"/>
      <c r="B532" s="149"/>
      <c r="C532" s="145"/>
      <c r="D532" s="145"/>
      <c r="E532" s="146"/>
      <c r="F532" s="147"/>
      <c r="G532" s="147"/>
      <c r="H532" s="150"/>
      <c r="I532" s="150"/>
      <c r="J532" s="148"/>
      <c r="K532" s="151"/>
    </row>
    <row r="533" spans="1:11" x14ac:dyDescent="0.25">
      <c r="A533" s="149"/>
      <c r="B533" s="149"/>
      <c r="C533" s="145"/>
      <c r="D533" s="145"/>
      <c r="E533" s="146"/>
      <c r="F533" s="147"/>
      <c r="G533" s="147"/>
      <c r="H533" s="150"/>
      <c r="I533" s="150"/>
      <c r="J533" s="148"/>
      <c r="K533" s="151"/>
    </row>
    <row r="534" spans="1:11" x14ac:dyDescent="0.25">
      <c r="A534" s="149"/>
      <c r="B534" s="149"/>
      <c r="C534" s="145"/>
      <c r="D534" s="145"/>
      <c r="E534" s="146"/>
      <c r="F534" s="147"/>
      <c r="G534" s="147"/>
      <c r="H534" s="150"/>
      <c r="I534" s="150"/>
      <c r="J534" s="148"/>
      <c r="K534" s="151"/>
    </row>
    <row r="535" spans="1:11" x14ac:dyDescent="0.25">
      <c r="A535" s="149"/>
      <c r="B535" s="149"/>
      <c r="C535" s="145"/>
      <c r="D535" s="145"/>
      <c r="E535" s="146"/>
      <c r="F535" s="147"/>
      <c r="G535" s="147"/>
      <c r="H535" s="150"/>
      <c r="I535" s="150"/>
      <c r="J535" s="148"/>
      <c r="K535" s="151"/>
    </row>
    <row r="536" spans="1:11" x14ac:dyDescent="0.25">
      <c r="A536" s="149"/>
      <c r="B536" s="149"/>
      <c r="C536" s="145"/>
      <c r="D536" s="145"/>
      <c r="E536" s="146"/>
      <c r="F536" s="147"/>
      <c r="G536" s="147"/>
      <c r="H536" s="150"/>
      <c r="I536" s="150"/>
      <c r="J536" s="148"/>
      <c r="K536" s="151"/>
    </row>
    <row r="537" spans="1:11" x14ac:dyDescent="0.25">
      <c r="A537" s="149"/>
      <c r="B537" s="149"/>
      <c r="C537" s="145"/>
      <c r="D537" s="145"/>
      <c r="E537" s="146"/>
      <c r="F537" s="147"/>
      <c r="G537" s="147"/>
      <c r="H537" s="150"/>
      <c r="I537" s="150"/>
      <c r="J537" s="148"/>
      <c r="K537" s="151"/>
    </row>
    <row r="538" spans="1:11" x14ac:dyDescent="0.25">
      <c r="A538" s="149"/>
      <c r="B538" s="149"/>
      <c r="C538" s="145"/>
      <c r="D538" s="145"/>
      <c r="E538" s="146"/>
      <c r="F538" s="147"/>
      <c r="G538" s="147"/>
      <c r="H538" s="150"/>
      <c r="I538" s="150"/>
      <c r="J538" s="148"/>
      <c r="K538" s="151"/>
    </row>
    <row r="539" spans="1:11" x14ac:dyDescent="0.25">
      <c r="A539" s="149"/>
      <c r="B539" s="149"/>
      <c r="C539" s="145"/>
      <c r="D539" s="145"/>
      <c r="E539" s="146"/>
      <c r="F539" s="147"/>
      <c r="G539" s="147"/>
      <c r="H539" s="150"/>
      <c r="I539" s="150"/>
      <c r="J539" s="148"/>
      <c r="K539" s="151"/>
    </row>
    <row r="540" spans="1:11" x14ac:dyDescent="0.25">
      <c r="A540" s="149"/>
      <c r="B540" s="149"/>
      <c r="C540" s="145"/>
      <c r="D540" s="145"/>
      <c r="E540" s="146"/>
      <c r="F540" s="147"/>
      <c r="G540" s="147"/>
      <c r="H540" s="150"/>
      <c r="I540" s="150"/>
      <c r="J540" s="148"/>
      <c r="K540" s="151"/>
    </row>
    <row r="541" spans="1:11" x14ac:dyDescent="0.25">
      <c r="A541" s="149"/>
      <c r="B541" s="149"/>
      <c r="C541" s="145"/>
      <c r="D541" s="145"/>
      <c r="E541" s="146"/>
      <c r="F541" s="147"/>
      <c r="G541" s="147"/>
      <c r="H541" s="150"/>
      <c r="I541" s="150"/>
      <c r="J541" s="148"/>
      <c r="K541" s="151"/>
    </row>
    <row r="542" spans="1:11" x14ac:dyDescent="0.25">
      <c r="A542" s="149"/>
      <c r="B542" s="149"/>
      <c r="C542" s="145"/>
      <c r="D542" s="145"/>
      <c r="E542" s="146"/>
      <c r="F542" s="147"/>
      <c r="G542" s="147"/>
      <c r="H542" s="150"/>
      <c r="I542" s="150"/>
      <c r="J542" s="148"/>
      <c r="K542" s="151"/>
    </row>
    <row r="543" spans="1:11" x14ac:dyDescent="0.25">
      <c r="A543" s="149"/>
      <c r="B543" s="149"/>
      <c r="C543" s="145"/>
      <c r="D543" s="145"/>
      <c r="E543" s="146"/>
      <c r="F543" s="147"/>
      <c r="G543" s="147"/>
      <c r="H543" s="150"/>
      <c r="I543" s="150"/>
      <c r="J543" s="148"/>
      <c r="K543" s="151"/>
    </row>
    <row r="544" spans="1:11" x14ac:dyDescent="0.25">
      <c r="A544" s="149"/>
      <c r="B544" s="149"/>
      <c r="C544" s="145"/>
      <c r="D544" s="145"/>
      <c r="E544" s="146"/>
      <c r="F544" s="147"/>
      <c r="G544" s="147"/>
      <c r="H544" s="150"/>
      <c r="I544" s="150"/>
      <c r="J544" s="148"/>
      <c r="K544" s="151"/>
    </row>
    <row r="545" spans="1:11" x14ac:dyDescent="0.25">
      <c r="A545" s="149"/>
      <c r="B545" s="149"/>
      <c r="C545" s="145"/>
      <c r="D545" s="145"/>
      <c r="E545" s="146"/>
      <c r="F545" s="147"/>
      <c r="G545" s="147"/>
      <c r="H545" s="150"/>
      <c r="I545" s="150"/>
      <c r="J545" s="148"/>
      <c r="K545" s="151"/>
    </row>
    <row r="546" spans="1:11" x14ac:dyDescent="0.25">
      <c r="A546" s="149"/>
      <c r="B546" s="149"/>
      <c r="C546" s="145"/>
      <c r="D546" s="145"/>
      <c r="E546" s="146"/>
      <c r="F546" s="147"/>
      <c r="G546" s="147"/>
      <c r="H546" s="150"/>
      <c r="I546" s="150"/>
      <c r="J546" s="148"/>
      <c r="K546" s="151"/>
    </row>
    <row r="547" spans="1:11" x14ac:dyDescent="0.25">
      <c r="A547" s="149"/>
      <c r="B547" s="149"/>
      <c r="C547" s="145"/>
      <c r="D547" s="145"/>
      <c r="E547" s="146"/>
      <c r="F547" s="147"/>
      <c r="G547" s="147"/>
      <c r="H547" s="150"/>
      <c r="I547" s="150"/>
      <c r="J547" s="148"/>
      <c r="K547" s="151"/>
    </row>
    <row r="548" spans="1:11" x14ac:dyDescent="0.25">
      <c r="A548" s="149"/>
      <c r="B548" s="149"/>
      <c r="C548" s="145"/>
      <c r="D548" s="145"/>
      <c r="E548" s="146"/>
      <c r="F548" s="147"/>
      <c r="G548" s="147"/>
      <c r="H548" s="150"/>
      <c r="I548" s="150"/>
      <c r="J548" s="148"/>
      <c r="K548" s="151"/>
    </row>
    <row r="549" spans="1:11" x14ac:dyDescent="0.25">
      <c r="A549" s="149"/>
      <c r="B549" s="149"/>
      <c r="C549" s="145"/>
      <c r="D549" s="145"/>
      <c r="E549" s="146"/>
      <c r="F549" s="147"/>
      <c r="G549" s="147"/>
      <c r="H549" s="150"/>
      <c r="I549" s="150"/>
      <c r="J549" s="148"/>
      <c r="K549" s="151"/>
    </row>
    <row r="550" spans="1:11" x14ac:dyDescent="0.25">
      <c r="A550" s="149"/>
      <c r="B550" s="149"/>
      <c r="C550" s="145"/>
      <c r="D550" s="145"/>
      <c r="E550" s="146"/>
      <c r="F550" s="147"/>
      <c r="G550" s="147"/>
      <c r="H550" s="150"/>
      <c r="I550" s="150"/>
      <c r="J550" s="148"/>
      <c r="K550" s="151"/>
    </row>
    <row r="551" spans="1:11" x14ac:dyDescent="0.25">
      <c r="A551" s="149"/>
      <c r="B551" s="149"/>
      <c r="C551" s="145"/>
      <c r="D551" s="145"/>
      <c r="E551" s="146"/>
      <c r="F551" s="147"/>
      <c r="G551" s="147"/>
      <c r="H551" s="150"/>
      <c r="I551" s="150"/>
      <c r="J551" s="148"/>
      <c r="K551" s="151"/>
    </row>
    <row r="552" spans="1:11" x14ac:dyDescent="0.25">
      <c r="A552" s="149"/>
      <c r="B552" s="149"/>
      <c r="C552" s="145"/>
      <c r="D552" s="145"/>
      <c r="E552" s="146"/>
      <c r="F552" s="147"/>
      <c r="G552" s="147"/>
      <c r="H552" s="150"/>
      <c r="I552" s="150"/>
      <c r="J552" s="148"/>
      <c r="K552" s="151"/>
    </row>
    <row r="553" spans="1:11" x14ac:dyDescent="0.25">
      <c r="A553" s="149"/>
      <c r="B553" s="149"/>
      <c r="C553" s="145"/>
      <c r="D553" s="145"/>
      <c r="E553" s="146"/>
      <c r="F553" s="147"/>
      <c r="G553" s="147"/>
      <c r="H553" s="150"/>
      <c r="I553" s="150"/>
      <c r="J553" s="148"/>
      <c r="K553" s="151"/>
    </row>
    <row r="554" spans="1:11" x14ac:dyDescent="0.25">
      <c r="A554" s="149"/>
      <c r="B554" s="149"/>
      <c r="C554" s="145"/>
      <c r="D554" s="145"/>
      <c r="E554" s="146"/>
      <c r="F554" s="147"/>
      <c r="G554" s="147"/>
      <c r="H554" s="150"/>
      <c r="I554" s="150"/>
      <c r="J554" s="148"/>
      <c r="K554" s="151"/>
    </row>
    <row r="555" spans="1:11" x14ac:dyDescent="0.25">
      <c r="A555" s="149"/>
      <c r="B555" s="149"/>
      <c r="C555" s="145"/>
      <c r="D555" s="145"/>
      <c r="E555" s="146"/>
      <c r="F555" s="147"/>
      <c r="G555" s="147"/>
      <c r="H555" s="150"/>
      <c r="I555" s="150"/>
      <c r="J555" s="148"/>
      <c r="K555" s="151"/>
    </row>
    <row r="556" spans="1:11" x14ac:dyDescent="0.25">
      <c r="A556" s="149"/>
      <c r="B556" s="149"/>
      <c r="C556" s="145"/>
      <c r="D556" s="145"/>
      <c r="E556" s="146"/>
      <c r="F556" s="147"/>
      <c r="G556" s="147"/>
      <c r="H556" s="150"/>
      <c r="I556" s="150"/>
      <c r="J556" s="148"/>
      <c r="K556" s="151"/>
    </row>
    <row r="557" spans="1:11" x14ac:dyDescent="0.25">
      <c r="A557" s="149"/>
      <c r="B557" s="149"/>
      <c r="C557" s="145"/>
      <c r="D557" s="145"/>
      <c r="E557" s="146"/>
      <c r="F557" s="147"/>
      <c r="G557" s="147"/>
      <c r="H557" s="150"/>
      <c r="I557" s="150"/>
      <c r="J557" s="148"/>
      <c r="K557" s="151"/>
    </row>
    <row r="558" spans="1:11" x14ac:dyDescent="0.25">
      <c r="A558" s="149"/>
      <c r="B558" s="149"/>
      <c r="C558" s="145"/>
      <c r="D558" s="145"/>
      <c r="E558" s="146"/>
      <c r="F558" s="147"/>
      <c r="G558" s="147"/>
      <c r="H558" s="150"/>
      <c r="I558" s="150"/>
      <c r="J558" s="148"/>
      <c r="K558" s="151"/>
    </row>
    <row r="559" spans="1:11" x14ac:dyDescent="0.25">
      <c r="A559" s="149"/>
      <c r="B559" s="149"/>
      <c r="C559" s="145"/>
      <c r="D559" s="145"/>
      <c r="E559" s="146"/>
      <c r="F559" s="147"/>
      <c r="G559" s="147"/>
      <c r="H559" s="150"/>
      <c r="I559" s="150"/>
      <c r="J559" s="148"/>
      <c r="K559" s="151"/>
    </row>
    <row r="560" spans="1:11" x14ac:dyDescent="0.25">
      <c r="A560" s="149"/>
      <c r="B560" s="149"/>
      <c r="C560" s="145"/>
      <c r="D560" s="145"/>
      <c r="E560" s="146"/>
      <c r="F560" s="147"/>
      <c r="G560" s="147"/>
      <c r="H560" s="150"/>
      <c r="I560" s="150"/>
      <c r="J560" s="148"/>
      <c r="K560" s="151"/>
    </row>
    <row r="561" spans="1:11" x14ac:dyDescent="0.25">
      <c r="A561" s="149"/>
      <c r="B561" s="149"/>
      <c r="C561" s="145"/>
      <c r="D561" s="145"/>
      <c r="E561" s="146"/>
      <c r="F561" s="147"/>
      <c r="G561" s="147"/>
      <c r="H561" s="150"/>
      <c r="I561" s="150"/>
      <c r="J561" s="148"/>
      <c r="K561" s="151"/>
    </row>
    <row r="562" spans="1:11" x14ac:dyDescent="0.25">
      <c r="A562" s="149"/>
      <c r="B562" s="149"/>
      <c r="C562" s="145"/>
      <c r="D562" s="145"/>
      <c r="E562" s="146"/>
      <c r="F562" s="147"/>
      <c r="G562" s="147"/>
      <c r="H562" s="150"/>
      <c r="I562" s="150"/>
      <c r="J562" s="148"/>
      <c r="K562" s="151"/>
    </row>
    <row r="563" spans="1:11" x14ac:dyDescent="0.25">
      <c r="A563" s="149"/>
      <c r="B563" s="149"/>
      <c r="C563" s="145"/>
      <c r="D563" s="145"/>
      <c r="E563" s="146"/>
      <c r="F563" s="147"/>
      <c r="G563" s="147"/>
      <c r="H563" s="150"/>
      <c r="I563" s="150"/>
      <c r="J563" s="148"/>
      <c r="K563" s="151"/>
    </row>
    <row r="564" spans="1:11" x14ac:dyDescent="0.25">
      <c r="A564" s="149"/>
      <c r="B564" s="149"/>
      <c r="C564" s="145"/>
      <c r="D564" s="145"/>
      <c r="E564" s="146"/>
      <c r="F564" s="147"/>
      <c r="G564" s="147"/>
      <c r="H564" s="150"/>
      <c r="I564" s="150"/>
      <c r="J564" s="148"/>
      <c r="K564" s="151"/>
    </row>
    <row r="565" spans="1:11" x14ac:dyDescent="0.25">
      <c r="A565" s="149"/>
      <c r="B565" s="149"/>
      <c r="C565" s="145"/>
      <c r="D565" s="145"/>
      <c r="E565" s="146"/>
      <c r="F565" s="147"/>
      <c r="G565" s="147"/>
      <c r="H565" s="150"/>
      <c r="I565" s="150"/>
      <c r="J565" s="148"/>
      <c r="K565" s="151"/>
    </row>
    <row r="566" spans="1:11" x14ac:dyDescent="0.25">
      <c r="A566" s="149"/>
      <c r="B566" s="149"/>
      <c r="C566" s="145"/>
      <c r="D566" s="145"/>
      <c r="E566" s="146"/>
      <c r="F566" s="147"/>
      <c r="G566" s="147"/>
      <c r="H566" s="150"/>
      <c r="I566" s="150"/>
      <c r="J566" s="148"/>
      <c r="K566" s="151"/>
    </row>
    <row r="567" spans="1:11" x14ac:dyDescent="0.25">
      <c r="A567" s="149"/>
      <c r="B567" s="149"/>
      <c r="C567" s="145"/>
      <c r="D567" s="145"/>
      <c r="E567" s="146"/>
      <c r="F567" s="147"/>
      <c r="G567" s="147"/>
      <c r="H567" s="150"/>
      <c r="I567" s="150"/>
      <c r="J567" s="148"/>
      <c r="K567" s="151"/>
    </row>
    <row r="568" spans="1:11" x14ac:dyDescent="0.25">
      <c r="A568" s="149"/>
      <c r="B568" s="149"/>
      <c r="C568" s="145"/>
      <c r="D568" s="145"/>
      <c r="E568" s="146"/>
      <c r="F568" s="147"/>
      <c r="G568" s="147"/>
      <c r="H568" s="150"/>
      <c r="I568" s="150"/>
      <c r="J568" s="148"/>
      <c r="K568" s="151"/>
    </row>
    <row r="569" spans="1:11" x14ac:dyDescent="0.25">
      <c r="A569" s="149"/>
      <c r="B569" s="149"/>
      <c r="C569" s="145"/>
      <c r="D569" s="145"/>
      <c r="E569" s="146"/>
      <c r="F569" s="147"/>
      <c r="G569" s="147"/>
      <c r="H569" s="150"/>
      <c r="I569" s="150"/>
      <c r="J569" s="148"/>
      <c r="K569" s="151"/>
    </row>
    <row r="570" spans="1:11" x14ac:dyDescent="0.25">
      <c r="A570" s="149"/>
      <c r="B570" s="149"/>
      <c r="C570" s="145"/>
      <c r="D570" s="145"/>
      <c r="E570" s="146"/>
      <c r="F570" s="147"/>
      <c r="G570" s="147"/>
      <c r="H570" s="150"/>
      <c r="I570" s="150"/>
      <c r="J570" s="148"/>
      <c r="K570" s="151"/>
    </row>
    <row r="571" spans="1:11" x14ac:dyDescent="0.25">
      <c r="A571" s="149"/>
      <c r="B571" s="149"/>
      <c r="C571" s="145"/>
      <c r="D571" s="145"/>
      <c r="E571" s="146"/>
      <c r="F571" s="147"/>
      <c r="G571" s="147"/>
      <c r="H571" s="150"/>
      <c r="I571" s="150"/>
      <c r="J571" s="148"/>
      <c r="K571" s="151"/>
    </row>
    <row r="572" spans="1:11" x14ac:dyDescent="0.25">
      <c r="A572" s="149"/>
      <c r="B572" s="149"/>
      <c r="C572" s="145"/>
      <c r="D572" s="145"/>
      <c r="E572" s="146"/>
      <c r="F572" s="147"/>
      <c r="G572" s="147"/>
      <c r="H572" s="150"/>
      <c r="I572" s="150"/>
      <c r="J572" s="148"/>
      <c r="K572" s="151"/>
    </row>
    <row r="573" spans="1:11" x14ac:dyDescent="0.25">
      <c r="A573" s="149"/>
      <c r="B573" s="149"/>
      <c r="C573" s="145"/>
      <c r="D573" s="145"/>
      <c r="E573" s="146"/>
      <c r="F573" s="147"/>
      <c r="G573" s="147"/>
      <c r="H573" s="150"/>
      <c r="I573" s="150"/>
      <c r="J573" s="148"/>
      <c r="K573" s="151"/>
    </row>
    <row r="574" spans="1:11" x14ac:dyDescent="0.25">
      <c r="A574" s="149"/>
      <c r="B574" s="149"/>
      <c r="C574" s="145"/>
      <c r="D574" s="145"/>
      <c r="E574" s="146"/>
      <c r="F574" s="147"/>
      <c r="G574" s="147"/>
      <c r="H574" s="150"/>
      <c r="I574" s="150"/>
      <c r="J574" s="148"/>
      <c r="K574" s="151"/>
    </row>
    <row r="575" spans="1:11" x14ac:dyDescent="0.25">
      <c r="A575" s="149"/>
      <c r="B575" s="149"/>
      <c r="C575" s="145"/>
      <c r="D575" s="145"/>
      <c r="E575" s="146"/>
      <c r="F575" s="147"/>
      <c r="G575" s="147"/>
      <c r="H575" s="150"/>
      <c r="I575" s="150"/>
      <c r="J575" s="148"/>
      <c r="K575" s="151"/>
    </row>
    <row r="576" spans="1:11" x14ac:dyDescent="0.25">
      <c r="A576" s="149"/>
      <c r="B576" s="149"/>
      <c r="C576" s="145"/>
      <c r="D576" s="145"/>
      <c r="E576" s="146"/>
      <c r="F576" s="147"/>
      <c r="G576" s="147"/>
      <c r="H576" s="150"/>
      <c r="I576" s="150"/>
      <c r="J576" s="148"/>
      <c r="K576" s="151"/>
    </row>
    <row r="577" spans="1:11" x14ac:dyDescent="0.25">
      <c r="A577" s="149"/>
      <c r="B577" s="149"/>
      <c r="C577" s="145"/>
      <c r="D577" s="145"/>
      <c r="E577" s="146"/>
      <c r="F577" s="147"/>
      <c r="G577" s="147"/>
      <c r="H577" s="150"/>
      <c r="I577" s="150"/>
      <c r="J577" s="148"/>
      <c r="K577" s="151"/>
    </row>
    <row r="578" spans="1:11" x14ac:dyDescent="0.25">
      <c r="A578" s="149"/>
      <c r="B578" s="149"/>
      <c r="C578" s="145"/>
      <c r="D578" s="145"/>
      <c r="E578" s="146"/>
      <c r="F578" s="147"/>
      <c r="G578" s="147"/>
      <c r="H578" s="150"/>
      <c r="I578" s="150"/>
      <c r="J578" s="148"/>
      <c r="K578" s="151"/>
    </row>
    <row r="579" spans="1:11" x14ac:dyDescent="0.25">
      <c r="A579" s="149"/>
      <c r="B579" s="149"/>
      <c r="C579" s="145"/>
      <c r="D579" s="145"/>
      <c r="E579" s="146"/>
      <c r="F579" s="147"/>
      <c r="G579" s="147"/>
      <c r="H579" s="150"/>
      <c r="I579" s="150"/>
      <c r="J579" s="148"/>
      <c r="K579" s="151"/>
    </row>
    <row r="580" spans="1:11" x14ac:dyDescent="0.25">
      <c r="A580" s="149"/>
      <c r="B580" s="149"/>
      <c r="C580" s="145"/>
      <c r="D580" s="145"/>
      <c r="E580" s="146"/>
      <c r="F580" s="147"/>
      <c r="G580" s="147"/>
      <c r="H580" s="150"/>
      <c r="I580" s="150"/>
      <c r="J580" s="148"/>
      <c r="K580" s="151"/>
    </row>
    <row r="581" spans="1:11" x14ac:dyDescent="0.25">
      <c r="A581" s="149"/>
      <c r="B581" s="149"/>
      <c r="C581" s="145"/>
      <c r="D581" s="145"/>
      <c r="E581" s="146"/>
      <c r="F581" s="147"/>
      <c r="G581" s="147"/>
      <c r="H581" s="150"/>
      <c r="I581" s="150"/>
      <c r="J581" s="148"/>
      <c r="K581" s="151"/>
    </row>
    <row r="582" spans="1:11" x14ac:dyDescent="0.25">
      <c r="A582" s="149"/>
      <c r="B582" s="149"/>
      <c r="C582" s="145"/>
      <c r="D582" s="145"/>
      <c r="E582" s="146"/>
      <c r="F582" s="147"/>
      <c r="G582" s="147"/>
      <c r="H582" s="150"/>
      <c r="I582" s="150"/>
      <c r="J582" s="148"/>
      <c r="K582" s="151"/>
    </row>
    <row r="583" spans="1:11" x14ac:dyDescent="0.25">
      <c r="A583" s="149"/>
      <c r="B583" s="149"/>
      <c r="C583" s="145"/>
      <c r="D583" s="145"/>
      <c r="E583" s="146"/>
      <c r="F583" s="147"/>
      <c r="G583" s="147"/>
      <c r="H583" s="150"/>
      <c r="I583" s="150"/>
      <c r="J583" s="148"/>
      <c r="K583" s="151"/>
    </row>
    <row r="584" spans="1:11" x14ac:dyDescent="0.25">
      <c r="A584" s="149"/>
      <c r="B584" s="149"/>
      <c r="C584" s="145"/>
      <c r="D584" s="145"/>
      <c r="E584" s="146"/>
      <c r="F584" s="147"/>
      <c r="G584" s="147"/>
      <c r="H584" s="150"/>
      <c r="I584" s="150"/>
      <c r="J584" s="148"/>
      <c r="K584" s="151"/>
    </row>
    <row r="585" spans="1:11" x14ac:dyDescent="0.25">
      <c r="A585" s="149"/>
      <c r="B585" s="149"/>
      <c r="C585" s="145"/>
      <c r="D585" s="145"/>
      <c r="E585" s="146"/>
      <c r="F585" s="147"/>
      <c r="G585" s="147"/>
      <c r="H585" s="150"/>
      <c r="I585" s="150"/>
      <c r="J585" s="148"/>
      <c r="K585" s="151"/>
    </row>
    <row r="586" spans="1:11" x14ac:dyDescent="0.25">
      <c r="A586" s="149"/>
      <c r="B586" s="149"/>
      <c r="C586" s="145"/>
      <c r="D586" s="145"/>
      <c r="E586" s="146"/>
      <c r="F586" s="147"/>
      <c r="G586" s="147"/>
      <c r="H586" s="150"/>
      <c r="I586" s="150"/>
      <c r="J586" s="148"/>
      <c r="K586" s="151"/>
    </row>
    <row r="587" spans="1:11" x14ac:dyDescent="0.25">
      <c r="A587" s="149"/>
      <c r="B587" s="149"/>
      <c r="C587" s="145"/>
      <c r="D587" s="145"/>
      <c r="E587" s="146"/>
      <c r="F587" s="147"/>
      <c r="G587" s="147"/>
      <c r="H587" s="150"/>
      <c r="I587" s="150"/>
      <c r="J587" s="148"/>
      <c r="K587" s="151"/>
    </row>
    <row r="588" spans="1:11" x14ac:dyDescent="0.25">
      <c r="A588" s="149"/>
      <c r="B588" s="149"/>
      <c r="C588" s="145"/>
      <c r="D588" s="145"/>
      <c r="E588" s="146"/>
      <c r="F588" s="147"/>
      <c r="G588" s="147"/>
      <c r="H588" s="150"/>
      <c r="I588" s="150"/>
      <c r="J588" s="148"/>
      <c r="K588" s="151"/>
    </row>
    <row r="589" spans="1:11" x14ac:dyDescent="0.25">
      <c r="A589" s="149"/>
      <c r="B589" s="149"/>
      <c r="C589" s="145"/>
      <c r="D589" s="145"/>
      <c r="E589" s="146"/>
      <c r="F589" s="147"/>
      <c r="G589" s="147"/>
      <c r="H589" s="150"/>
      <c r="I589" s="150"/>
      <c r="J589" s="148"/>
      <c r="K589" s="151"/>
    </row>
    <row r="590" spans="1:11" x14ac:dyDescent="0.25">
      <c r="A590" s="149"/>
      <c r="B590" s="149"/>
      <c r="C590" s="145"/>
      <c r="D590" s="145"/>
      <c r="E590" s="146"/>
      <c r="F590" s="147"/>
      <c r="G590" s="147"/>
      <c r="H590" s="150"/>
      <c r="I590" s="150"/>
      <c r="J590" s="148"/>
      <c r="K590" s="151"/>
    </row>
    <row r="591" spans="1:11" x14ac:dyDescent="0.25">
      <c r="A591" s="149"/>
      <c r="B591" s="149"/>
      <c r="C591" s="145"/>
      <c r="D591" s="145"/>
      <c r="E591" s="146"/>
      <c r="F591" s="147"/>
      <c r="G591" s="147"/>
      <c r="H591" s="150"/>
      <c r="I591" s="150"/>
      <c r="J591" s="148"/>
      <c r="K591" s="151"/>
    </row>
    <row r="592" spans="1:11" x14ac:dyDescent="0.25">
      <c r="A592" s="149"/>
      <c r="B592" s="149"/>
      <c r="C592" s="145"/>
      <c r="D592" s="145"/>
      <c r="E592" s="146"/>
      <c r="F592" s="147"/>
      <c r="G592" s="147"/>
      <c r="H592" s="150"/>
      <c r="I592" s="150"/>
      <c r="J592" s="148"/>
      <c r="K592" s="151"/>
    </row>
    <row r="593" spans="1:11" x14ac:dyDescent="0.25">
      <c r="A593" s="149"/>
      <c r="B593" s="149"/>
      <c r="C593" s="145"/>
      <c r="D593" s="145"/>
      <c r="E593" s="146"/>
      <c r="F593" s="147"/>
      <c r="G593" s="147"/>
      <c r="H593" s="150"/>
      <c r="I593" s="150"/>
      <c r="J593" s="148"/>
      <c r="K593" s="151"/>
    </row>
    <row r="594" spans="1:11" x14ac:dyDescent="0.25">
      <c r="A594" s="149"/>
      <c r="B594" s="149"/>
      <c r="C594" s="145"/>
      <c r="D594" s="145"/>
      <c r="E594" s="146"/>
      <c r="F594" s="147"/>
      <c r="G594" s="147"/>
      <c r="H594" s="150"/>
      <c r="I594" s="150"/>
      <c r="J594" s="148"/>
      <c r="K594" s="151"/>
    </row>
    <row r="595" spans="1:11" x14ac:dyDescent="0.25">
      <c r="A595" s="149"/>
      <c r="B595" s="149"/>
      <c r="C595" s="145"/>
      <c r="D595" s="145"/>
      <c r="E595" s="146"/>
      <c r="F595" s="147"/>
      <c r="G595" s="147"/>
      <c r="H595" s="150"/>
      <c r="I595" s="150"/>
      <c r="J595" s="148"/>
      <c r="K595" s="151"/>
    </row>
    <row r="596" spans="1:11" x14ac:dyDescent="0.25">
      <c r="A596" s="149"/>
      <c r="B596" s="149"/>
      <c r="C596" s="145"/>
      <c r="D596" s="145"/>
      <c r="E596" s="146"/>
      <c r="F596" s="147"/>
      <c r="G596" s="147"/>
      <c r="H596" s="150"/>
      <c r="I596" s="150"/>
      <c r="J596" s="148"/>
      <c r="K596" s="151"/>
    </row>
    <row r="597" spans="1:11" x14ac:dyDescent="0.25">
      <c r="A597" s="149"/>
      <c r="B597" s="149"/>
      <c r="C597" s="145"/>
      <c r="D597" s="145"/>
      <c r="E597" s="146"/>
      <c r="F597" s="147"/>
      <c r="G597" s="147"/>
      <c r="H597" s="150"/>
      <c r="I597" s="150"/>
      <c r="J597" s="148"/>
      <c r="K597" s="151"/>
    </row>
    <row r="598" spans="1:11" x14ac:dyDescent="0.25">
      <c r="A598" s="149"/>
      <c r="B598" s="149"/>
      <c r="C598" s="145"/>
      <c r="D598" s="145"/>
      <c r="E598" s="146"/>
      <c r="F598" s="147"/>
      <c r="G598" s="147"/>
      <c r="H598" s="150"/>
      <c r="I598" s="150"/>
      <c r="J598" s="148"/>
      <c r="K598" s="151"/>
    </row>
    <row r="599" spans="1:11" x14ac:dyDescent="0.25">
      <c r="A599" s="149"/>
      <c r="B599" s="149"/>
      <c r="C599" s="145"/>
      <c r="D599" s="145"/>
      <c r="E599" s="146"/>
      <c r="F599" s="147"/>
      <c r="G599" s="147"/>
      <c r="H599" s="150"/>
      <c r="I599" s="150"/>
      <c r="J599" s="148"/>
      <c r="K599" s="151"/>
    </row>
    <row r="600" spans="1:11" x14ac:dyDescent="0.25">
      <c r="A600" s="149"/>
      <c r="B600" s="149"/>
      <c r="C600" s="145"/>
      <c r="D600" s="145"/>
      <c r="E600" s="146"/>
      <c r="F600" s="147"/>
      <c r="G600" s="147"/>
      <c r="H600" s="150"/>
      <c r="I600" s="150"/>
      <c r="J600" s="148"/>
      <c r="K600" s="151"/>
    </row>
    <row r="601" spans="1:11" x14ac:dyDescent="0.25">
      <c r="A601" s="149"/>
      <c r="B601" s="149"/>
      <c r="C601" s="145"/>
      <c r="D601" s="145"/>
      <c r="E601" s="146"/>
      <c r="F601" s="147"/>
      <c r="G601" s="147"/>
      <c r="H601" s="150"/>
      <c r="I601" s="150"/>
      <c r="J601" s="148"/>
      <c r="K601" s="151"/>
    </row>
    <row r="602" spans="1:11" x14ac:dyDescent="0.25">
      <c r="A602" s="149"/>
      <c r="B602" s="149"/>
      <c r="C602" s="145"/>
      <c r="D602" s="145"/>
      <c r="E602" s="146"/>
      <c r="F602" s="147"/>
      <c r="G602" s="147"/>
      <c r="H602" s="150"/>
      <c r="I602" s="150"/>
      <c r="J602" s="148"/>
      <c r="K602" s="151"/>
    </row>
    <row r="603" spans="1:11" x14ac:dyDescent="0.25">
      <c r="A603" s="149"/>
      <c r="B603" s="149"/>
      <c r="C603" s="145"/>
      <c r="D603" s="145"/>
      <c r="E603" s="146"/>
      <c r="F603" s="147"/>
      <c r="G603" s="147"/>
      <c r="H603" s="150"/>
      <c r="I603" s="150"/>
      <c r="J603" s="148"/>
      <c r="K603" s="151"/>
    </row>
    <row r="604" spans="1:11" x14ac:dyDescent="0.25">
      <c r="A604" s="149"/>
      <c r="B604" s="149"/>
      <c r="C604" s="145"/>
      <c r="D604" s="145"/>
      <c r="E604" s="146"/>
      <c r="F604" s="147"/>
      <c r="G604" s="147"/>
      <c r="H604" s="150"/>
      <c r="I604" s="150"/>
      <c r="J604" s="148"/>
      <c r="K604" s="151"/>
    </row>
    <row r="605" spans="1:11" x14ac:dyDescent="0.25">
      <c r="A605" s="149"/>
      <c r="B605" s="149"/>
      <c r="C605" s="145"/>
      <c r="D605" s="145"/>
      <c r="E605" s="146"/>
      <c r="F605" s="147"/>
      <c r="G605" s="147"/>
      <c r="H605" s="150"/>
      <c r="I605" s="150"/>
      <c r="J605" s="148"/>
      <c r="K605" s="151"/>
    </row>
    <row r="606" spans="1:11" x14ac:dyDescent="0.25">
      <c r="A606" s="149"/>
      <c r="B606" s="149"/>
      <c r="C606" s="145"/>
      <c r="D606" s="145"/>
      <c r="E606" s="146"/>
      <c r="F606" s="147"/>
      <c r="G606" s="147"/>
      <c r="H606" s="150"/>
      <c r="I606" s="150"/>
      <c r="J606" s="148"/>
      <c r="K606" s="151"/>
    </row>
    <row r="607" spans="1:11" x14ac:dyDescent="0.25">
      <c r="A607" s="149"/>
      <c r="B607" s="149"/>
      <c r="C607" s="145"/>
      <c r="D607" s="145"/>
      <c r="E607" s="146"/>
      <c r="F607" s="147"/>
      <c r="G607" s="147"/>
      <c r="H607" s="150"/>
      <c r="I607" s="150"/>
      <c r="J607" s="148"/>
      <c r="K607" s="151"/>
    </row>
    <row r="608" spans="1:11" x14ac:dyDescent="0.25">
      <c r="A608" s="149"/>
      <c r="B608" s="149"/>
      <c r="C608" s="145"/>
      <c r="D608" s="145"/>
      <c r="E608" s="146"/>
      <c r="F608" s="147"/>
      <c r="G608" s="147"/>
      <c r="H608" s="150"/>
      <c r="I608" s="150"/>
      <c r="J608" s="148"/>
      <c r="K608" s="151"/>
    </row>
    <row r="609" spans="1:11" x14ac:dyDescent="0.25">
      <c r="A609" s="149"/>
      <c r="B609" s="149"/>
      <c r="C609" s="145"/>
      <c r="D609" s="145"/>
      <c r="E609" s="146"/>
      <c r="F609" s="147"/>
      <c r="G609" s="147"/>
      <c r="H609" s="150"/>
      <c r="I609" s="150"/>
      <c r="J609" s="148"/>
      <c r="K609" s="151"/>
    </row>
    <row r="610" spans="1:11" x14ac:dyDescent="0.25">
      <c r="A610" s="149"/>
      <c r="B610" s="149"/>
      <c r="C610" s="145"/>
      <c r="D610" s="145"/>
      <c r="E610" s="146"/>
      <c r="F610" s="147"/>
      <c r="G610" s="147"/>
      <c r="H610" s="150"/>
      <c r="I610" s="150"/>
      <c r="J610" s="148"/>
      <c r="K610" s="151"/>
    </row>
  </sheetData>
  <autoFilter ref="A10:K33" xr:uid="{F5B34228-BA47-497E-B8DF-99DAEFF04BDA}">
    <filterColumn colId="2">
      <filters>
        <filter val="REPASSES"/>
      </filters>
    </filterColumn>
  </autoFilter>
  <mergeCells count="4">
    <mergeCell ref="D2:E3"/>
    <mergeCell ref="F2:H3"/>
    <mergeCell ref="A4:K5"/>
    <mergeCell ref="A6:K6"/>
  </mergeCells>
  <conditionalFormatting sqref="K11:K441">
    <cfRule type="cellIs" dxfId="0" priority="1" operator="lessThan">
      <formula>0</formula>
    </cfRule>
  </conditionalFormatting>
  <dataValidations count="1">
    <dataValidation type="list" allowBlank="1" showInputMessage="1" showErrorMessage="1" sqref="B8" xr:uid="{1C2E85AA-4F8D-4982-B5FE-14B9664F859E}">
      <formula1>CONGREGACOES</formula1>
    </dataValidation>
  </dataValidations>
  <pageMargins left="0.25" right="0.25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piar_Saídas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Selecionar_Imprimir02">
                <anchor moveWithCells="1" sizeWithCells="1">
                  <from>
                    <xdr:col>8</xdr:col>
                    <xdr:colOff>619125</xdr:colOff>
                    <xdr:row>0</xdr:row>
                    <xdr:rowOff>28575</xdr:rowOff>
                  </from>
                  <to>
                    <xdr:col>10</xdr:col>
                    <xdr:colOff>742950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>
    <tabColor theme="1" tint="4.9989318521683403E-2"/>
  </sheetPr>
  <dimension ref="A1:N21"/>
  <sheetViews>
    <sheetView workbookViewId="0"/>
  </sheetViews>
  <sheetFormatPr defaultRowHeight="15" x14ac:dyDescent="0.25"/>
  <cols>
    <col min="1" max="1" width="24.42578125" customWidth="1"/>
    <col min="2" max="2" width="2.28515625" style="6" customWidth="1"/>
    <col min="3" max="3" width="28.5703125" customWidth="1"/>
    <col min="4" max="4" width="2.28515625" style="6" customWidth="1"/>
    <col min="5" max="5" width="22.28515625" customWidth="1"/>
    <col min="6" max="6" width="2.28515625" style="6" customWidth="1"/>
    <col min="7" max="7" width="22.28515625" customWidth="1"/>
    <col min="8" max="8" width="2.28515625" style="6" customWidth="1"/>
    <col min="9" max="9" width="22.28515625" customWidth="1"/>
    <col min="10" max="10" width="2.28515625" style="6" customWidth="1"/>
    <col min="11" max="11" width="22.28515625" customWidth="1"/>
    <col min="12" max="12" width="2.28515625" style="6" customWidth="1"/>
    <col min="13" max="13" width="22.28515625" customWidth="1"/>
    <col min="14" max="14" width="2.28515625" style="6" customWidth="1"/>
    <col min="15" max="15" width="22.28515625" customWidth="1"/>
  </cols>
  <sheetData>
    <row r="1" spans="1:13" x14ac:dyDescent="0.25">
      <c r="A1" s="9" t="s">
        <v>14</v>
      </c>
      <c r="B1" s="9"/>
      <c r="C1" s="9" t="s">
        <v>61</v>
      </c>
      <c r="D1" s="9"/>
      <c r="E1" s="9" t="s">
        <v>79</v>
      </c>
      <c r="F1" s="9"/>
      <c r="G1" s="9"/>
      <c r="H1" s="9"/>
      <c r="I1" s="9"/>
      <c r="J1" s="9"/>
      <c r="K1" s="9"/>
      <c r="L1" s="9"/>
      <c r="M1" s="9"/>
    </row>
    <row r="2" spans="1:13" x14ac:dyDescent="0.25">
      <c r="A2" t="s">
        <v>15</v>
      </c>
      <c r="C2" t="s">
        <v>86</v>
      </c>
      <c r="E2" s="123" t="s">
        <v>80</v>
      </c>
    </row>
    <row r="3" spans="1:13" x14ac:dyDescent="0.25">
      <c r="A3" t="s">
        <v>28</v>
      </c>
      <c r="C3" t="s">
        <v>87</v>
      </c>
      <c r="E3" s="123"/>
    </row>
    <row r="4" spans="1:13" x14ac:dyDescent="0.25">
      <c r="A4" t="s">
        <v>23</v>
      </c>
      <c r="C4" t="s">
        <v>88</v>
      </c>
      <c r="E4" s="123"/>
    </row>
    <row r="5" spans="1:13" x14ac:dyDescent="0.25">
      <c r="A5" t="s">
        <v>22</v>
      </c>
      <c r="C5" t="s">
        <v>89</v>
      </c>
      <c r="E5" s="123"/>
    </row>
    <row r="6" spans="1:13" x14ac:dyDescent="0.25">
      <c r="A6" t="s">
        <v>19</v>
      </c>
      <c r="C6" t="s">
        <v>90</v>
      </c>
    </row>
    <row r="7" spans="1:13" x14ac:dyDescent="0.25">
      <c r="A7" t="s">
        <v>24</v>
      </c>
      <c r="C7" t="s">
        <v>91</v>
      </c>
    </row>
    <row r="8" spans="1:13" x14ac:dyDescent="0.25">
      <c r="A8" t="s">
        <v>27</v>
      </c>
      <c r="C8" t="s">
        <v>92</v>
      </c>
    </row>
    <row r="9" spans="1:13" x14ac:dyDescent="0.25">
      <c r="A9" t="s">
        <v>30</v>
      </c>
      <c r="C9" t="s">
        <v>93</v>
      </c>
    </row>
    <row r="10" spans="1:13" x14ac:dyDescent="0.25">
      <c r="A10" t="s">
        <v>409</v>
      </c>
      <c r="C10" t="s">
        <v>94</v>
      </c>
    </row>
    <row r="11" spans="1:13" x14ac:dyDescent="0.25">
      <c r="A11" t="s">
        <v>31</v>
      </c>
    </row>
    <row r="12" spans="1:13" x14ac:dyDescent="0.25">
      <c r="A12" t="s">
        <v>25</v>
      </c>
    </row>
    <row r="13" spans="1:13" x14ac:dyDescent="0.25">
      <c r="A13" t="s">
        <v>16</v>
      </c>
    </row>
    <row r="14" spans="1:13" x14ac:dyDescent="0.25">
      <c r="A14" t="s">
        <v>26</v>
      </c>
    </row>
    <row r="15" spans="1:13" x14ac:dyDescent="0.25">
      <c r="A15" t="s">
        <v>32</v>
      </c>
    </row>
    <row r="16" spans="1:13" x14ac:dyDescent="0.25">
      <c r="A16" t="s">
        <v>20</v>
      </c>
    </row>
    <row r="17" spans="1:1" x14ac:dyDescent="0.25">
      <c r="A17" t="s">
        <v>18</v>
      </c>
    </row>
    <row r="18" spans="1:1" x14ac:dyDescent="0.25">
      <c r="A18" t="s">
        <v>54</v>
      </c>
    </row>
    <row r="19" spans="1:1" x14ac:dyDescent="0.25">
      <c r="A19" t="s">
        <v>21</v>
      </c>
    </row>
    <row r="20" spans="1:1" x14ac:dyDescent="0.25">
      <c r="A20" t="s">
        <v>29</v>
      </c>
    </row>
    <row r="21" spans="1:1" x14ac:dyDescent="0.25">
      <c r="A21" t="s">
        <v>17</v>
      </c>
    </row>
  </sheetData>
  <sortState ref="A2:A21">
    <sortCondition ref="A21"/>
  </sortState>
  <mergeCells count="1">
    <mergeCell ref="E2:E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CADASTROS</vt:lpstr>
      <vt:lpstr>REPASSES</vt:lpstr>
      <vt:lpstr>ENTRADAS</vt:lpstr>
      <vt:lpstr>SAÍDAS</vt:lpstr>
      <vt:lpstr>GRÁFICOS</vt:lpstr>
      <vt:lpstr>RELATÓRIO_DÍZIMO</vt:lpstr>
      <vt:lpstr>RELATÓRIO_SAÍDAS</vt:lpstr>
      <vt:lpstr>CONFIGS</vt:lpstr>
      <vt:lpstr>CONGREGACOES</vt:lpstr>
      <vt:lpstr>rngVal</vt:lpstr>
      <vt:lpstr>TIPOSAÍDA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Elton Paulo Dobrovoliski</dc:creator>
  <cp:lastModifiedBy>Ivanildo Junior</cp:lastModifiedBy>
  <cp:lastPrinted>2017-10-05T12:54:43Z</cp:lastPrinted>
  <dcterms:created xsi:type="dcterms:W3CDTF">2017-08-06T03:23:41Z</dcterms:created>
  <dcterms:modified xsi:type="dcterms:W3CDTF">2017-10-05T23:54:51Z</dcterms:modified>
</cp:coreProperties>
</file>