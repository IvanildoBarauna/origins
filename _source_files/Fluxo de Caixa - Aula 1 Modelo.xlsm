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766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D:\Junior &amp; Cris\Documents\1 ARQUIVOS DO EXCEL\MEUS PROJETOS\"/>
    </mc:Choice>
  </mc:AlternateContent>
  <bookViews>
    <workbookView xWindow="0" yWindow="0" windowWidth="24000" windowHeight="9510" tabRatio="704"/>
  </bookViews>
  <sheets>
    <sheet name="Caixa" sheetId="6" r:id="rId1"/>
    <sheet name="Taxas" sheetId="4" r:id="rId2"/>
    <sheet name="BDProduto" sheetId="9" r:id="rId3"/>
    <sheet name="BDFluxoCaixa" sheetId="10" r:id="rId4"/>
  </sheets>
  <calcPr calcId="171027"/>
</workbook>
</file>

<file path=xl/calcChain.xml><?xml version="1.0" encoding="utf-8"?>
<calcChain xmlns="http://schemas.openxmlformats.org/spreadsheetml/2006/main">
  <c r="I7" i="6" l="1"/>
  <c r="G7" i="6"/>
  <c r="E7" i="6"/>
  <c r="E10" i="6" l="1"/>
  <c r="G13" i="6" s="1"/>
  <c r="L14" i="6"/>
  <c r="E13" i="6" l="1"/>
</calcChain>
</file>

<file path=xl/sharedStrings.xml><?xml version="1.0" encoding="utf-8"?>
<sst xmlns="http://schemas.openxmlformats.org/spreadsheetml/2006/main" count="89" uniqueCount="61">
  <si>
    <t>Formas de medidas</t>
  </si>
  <si>
    <t>Estabelecimento</t>
  </si>
  <si>
    <t>Venda ou outros</t>
  </si>
  <si>
    <t>Bandeiras</t>
  </si>
  <si>
    <t>Débito</t>
  </si>
  <si>
    <t>Crédito à vista</t>
  </si>
  <si>
    <t>Unidade</t>
  </si>
  <si>
    <t>Atacado</t>
  </si>
  <si>
    <t>Venda Direta</t>
  </si>
  <si>
    <t>Dinheiro</t>
  </si>
  <si>
    <t>Kilograma</t>
  </si>
  <si>
    <t>Varigista</t>
  </si>
  <si>
    <t>Matéria Prima</t>
  </si>
  <si>
    <t>Visa</t>
  </si>
  <si>
    <t>Litros</t>
  </si>
  <si>
    <t xml:space="preserve">Gráfica </t>
  </si>
  <si>
    <t>Estrutural</t>
  </si>
  <si>
    <t>Mastercard</t>
  </si>
  <si>
    <t>Metros</t>
  </si>
  <si>
    <t>Marceneiro</t>
  </si>
  <si>
    <t>Sérviço</t>
  </si>
  <si>
    <t>Hipercad</t>
  </si>
  <si>
    <t>Centimetros</t>
  </si>
  <si>
    <t>Detetizador</t>
  </si>
  <si>
    <t>sicred</t>
  </si>
  <si>
    <t>Gamas</t>
  </si>
  <si>
    <t>Material de construção</t>
  </si>
  <si>
    <t>VRRefeição</t>
  </si>
  <si>
    <t>Sodex</t>
  </si>
  <si>
    <t>Codigo do Produto</t>
  </si>
  <si>
    <t>Nome do Produto</t>
  </si>
  <si>
    <t>Unidade de Medida</t>
  </si>
  <si>
    <t>ValorUnitarioVenda</t>
  </si>
  <si>
    <t>Quantidade</t>
  </si>
  <si>
    <t>Forma de Pagamento</t>
  </si>
  <si>
    <t>Parcelas</t>
  </si>
  <si>
    <t>Subtotal</t>
  </si>
  <si>
    <t>Valor Pago</t>
  </si>
  <si>
    <t>Troco</t>
  </si>
  <si>
    <t>Total</t>
  </si>
  <si>
    <t>Pagamento</t>
  </si>
  <si>
    <t>Data</t>
  </si>
  <si>
    <t>Bandeira</t>
  </si>
  <si>
    <t>CodProduto</t>
  </si>
  <si>
    <t>NomeProduto</t>
  </si>
  <si>
    <t>UnidadeMedida</t>
  </si>
  <si>
    <t>Categoria</t>
  </si>
  <si>
    <t>juquinha</t>
  </si>
  <si>
    <t>Arroz Saboroso</t>
  </si>
  <si>
    <t>Oleo de Soja</t>
  </si>
  <si>
    <t>Feijão Saboroso</t>
  </si>
  <si>
    <t>Extrato de Tomate</t>
  </si>
  <si>
    <t>Leite em pó itambe</t>
  </si>
  <si>
    <t>Drops Freegells</t>
  </si>
  <si>
    <t>CodCaixa</t>
  </si>
  <si>
    <t>TipoEntrada</t>
  </si>
  <si>
    <t>ValorTotal</t>
  </si>
  <si>
    <t>Parcela</t>
  </si>
  <si>
    <t>Crédito</t>
  </si>
  <si>
    <t/>
  </si>
  <si>
    <t>Valor Unitario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</si>
</sst>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&quot;R$&quot;\ * #,##0.00_-;\-&quot;R$&quot;\ * #,##0.00_-;_-&quot;R$&quot;\ * &quot;-&quot;??_-;_-@_-"/>
    <numFmt numFmtId="164" formatCode="d/m/yy\ h:mm;@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49998474074526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theme="0" tint="-0.34998626667073579"/>
      </left>
      <right/>
      <top style="dotted">
        <color theme="0" tint="-0.34998626667073579"/>
      </top>
      <bottom/>
      <diagonal/>
    </border>
    <border>
      <left/>
      <right/>
      <top style="dotted">
        <color theme="0" tint="-0.34998626667073579"/>
      </top>
      <bottom/>
      <diagonal/>
    </border>
    <border>
      <left/>
      <right style="dotted">
        <color theme="0" tint="-0.34998626667073579"/>
      </right>
      <top style="dotted">
        <color theme="0" tint="-0.34998626667073579"/>
      </top>
      <bottom/>
      <diagonal/>
    </border>
    <border>
      <left style="dotted">
        <color theme="0" tint="-0.34998626667073579"/>
      </left>
      <right/>
      <top/>
      <bottom/>
      <diagonal/>
    </border>
    <border>
      <left/>
      <right style="dotted">
        <color theme="0" tint="-0.34998626667073579"/>
      </right>
      <top/>
      <bottom/>
      <diagonal/>
    </border>
    <border>
      <left style="dotted">
        <color theme="0" tint="-0.34998626667073579"/>
      </left>
      <right/>
      <top/>
      <bottom style="dotted">
        <color theme="0" tint="-0.34998626667073579"/>
      </bottom>
      <diagonal/>
    </border>
    <border>
      <left/>
      <right/>
      <top/>
      <bottom style="dotted">
        <color theme="0" tint="-0.34998626667073579"/>
      </bottom>
      <diagonal/>
    </border>
    <border>
      <left/>
      <right style="dotted">
        <color theme="0" tint="-0.34998626667073579"/>
      </right>
      <top/>
      <bottom style="dotted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/>
      <right style="double">
        <color auto="1"/>
      </right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6">
    <xf numFmtId="0" fontId="0" fillId="0" borderId="0" xfId="0"/>
    <xf numFmtId="0" fontId="0" fillId="0" borderId="1" xfId="0" applyBorder="1"/>
    <xf numFmtId="0" fontId="0" fillId="0" borderId="1" xfId="0" applyFill="1" applyBorder="1"/>
    <xf numFmtId="9" fontId="0" fillId="0" borderId="1" xfId="2" applyFont="1" applyBorder="1"/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0" fillId="0" borderId="0" xfId="0" applyFont="1"/>
    <xf numFmtId="0" fontId="2" fillId="2" borderId="1" xfId="0" applyFont="1" applyFill="1" applyBorder="1"/>
    <xf numFmtId="0" fontId="2" fillId="2" borderId="1" xfId="0" applyFont="1" applyFill="1" applyBorder="1" applyAlignment="1">
      <alignment vertical="center" wrapText="1"/>
    </xf>
    <xf numFmtId="0" fontId="0" fillId="3" borderId="10" xfId="0" applyFill="1" applyBorder="1"/>
    <xf numFmtId="44" fontId="0" fillId="3" borderId="10" xfId="1" applyFont="1" applyFill="1" applyBorder="1"/>
    <xf numFmtId="0" fontId="0" fillId="0" borderId="10" xfId="0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0" xfId="0" applyFill="1" applyBorder="1"/>
    <xf numFmtId="0" fontId="0" fillId="4" borderId="6" xfId="0" applyFill="1" applyBorder="1"/>
    <xf numFmtId="0" fontId="0" fillId="4" borderId="0" xfId="0" applyFill="1"/>
    <xf numFmtId="0" fontId="0" fillId="4" borderId="7" xfId="0" applyFill="1" applyBorder="1"/>
    <xf numFmtId="0" fontId="0" fillId="4" borderId="8" xfId="0" applyFill="1" applyBorder="1"/>
    <xf numFmtId="22" fontId="3" fillId="4" borderId="9" xfId="0" applyNumberFormat="1" applyFont="1" applyFill="1" applyBorder="1"/>
    <xf numFmtId="44" fontId="0" fillId="0" borderId="10" xfId="1" applyFont="1" applyFill="1" applyBorder="1"/>
    <xf numFmtId="0" fontId="4" fillId="5" borderId="11" xfId="0" applyFont="1" applyFill="1" applyBorder="1" applyAlignment="1">
      <alignment horizontal="center"/>
    </xf>
    <xf numFmtId="0" fontId="0" fillId="0" borderId="12" xfId="0" applyBorder="1"/>
    <xf numFmtId="44" fontId="0" fillId="0" borderId="0" xfId="1" applyFont="1"/>
    <xf numFmtId="164" fontId="0" fillId="0" borderId="0" xfId="0" applyNumberFormat="1"/>
    <xf numFmtId="0" fontId="0" fillId="4" borderId="6" xfId="0" quotePrefix="1" applyFill="1" applyBorder="1"/>
    <xf numFmtId="44" fontId="0" fillId="0" borderId="12" xfId="1" applyFont="1" applyBorder="1"/>
    <xf numFmtId="22" fontId="0" fillId="0" borderId="12" xfId="0" applyNumberFormat="1" applyBorder="1"/>
    <xf numFmtId="0" fontId="5" fillId="6" borderId="0" xfId="0" applyFont="1" applyFill="1" applyAlignment="1">
      <alignment horizontal="center"/>
    </xf>
    <xf numFmtId="0" fontId="0" fillId="0" borderId="0" xfId="0" applyAlignment="1">
      <alignment horizontal="center"/>
    </xf>
    <xf numFmtId="44" fontId="0" fillId="0" borderId="0" xfId="0" applyNumberFormat="1" applyAlignment="1">
      <alignment horizontal="center"/>
    </xf>
    <xf numFmtId="164" fontId="5" fillId="6" borderId="0" xfId="0" applyNumberFormat="1" applyFont="1" applyFill="1" applyAlignment="1">
      <alignment horizontal="center"/>
    </xf>
    <xf numFmtId="44" fontId="0" fillId="0" borderId="0" xfId="1" applyFont="1" applyAlignment="1">
      <alignment horizontal="center"/>
    </xf>
    <xf numFmtId="164" fontId="0" fillId="0" borderId="0" xfId="0" applyNumberFormat="1" applyAlignment="1">
      <alignment horizontal="center"/>
    </xf>
  </cellXfs>
  <cellStyles count="3">
    <cellStyle name="Moeda" xfId="1" builtinId="4"/>
    <cellStyle name="Normal" xfId="0" builtinId="0"/>
    <cellStyle name="Porcentagem" xfId="2" builtinId="5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228600</xdr:colOff>
      <xdr:row>0</xdr:row>
      <xdr:rowOff>47625</xdr:rowOff>
    </xdr:from>
    <xdr:to>
      <xdr:col>12</xdr:col>
      <xdr:colOff>238125</xdr:colOff>
      <xdr:row>4</xdr:row>
      <xdr:rowOff>123825</xdr:rowOff>
    </xdr:to>
    <xdr:sp macro="" textlink="">
      <xdr:nvSpPr>
        <xdr:cNvPr id="3" name="Retângulo de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228600" y="47625"/>
          <a:ext cx="10420350" cy="838200"/>
        </a:xfrm>
        <a:prstGeom prst="roundRect">
          <a:avLst/>
        </a:prstGeom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48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Sistema Caixa</a:t>
          </a:r>
        </a:p>
      </xdr:txBody>
    </xdr:sp>
    <xdr:clientData/>
  </xdr:twoCellAnchor>
  <xdr:twoCellAnchor editAs="absolute">
    <xdr:from>
      <xdr:col>9</xdr:col>
      <xdr:colOff>561975</xdr:colOff>
      <xdr:row>9</xdr:row>
      <xdr:rowOff>0</xdr:rowOff>
    </xdr:from>
    <xdr:to>
      <xdr:col>10</xdr:col>
      <xdr:colOff>825561</xdr:colOff>
      <xdr:row>10</xdr:row>
      <xdr:rowOff>112835</xdr:rowOff>
    </xdr:to>
    <xdr:sp macro="" textlink="">
      <xdr:nvSpPr>
        <xdr:cNvPr id="4" name="Retângulo de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7943850" y="1743075"/>
          <a:ext cx="1111311" cy="31286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+ </a:t>
          </a:r>
          <a:r>
            <a:rPr lang="pt-BR" sz="1100" b="1"/>
            <a:t>PRODUTOS</a:t>
          </a:r>
        </a:p>
      </xdr:txBody>
    </xdr:sp>
    <xdr:clientData/>
  </xdr:twoCellAnchor>
  <xdr:twoCellAnchor editAs="absolute">
    <xdr:from>
      <xdr:col>9</xdr:col>
      <xdr:colOff>542925</xdr:colOff>
      <xdr:row>12</xdr:row>
      <xdr:rowOff>28575</xdr:rowOff>
    </xdr:from>
    <xdr:to>
      <xdr:col>10</xdr:col>
      <xdr:colOff>807600</xdr:colOff>
      <xdr:row>13</xdr:row>
      <xdr:rowOff>141750</xdr:rowOff>
    </xdr:to>
    <xdr:sp macro="" textlink="">
      <xdr:nvSpPr>
        <xdr:cNvPr id="5" name="Retângulo de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7924800" y="2362200"/>
          <a:ext cx="1112400" cy="313200"/>
        </a:xfrm>
        <a:prstGeom prst="roundRect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FINALIZAR</a:t>
          </a:r>
          <a:endParaRPr lang="pt-BR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zCaixa"/>
  <dimension ref="B6:L63"/>
  <sheetViews>
    <sheetView showGridLines="0" tabSelected="1" zoomScaleNormal="100" workbookViewId="0">
      <selection activeCell="C7" sqref="C7"/>
    </sheetView>
  </sheetViews>
  <sheetFormatPr defaultRowHeight="15" x14ac:dyDescent="0.25"/>
  <cols>
    <col min="1" max="1" width="4.7109375" customWidth="1"/>
    <col min="2" max="2" width="2.5703125" customWidth="1"/>
    <col min="3" max="3" width="17.7109375" bestFit="1" customWidth="1"/>
    <col min="4" max="4" width="2" customWidth="1"/>
    <col min="5" max="5" width="29.7109375" customWidth="1"/>
    <col min="6" max="6" width="12.140625" customWidth="1"/>
    <col min="7" max="7" width="20" bestFit="1" customWidth="1"/>
    <col min="8" max="8" width="3" customWidth="1"/>
    <col min="9" max="9" width="18.85546875" bestFit="1" customWidth="1"/>
    <col min="10" max="10" width="12.7109375" customWidth="1"/>
    <col min="11" max="11" width="16.85546875" bestFit="1" customWidth="1"/>
    <col min="12" max="12" width="15.85546875" customWidth="1"/>
  </cols>
  <sheetData>
    <row r="6" spans="2:12" ht="15.75" thickBot="1" x14ac:dyDescent="0.3">
      <c r="B6" s="12"/>
      <c r="C6" s="13" t="s">
        <v>29</v>
      </c>
      <c r="D6" s="13"/>
      <c r="E6" s="13" t="s">
        <v>30</v>
      </c>
      <c r="F6" s="13"/>
      <c r="G6" s="13" t="s">
        <v>31</v>
      </c>
      <c r="H6" s="13"/>
      <c r="I6" s="13" t="s">
        <v>60</v>
      </c>
      <c r="J6" s="13"/>
      <c r="K6" s="13"/>
      <c r="L6" s="14"/>
    </row>
    <row r="7" spans="2:12" ht="15.75" thickBot="1" x14ac:dyDescent="0.3">
      <c r="B7" s="15"/>
      <c r="C7" s="11">
        <v>7</v>
      </c>
      <c r="D7" s="16"/>
      <c r="E7" s="9" t="str">
        <f>IFERROR(VLOOKUP(C7,BDProduto!A:E,2,0),"")</f>
        <v>Drops Freegells</v>
      </c>
      <c r="F7" s="16"/>
      <c r="G7" s="9" t="str">
        <f>IFERROR(VLOOKUP(C7,BDProduto!A:E,3,0),"")</f>
        <v>Unidade</v>
      </c>
      <c r="H7" s="16"/>
      <c r="I7" s="10">
        <f>IFERROR(VLOOKUP(C7,BDProduto!A:E,4,0),"")</f>
        <v>0.40749999999999997</v>
      </c>
      <c r="J7" s="16"/>
      <c r="K7" s="16"/>
      <c r="L7" s="27" t="s">
        <v>59</v>
      </c>
    </row>
    <row r="8" spans="2:12" x14ac:dyDescent="0.25">
      <c r="B8" s="15"/>
      <c r="C8" s="16"/>
      <c r="D8" s="16"/>
      <c r="E8" s="16"/>
      <c r="F8" s="16"/>
      <c r="G8" s="16"/>
      <c r="H8" s="16"/>
      <c r="I8" s="16"/>
      <c r="J8" s="16"/>
      <c r="K8" s="16"/>
      <c r="L8" s="17"/>
    </row>
    <row r="9" spans="2:12" ht="15.75" thickBot="1" x14ac:dyDescent="0.3">
      <c r="B9" s="15"/>
      <c r="C9" s="16" t="s">
        <v>33</v>
      </c>
      <c r="D9" s="16"/>
      <c r="E9" s="16" t="s">
        <v>36</v>
      </c>
      <c r="F9" s="16"/>
      <c r="G9" s="16" t="s">
        <v>34</v>
      </c>
      <c r="H9" s="16"/>
      <c r="I9" s="16" t="s">
        <v>35</v>
      </c>
      <c r="J9" s="16"/>
      <c r="K9" s="16"/>
      <c r="L9" s="17"/>
    </row>
    <row r="10" spans="2:12" ht="15.75" thickBot="1" x14ac:dyDescent="0.3">
      <c r="B10" s="15"/>
      <c r="C10" s="11"/>
      <c r="D10" s="16"/>
      <c r="E10" s="10" t="str">
        <f>IFERROR(IF(C10="","",C10*I7),"")</f>
        <v/>
      </c>
      <c r="F10" s="16"/>
      <c r="G10" s="11"/>
      <c r="H10" s="16"/>
      <c r="I10" s="11"/>
      <c r="J10" s="16"/>
      <c r="K10" s="16"/>
      <c r="L10" s="17"/>
    </row>
    <row r="11" spans="2:12" x14ac:dyDescent="0.25">
      <c r="B11" s="15"/>
      <c r="C11" s="16"/>
      <c r="D11" s="16"/>
      <c r="E11" s="16"/>
      <c r="F11" s="16"/>
      <c r="G11" s="18"/>
      <c r="H11" s="18"/>
      <c r="I11" s="18"/>
      <c r="J11" s="16"/>
      <c r="K11" s="16"/>
      <c r="L11" s="17"/>
    </row>
    <row r="12" spans="2:12" ht="15.75" thickBot="1" x14ac:dyDescent="0.3">
      <c r="B12" s="15"/>
      <c r="C12" s="16" t="s">
        <v>37</v>
      </c>
      <c r="D12" s="16"/>
      <c r="E12" s="16" t="s">
        <v>38</v>
      </c>
      <c r="F12" s="18"/>
      <c r="G12" s="16" t="s">
        <v>39</v>
      </c>
      <c r="H12" s="16"/>
      <c r="I12" s="16" t="s">
        <v>42</v>
      </c>
      <c r="J12" s="16"/>
      <c r="K12" s="16"/>
      <c r="L12" s="17"/>
    </row>
    <row r="13" spans="2:12" ht="15.75" thickBot="1" x14ac:dyDescent="0.3">
      <c r="B13" s="15"/>
      <c r="C13" s="22">
        <v>1</v>
      </c>
      <c r="D13" s="16"/>
      <c r="E13" s="10" t="str">
        <f>IFERROR(IF(C13="","",C13-E10),"")</f>
        <v/>
      </c>
      <c r="F13" s="18"/>
      <c r="G13" s="10" t="str">
        <f>IF(SUM(F20:F94)=0,E10,SUM(F20:F94))</f>
        <v/>
      </c>
      <c r="H13" s="16"/>
      <c r="I13" s="11"/>
      <c r="J13" s="16"/>
      <c r="K13" s="16"/>
      <c r="L13" s="17"/>
    </row>
    <row r="14" spans="2:12" x14ac:dyDescent="0.25">
      <c r="B14" s="19"/>
      <c r="C14" s="20"/>
      <c r="D14" s="20"/>
      <c r="E14" s="20"/>
      <c r="F14" s="20"/>
      <c r="G14" s="20"/>
      <c r="H14" s="20"/>
      <c r="I14" s="20"/>
      <c r="J14" s="20"/>
      <c r="K14" s="20"/>
      <c r="L14" s="21">
        <f ca="1">NOW()</f>
        <v>42778.9701599537</v>
      </c>
    </row>
    <row r="18" spans="2:12" ht="15.75" thickBot="1" x14ac:dyDescent="0.3"/>
    <row r="19" spans="2:12" ht="15.75" thickBot="1" x14ac:dyDescent="0.3">
      <c r="B19" s="23"/>
      <c r="C19" s="23" t="s">
        <v>29</v>
      </c>
      <c r="D19" s="23"/>
      <c r="E19" s="23" t="s">
        <v>30</v>
      </c>
      <c r="F19" s="23" t="s">
        <v>39</v>
      </c>
      <c r="G19" s="23" t="s">
        <v>33</v>
      </c>
      <c r="H19" s="23"/>
      <c r="I19" s="23" t="s">
        <v>40</v>
      </c>
      <c r="J19" s="23" t="s">
        <v>35</v>
      </c>
      <c r="K19" s="23" t="s">
        <v>41</v>
      </c>
      <c r="L19" s="23" t="s">
        <v>42</v>
      </c>
    </row>
    <row r="20" spans="2:12" ht="15.75" thickTop="1" x14ac:dyDescent="0.25">
      <c r="C20" s="24"/>
      <c r="E20" s="24"/>
      <c r="F20" s="28"/>
      <c r="G20" s="24"/>
      <c r="I20" s="24"/>
      <c r="J20" s="24"/>
      <c r="K20" s="29"/>
      <c r="L20" s="24"/>
    </row>
    <row r="21" spans="2:12" x14ac:dyDescent="0.25">
      <c r="C21" s="24"/>
      <c r="E21" s="24"/>
      <c r="F21" s="28"/>
      <c r="G21" s="24"/>
      <c r="I21" s="24"/>
      <c r="J21" s="24"/>
      <c r="K21" s="29"/>
      <c r="L21" s="24"/>
    </row>
    <row r="22" spans="2:12" x14ac:dyDescent="0.25">
      <c r="C22" s="24"/>
      <c r="E22" s="24"/>
      <c r="F22" s="28"/>
      <c r="G22" s="24"/>
      <c r="I22" s="24"/>
      <c r="J22" s="24"/>
      <c r="K22" s="29"/>
      <c r="L22" s="24"/>
    </row>
    <row r="23" spans="2:12" x14ac:dyDescent="0.25">
      <c r="C23" s="24"/>
      <c r="E23" s="24"/>
      <c r="F23" s="28"/>
      <c r="G23" s="24"/>
      <c r="I23" s="24"/>
      <c r="J23" s="24"/>
      <c r="K23" s="24"/>
      <c r="L23" s="24"/>
    </row>
    <row r="24" spans="2:12" x14ac:dyDescent="0.25">
      <c r="C24" s="24"/>
      <c r="E24" s="24"/>
      <c r="F24" s="28"/>
      <c r="G24" s="24"/>
      <c r="I24" s="24"/>
      <c r="J24" s="24"/>
      <c r="K24" s="24"/>
      <c r="L24" s="24"/>
    </row>
    <row r="25" spans="2:12" x14ac:dyDescent="0.25">
      <c r="C25" s="24"/>
      <c r="E25" s="24"/>
      <c r="F25" s="28"/>
      <c r="G25" s="24"/>
      <c r="I25" s="24"/>
      <c r="J25" s="24"/>
      <c r="K25" s="24"/>
      <c r="L25" s="24"/>
    </row>
    <row r="26" spans="2:12" x14ac:dyDescent="0.25">
      <c r="C26" s="24"/>
      <c r="E26" s="24"/>
      <c r="F26" s="28"/>
      <c r="G26" s="24"/>
      <c r="I26" s="24"/>
      <c r="J26" s="24"/>
      <c r="K26" s="24"/>
      <c r="L26" s="24"/>
    </row>
    <row r="27" spans="2:12" x14ac:dyDescent="0.25">
      <c r="C27" s="24"/>
      <c r="E27" s="24"/>
      <c r="F27" s="28"/>
      <c r="G27" s="24"/>
      <c r="I27" s="24"/>
      <c r="J27" s="24"/>
      <c r="K27" s="24"/>
      <c r="L27" s="24"/>
    </row>
    <row r="28" spans="2:12" x14ac:dyDescent="0.25">
      <c r="C28" s="24"/>
      <c r="E28" s="24"/>
      <c r="F28" s="28"/>
      <c r="G28" s="24"/>
      <c r="I28" s="24"/>
      <c r="J28" s="24"/>
      <c r="K28" s="24"/>
      <c r="L28" s="24"/>
    </row>
    <row r="29" spans="2:12" x14ac:dyDescent="0.25">
      <c r="C29" s="24"/>
      <c r="E29" s="24"/>
      <c r="F29" s="28"/>
      <c r="G29" s="24"/>
      <c r="I29" s="24"/>
      <c r="J29" s="24"/>
      <c r="K29" s="24"/>
      <c r="L29" s="24"/>
    </row>
    <row r="30" spans="2:12" x14ac:dyDescent="0.25">
      <c r="F30" s="25"/>
    </row>
    <row r="31" spans="2:12" x14ac:dyDescent="0.25">
      <c r="F31" s="25"/>
    </row>
    <row r="32" spans="2:12" x14ac:dyDescent="0.25">
      <c r="F32" s="25"/>
    </row>
    <row r="33" spans="6:6" x14ac:dyDescent="0.25">
      <c r="F33" s="25"/>
    </row>
    <row r="34" spans="6:6" x14ac:dyDescent="0.25">
      <c r="F34" s="25"/>
    </row>
    <row r="35" spans="6:6" x14ac:dyDescent="0.25">
      <c r="F35" s="25"/>
    </row>
    <row r="36" spans="6:6" x14ac:dyDescent="0.25">
      <c r="F36" s="25"/>
    </row>
    <row r="37" spans="6:6" x14ac:dyDescent="0.25">
      <c r="F37" s="25"/>
    </row>
    <row r="38" spans="6:6" x14ac:dyDescent="0.25">
      <c r="F38" s="25"/>
    </row>
    <row r="39" spans="6:6" x14ac:dyDescent="0.25">
      <c r="F39" s="25"/>
    </row>
    <row r="40" spans="6:6" x14ac:dyDescent="0.25">
      <c r="F40" s="25"/>
    </row>
    <row r="41" spans="6:6" x14ac:dyDescent="0.25">
      <c r="F41" s="25"/>
    </row>
    <row r="42" spans="6:6" x14ac:dyDescent="0.25">
      <c r="F42" s="25"/>
    </row>
    <row r="43" spans="6:6" x14ac:dyDescent="0.25">
      <c r="F43" s="25"/>
    </row>
    <row r="44" spans="6:6" x14ac:dyDescent="0.25">
      <c r="F44" s="25"/>
    </row>
    <row r="45" spans="6:6" x14ac:dyDescent="0.25">
      <c r="F45" s="25"/>
    </row>
    <row r="46" spans="6:6" x14ac:dyDescent="0.25">
      <c r="F46" s="25"/>
    </row>
    <row r="47" spans="6:6" x14ac:dyDescent="0.25">
      <c r="F47" s="25"/>
    </row>
    <row r="48" spans="6:6" x14ac:dyDescent="0.25">
      <c r="F48" s="25"/>
    </row>
    <row r="49" spans="6:6" x14ac:dyDescent="0.25">
      <c r="F49" s="25"/>
    </row>
    <row r="50" spans="6:6" x14ac:dyDescent="0.25">
      <c r="F50" s="25"/>
    </row>
    <row r="51" spans="6:6" x14ac:dyDescent="0.25">
      <c r="F51" s="25"/>
    </row>
    <row r="52" spans="6:6" x14ac:dyDescent="0.25">
      <c r="F52" s="25"/>
    </row>
    <row r="53" spans="6:6" x14ac:dyDescent="0.25">
      <c r="F53" s="25"/>
    </row>
    <row r="54" spans="6:6" x14ac:dyDescent="0.25">
      <c r="F54" s="25"/>
    </row>
    <row r="55" spans="6:6" x14ac:dyDescent="0.25">
      <c r="F55" s="25"/>
    </row>
    <row r="56" spans="6:6" x14ac:dyDescent="0.25">
      <c r="F56" s="25"/>
    </row>
    <row r="57" spans="6:6" x14ac:dyDescent="0.25">
      <c r="F57" s="25"/>
    </row>
    <row r="58" spans="6:6" x14ac:dyDescent="0.25">
      <c r="F58" s="25"/>
    </row>
    <row r="59" spans="6:6" x14ac:dyDescent="0.25">
      <c r="F59" s="25"/>
    </row>
    <row r="60" spans="6:6" x14ac:dyDescent="0.25">
      <c r="F60" s="25"/>
    </row>
    <row r="61" spans="6:6" x14ac:dyDescent="0.25">
      <c r="F61" s="25"/>
    </row>
    <row r="62" spans="6:6" x14ac:dyDescent="0.25">
      <c r="F62" s="25"/>
    </row>
    <row r="63" spans="6:6" x14ac:dyDescent="0.25">
      <c r="F63" s="25"/>
    </row>
  </sheetData>
  <conditionalFormatting sqref="E13">
    <cfRule type="cellIs" dxfId="0" priority="1" operator="lessThan">
      <formula>0</formula>
    </cfRule>
  </conditionalFormatting>
  <dataValidations count="1">
    <dataValidation type="list" allowBlank="1" showInputMessage="1" showErrorMessage="1" sqref="G10">
      <formula1>"Dinheiro,Debito,Cartão"</formula1>
    </dataValidation>
  </dataValidations>
  <pageMargins left="0.511811024" right="0.511811024" top="0.78740157499999996" bottom="0.78740157499999996" header="0.31496062000000002" footer="0.31496062000000002"/>
  <pageSetup paperSize="9" orientation="portrait" copies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Taxas!$K$2:$K$8</xm:f>
          </x14:formula1>
          <xm:sqref>I10</xm:sqref>
        </x14:dataValidation>
        <x14:dataValidation type="list" allowBlank="1" showInputMessage="1" showErrorMessage="1">
          <x14:formula1>
            <xm:f>Taxas!$A$3:$A$8</xm:f>
          </x14:formula1>
          <xm:sqref>I13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zTaxas"/>
  <dimension ref="A1:K8"/>
  <sheetViews>
    <sheetView showGridLines="0" workbookViewId="0">
      <selection activeCell="K3" sqref="K3"/>
    </sheetView>
  </sheetViews>
  <sheetFormatPr defaultRowHeight="15" x14ac:dyDescent="0.25"/>
  <cols>
    <col min="1" max="1" width="11.140625" bestFit="1" customWidth="1"/>
    <col min="2" max="2" width="7" bestFit="1" customWidth="1"/>
    <col min="3" max="3" width="13.7109375" bestFit="1" customWidth="1"/>
    <col min="5" max="5" width="23.5703125" bestFit="1" customWidth="1"/>
    <col min="7" max="7" width="21.5703125" bestFit="1" customWidth="1"/>
    <col min="9" max="9" width="22.28515625" customWidth="1"/>
  </cols>
  <sheetData>
    <row r="1" spans="1:11" x14ac:dyDescent="0.25">
      <c r="A1" s="4" t="s">
        <v>3</v>
      </c>
      <c r="B1" s="4" t="s">
        <v>4</v>
      </c>
      <c r="C1" s="5" t="s">
        <v>5</v>
      </c>
      <c r="D1" s="6"/>
      <c r="E1" s="7" t="s">
        <v>0</v>
      </c>
      <c r="F1" s="6"/>
      <c r="G1" s="7" t="s">
        <v>1</v>
      </c>
      <c r="H1" s="6"/>
      <c r="I1" s="8" t="s">
        <v>2</v>
      </c>
      <c r="K1" s="7" t="s">
        <v>35</v>
      </c>
    </row>
    <row r="2" spans="1:11" x14ac:dyDescent="0.25">
      <c r="A2" s="2" t="s">
        <v>9</v>
      </c>
      <c r="B2" s="3">
        <v>0</v>
      </c>
      <c r="C2" s="3">
        <v>0</v>
      </c>
      <c r="E2" s="1" t="s">
        <v>6</v>
      </c>
      <c r="G2" s="1" t="s">
        <v>7</v>
      </c>
      <c r="I2" s="1" t="s">
        <v>8</v>
      </c>
      <c r="K2" s="1">
        <v>1</v>
      </c>
    </row>
    <row r="3" spans="1:11" x14ac:dyDescent="0.25">
      <c r="A3" s="1" t="s">
        <v>13</v>
      </c>
      <c r="B3" s="3">
        <v>3.4000000000000002E-2</v>
      </c>
      <c r="C3" s="3">
        <v>4.4999999999999998E-2</v>
      </c>
      <c r="E3" s="1" t="s">
        <v>10</v>
      </c>
      <c r="G3" s="1" t="s">
        <v>11</v>
      </c>
      <c r="I3" s="1" t="s">
        <v>12</v>
      </c>
      <c r="K3" s="1">
        <v>2</v>
      </c>
    </row>
    <row r="4" spans="1:11" x14ac:dyDescent="0.25">
      <c r="A4" s="1" t="s">
        <v>17</v>
      </c>
      <c r="B4" s="3">
        <v>3.4000000000000002E-2</v>
      </c>
      <c r="C4" s="3">
        <v>4.4999999999999998E-2</v>
      </c>
      <c r="E4" s="1" t="s">
        <v>14</v>
      </c>
      <c r="G4" s="1" t="s">
        <v>15</v>
      </c>
      <c r="I4" s="1" t="s">
        <v>16</v>
      </c>
      <c r="K4" s="1">
        <v>3</v>
      </c>
    </row>
    <row r="5" spans="1:11" x14ac:dyDescent="0.25">
      <c r="A5" s="1" t="s">
        <v>21</v>
      </c>
      <c r="B5" s="3">
        <v>3.4000000000000002E-2</v>
      </c>
      <c r="C5" s="3">
        <v>4.4999999999999998E-2</v>
      </c>
      <c r="E5" s="1" t="s">
        <v>18</v>
      </c>
      <c r="G5" s="1" t="s">
        <v>19</v>
      </c>
      <c r="I5" s="1" t="s">
        <v>20</v>
      </c>
      <c r="K5" s="1">
        <v>4</v>
      </c>
    </row>
    <row r="6" spans="1:11" x14ac:dyDescent="0.25">
      <c r="A6" s="1" t="s">
        <v>24</v>
      </c>
      <c r="B6" s="3">
        <v>3.4000000000000002E-2</v>
      </c>
      <c r="C6" s="3">
        <v>4.4999999999999998E-2</v>
      </c>
      <c r="E6" s="1" t="s">
        <v>22</v>
      </c>
      <c r="G6" s="1" t="s">
        <v>23</v>
      </c>
      <c r="K6" s="1">
        <v>5</v>
      </c>
    </row>
    <row r="7" spans="1:11" x14ac:dyDescent="0.25">
      <c r="A7" s="1" t="s">
        <v>27</v>
      </c>
      <c r="B7" s="3">
        <v>3.4000000000000002E-2</v>
      </c>
      <c r="C7" s="3">
        <v>4.4999999999999998E-2</v>
      </c>
      <c r="E7" s="2" t="s">
        <v>25</v>
      </c>
      <c r="G7" s="1" t="s">
        <v>26</v>
      </c>
      <c r="K7" s="1">
        <v>6</v>
      </c>
    </row>
    <row r="8" spans="1:11" x14ac:dyDescent="0.25">
      <c r="A8" s="1" t="s">
        <v>28</v>
      </c>
      <c r="B8" s="3">
        <v>3.4000000000000002E-2</v>
      </c>
      <c r="C8" s="3">
        <v>4.4999999999999998E-2</v>
      </c>
      <c r="K8" s="1">
        <v>7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zBDProd"/>
  <dimension ref="A1:E8"/>
  <sheetViews>
    <sheetView workbookViewId="0">
      <selection activeCell="D2" sqref="D2"/>
    </sheetView>
  </sheetViews>
  <sheetFormatPr defaultRowHeight="15" x14ac:dyDescent="0.25"/>
  <cols>
    <col min="1" max="1" width="11.5703125" customWidth="1"/>
    <col min="2" max="2" width="17.28515625" customWidth="1"/>
    <col min="3" max="3" width="18.5703125" customWidth="1"/>
    <col min="4" max="4" width="13.42578125" customWidth="1"/>
    <col min="5" max="5" width="13.5703125" customWidth="1"/>
  </cols>
  <sheetData>
    <row r="1" spans="1:5" x14ac:dyDescent="0.25">
      <c r="A1" s="30" t="s">
        <v>43</v>
      </c>
      <c r="B1" s="30" t="s">
        <v>44</v>
      </c>
      <c r="C1" s="30" t="s">
        <v>45</v>
      </c>
      <c r="D1" s="30" t="s">
        <v>32</v>
      </c>
      <c r="E1" s="30" t="s">
        <v>46</v>
      </c>
    </row>
    <row r="2" spans="1:5" x14ac:dyDescent="0.25">
      <c r="A2" s="31">
        <v>1</v>
      </c>
      <c r="B2" s="31" t="s">
        <v>47</v>
      </c>
      <c r="C2" s="31" t="s">
        <v>6</v>
      </c>
      <c r="D2" s="32">
        <v>1</v>
      </c>
      <c r="E2" s="31" t="s">
        <v>8</v>
      </c>
    </row>
    <row r="3" spans="1:5" x14ac:dyDescent="0.25">
      <c r="A3" s="31">
        <v>2</v>
      </c>
      <c r="B3" s="31" t="s">
        <v>48</v>
      </c>
      <c r="C3" s="31" t="s">
        <v>10</v>
      </c>
      <c r="D3" s="32">
        <v>2.2800000000000002</v>
      </c>
      <c r="E3" s="31" t="s">
        <v>12</v>
      </c>
    </row>
    <row r="4" spans="1:5" x14ac:dyDescent="0.25">
      <c r="A4" s="31">
        <v>3</v>
      </c>
      <c r="B4" s="31" t="s">
        <v>49</v>
      </c>
      <c r="C4" s="31" t="s">
        <v>14</v>
      </c>
      <c r="D4" s="32">
        <v>3.12</v>
      </c>
      <c r="E4" s="31" t="s">
        <v>12</v>
      </c>
    </row>
    <row r="5" spans="1:5" x14ac:dyDescent="0.25">
      <c r="A5" s="31">
        <v>4</v>
      </c>
      <c r="B5" s="31" t="s">
        <v>50</v>
      </c>
      <c r="C5" s="31" t="s">
        <v>6</v>
      </c>
      <c r="D5" s="32">
        <v>4.9799999999999995</v>
      </c>
      <c r="E5" s="31" t="s">
        <v>12</v>
      </c>
    </row>
    <row r="6" spans="1:5" x14ac:dyDescent="0.25">
      <c r="A6" s="31">
        <v>5</v>
      </c>
      <c r="B6" s="31" t="s">
        <v>51</v>
      </c>
      <c r="C6" s="31" t="s">
        <v>6</v>
      </c>
      <c r="D6" s="32">
        <v>4.4000000000000004</v>
      </c>
      <c r="E6" s="31" t="s">
        <v>12</v>
      </c>
    </row>
    <row r="7" spans="1:5" x14ac:dyDescent="0.25">
      <c r="A7" s="31">
        <v>6</v>
      </c>
      <c r="B7" s="31" t="s">
        <v>52</v>
      </c>
      <c r="C7" s="31" t="s">
        <v>25</v>
      </c>
      <c r="D7" s="32">
        <v>1.8624999999999999E-2</v>
      </c>
      <c r="E7" s="31" t="s">
        <v>12</v>
      </c>
    </row>
    <row r="8" spans="1:5" x14ac:dyDescent="0.25">
      <c r="A8" s="31">
        <v>7</v>
      </c>
      <c r="B8" s="31" t="s">
        <v>53</v>
      </c>
      <c r="C8" s="31" t="s">
        <v>6</v>
      </c>
      <c r="D8" s="32">
        <v>0.40749999999999997</v>
      </c>
      <c r="E8" s="31" t="s">
        <v>8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zBDFluxo"/>
  <dimension ref="A1:I2"/>
  <sheetViews>
    <sheetView workbookViewId="0"/>
  </sheetViews>
  <sheetFormatPr defaultRowHeight="15" x14ac:dyDescent="0.25"/>
  <cols>
    <col min="2" max="2" width="11.5703125" customWidth="1"/>
    <col min="3" max="3" width="12.85546875" customWidth="1"/>
    <col min="4" max="5" width="11.5703125" customWidth="1"/>
    <col min="6" max="6" width="14.7109375" customWidth="1"/>
    <col min="7" max="8" width="12.5703125" customWidth="1"/>
    <col min="9" max="9" width="12.85546875" style="26" customWidth="1"/>
  </cols>
  <sheetData>
    <row r="1" spans="1:9" x14ac:dyDescent="0.25">
      <c r="A1" s="30" t="s">
        <v>54</v>
      </c>
      <c r="B1" s="30" t="s">
        <v>43</v>
      </c>
      <c r="C1" s="30" t="s">
        <v>33</v>
      </c>
      <c r="D1" s="30" t="s">
        <v>55</v>
      </c>
      <c r="E1" s="30" t="s">
        <v>56</v>
      </c>
      <c r="F1" s="30" t="s">
        <v>42</v>
      </c>
      <c r="G1" s="30" t="s">
        <v>40</v>
      </c>
      <c r="H1" s="30" t="s">
        <v>57</v>
      </c>
      <c r="I1" s="33" t="s">
        <v>41</v>
      </c>
    </row>
    <row r="2" spans="1:9" x14ac:dyDescent="0.25">
      <c r="A2" s="31">
        <v>1</v>
      </c>
      <c r="B2" s="31">
        <v>7</v>
      </c>
      <c r="C2" s="31">
        <v>3</v>
      </c>
      <c r="D2" s="31" t="s">
        <v>58</v>
      </c>
      <c r="E2" s="34">
        <v>3</v>
      </c>
      <c r="F2" s="31" t="s">
        <v>13</v>
      </c>
      <c r="G2" s="31" t="s">
        <v>58</v>
      </c>
      <c r="H2" s="31">
        <v>0</v>
      </c>
      <c r="I2" s="35">
        <v>42373.054142824076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Caixa</vt:lpstr>
      <vt:lpstr>Taxas</vt:lpstr>
      <vt:lpstr>BDProduto</vt:lpstr>
      <vt:lpstr>BDFluxoCaixa</vt:lpstr>
    </vt:vector>
  </TitlesOfParts>
  <Company>Teleperformance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Paglioni</dc:creator>
  <cp:lastModifiedBy>Ivanildo Junior</cp:lastModifiedBy>
  <dcterms:created xsi:type="dcterms:W3CDTF">2016-12-23T12:22:48Z</dcterms:created>
  <dcterms:modified xsi:type="dcterms:W3CDTF">2017-02-13T01:17:06Z</dcterms:modified>
</cp:coreProperties>
</file>