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date1904="1"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esktop\Desktop\"/>
    </mc:Choice>
  </mc:AlternateContent>
  <xr:revisionPtr revIDLastSave="0" documentId="10_ncr:100000_{DEAB03F4-694B-4D09-B26B-9EF607FDC222}" xr6:coauthVersionLast="31" xr6:coauthVersionMax="31" xr10:uidLastSave="{00000000-0000-0000-0000-000000000000}"/>
  <bookViews>
    <workbookView xWindow="0" yWindow="0" windowWidth="20490" windowHeight="6945" tabRatio="751" xr2:uid="{00000000-000D-0000-FFFF-FFFF00000000}"/>
  </bookViews>
  <sheets>
    <sheet name="Relatório" sheetId="12" r:id="rId1"/>
    <sheet name="PREENCHER" sheetId="1" r:id="rId2"/>
    <sheet name="Produto" sheetId="2" r:id="rId3"/>
    <sheet name="Perdas" sheetId="3" r:id="rId4"/>
    <sheet name="Parada" sheetId="4" r:id="rId5"/>
    <sheet name="Função" sheetId="5" r:id="rId6"/>
    <sheet name="Matéria Prima" sheetId="6" r:id="rId7"/>
    <sheet name="Torque" sheetId="7" r:id="rId8"/>
  </sheets>
  <definedNames>
    <definedName name="_xlcn.LinkedTable_Funcao" hidden="1">Funcao[]</definedName>
    <definedName name="_xlcn.LinkedTable_Materia_Prima" hidden="1">Materia_Prima[]</definedName>
    <definedName name="_xlcn.LinkedTable_Parada" hidden="1">Parada[]</definedName>
    <definedName name="_xlcn.LinkedTable_Perdas" hidden="1">Perdas[]</definedName>
    <definedName name="_xlcn.LinkedTable_Produto" hidden="1">Produto[]</definedName>
    <definedName name="_xlcn.LinkedTable_Torque" hidden="1">Torque[]</definedName>
    <definedName name="_xlnm.Print_Area" localSheetId="1">PREENCHER!$A$1:$O$27</definedName>
    <definedName name="FUNÇÃO">PREENCHER!$B$12:$B$17</definedName>
    <definedName name="hTorques">PREENCHER!$J$3:$J$19</definedName>
    <definedName name="Matéria_Prima_Utilizada">PREENCHER!$E$5:$E$7</definedName>
    <definedName name="nParadas">PREENCHER!$E$13:$E$19</definedName>
    <definedName name="nPerdas">PREENCHER!$B$23:$B$26</definedName>
    <definedName name="rngDados">PREENCHER!$G$2,PREENCHER!$C$4:$C$8,PREENCHER!$C$12:$C$17,PREENCHER!$G$5:$G$7,PREENCHER!$E$13:$G$19,PREENCHER!$J$3:$K$19,PREENCHER!$C$23:$C$26,PREENCHER!$E$22</definedName>
    <definedName name="SegmentaçãodeDados_ANO">#N/A</definedName>
    <definedName name="SegmentaçãodeDados_PRODUTO">#N/A</definedName>
    <definedName name="vData">PREENCHER!$G$2</definedName>
    <definedName name="vProduto">PREENCHER!$C$4</definedName>
  </definedNames>
  <calcPr calcId="179017"/>
  <extLst>
    <ext xmlns:x14="http://schemas.microsoft.com/office/spreadsheetml/2009/9/main" uri="{876F7934-8845-4945-9796-88D515C7AA90}">
      <x14:pivotCaches>
        <pivotCache cacheId="20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21" r:id="rId12"/>
        <pivotCache cacheId="24" r:id="rId13"/>
        <pivotCache cacheId="27" r:id="rId14"/>
        <pivotCache cacheId="30" r:id="rId15"/>
      </x15:pivotCaches>
    </ext>
    <ext xmlns:x15="http://schemas.microsoft.com/office/spreadsheetml/2010/11/main" uri="{983426D0-5260-488c-9760-48F4B6AC55F4}">
      <x15:pivotTableReferences>
        <x15:pivotTableReference r:id="rId16"/>
        <x15:pivotTableReference r:id="rId17"/>
        <x15:pivotTableReference r:id="rId18"/>
        <x15:pivotTableReference r:id="rId19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Calendario_07c3a017-7a75-4536-81cf-450364d3dcb4" name="dCalendario" connection="Consulta - dCalendario"/>
          <x15:modelTable id="Torque" name="Torque" connection="LinkedTable_Torque"/>
          <x15:modelTable id="Produto" name="Produto" connection="LinkedTable_Produto"/>
          <x15:modelTable id="Perdas" name="Perdas" connection="LinkedTable_Perdas"/>
          <x15:modelTable id="Parada" name="Parada" connection="LinkedTable_Parada"/>
          <x15:modelTable id="Materia_Prima" name="Materia_Prima" connection="LinkedTable_Materia_Prima"/>
          <x15:modelTable id="Funcao" name="Funcao" connection="LinkedTable_Funcao"/>
        </x15:modelTables>
        <x15:modelRelationships>
          <x15:modelRelationship fromTable="Produto" fromColumn="DATA (Índice de Mês)" toTable="dCalendario" toColumn="Mês"/>
          <x15:modelRelationship fromTable="Perdas" fromColumn="CHAVE" toTable="Produto" toColumn="CHAVE"/>
          <x15:modelRelationship fromTable="Parada" fromColumn="CHAVE" toTable="Produto" toColumn="CHAVE"/>
          <x15:modelRelationship fromTable="Funcao" fromColumn="CHAVE" toTable="Produto" toColumn="CHAVE"/>
          <x15:modelRelationship fromTable="Materia_Prima" fromColumn="CHAVE" toTable="Produto" toColumn="CHAVE"/>
          <x15:modelRelationship fromTable="Torque" fromColumn="CHAVE" toTable="Produto" toColumn="CHAV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roduto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4" i="1"/>
  <c r="C9" i="1" s="1"/>
  <c r="H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dCalendario" description="Conexão com a consulta 'dCalendario' na pasta de trabalho." type="100" refreshedVersion="6" minRefreshableVersion="5">
    <extLst>
      <ext xmlns:x15="http://schemas.microsoft.com/office/spreadsheetml/2010/11/main" uri="{DE250136-89BD-433C-8126-D09CA5730AF9}">
        <x15:connection id="5d6db941-b0be-4481-a8dc-99579be8c213"/>
      </ext>
    </extLst>
  </connection>
  <connection id="2" xr16:uid="{00000000-0015-0000-FFFF-FFFF01000000}" name="LinkedTable_Funcao" type="102" refreshedVersion="6" minRefreshableVersion="5">
    <extLst>
      <ext xmlns:x15="http://schemas.microsoft.com/office/spreadsheetml/2010/11/main" uri="{DE250136-89BD-433C-8126-D09CA5730AF9}">
        <x15:connection id="Funcao">
          <x15:rangePr sourceName="_xlcn.LinkedTable_Funcao"/>
        </x15:connection>
      </ext>
    </extLst>
  </connection>
  <connection id="3" xr16:uid="{00000000-0015-0000-FFFF-FFFF02000000}" name="LinkedTable_Materia_Prima" type="102" refreshedVersion="6" minRefreshableVersion="5">
    <extLst>
      <ext xmlns:x15="http://schemas.microsoft.com/office/spreadsheetml/2010/11/main" uri="{DE250136-89BD-433C-8126-D09CA5730AF9}">
        <x15:connection id="Materia_Prima">
          <x15:rangePr sourceName="_xlcn.LinkedTable_Materia_Prima"/>
        </x15:connection>
      </ext>
    </extLst>
  </connection>
  <connection id="4" xr16:uid="{00000000-0015-0000-FFFF-FFFF03000000}" name="LinkedTable_Parada" type="102" refreshedVersion="6" minRefreshableVersion="5">
    <extLst>
      <ext xmlns:x15="http://schemas.microsoft.com/office/spreadsheetml/2010/11/main" uri="{DE250136-89BD-433C-8126-D09CA5730AF9}">
        <x15:connection id="Parada">
          <x15:rangePr sourceName="_xlcn.LinkedTable_Parada"/>
        </x15:connection>
      </ext>
    </extLst>
  </connection>
  <connection id="5" xr16:uid="{00000000-0015-0000-FFFF-FFFF04000000}" name="LinkedTable_Perdas" type="102" refreshedVersion="6" minRefreshableVersion="5">
    <extLst>
      <ext xmlns:x15="http://schemas.microsoft.com/office/spreadsheetml/2010/11/main" uri="{DE250136-89BD-433C-8126-D09CA5730AF9}">
        <x15:connection id="Perdas">
          <x15:rangePr sourceName="_xlcn.LinkedTable_Perdas"/>
        </x15:connection>
      </ext>
    </extLst>
  </connection>
  <connection id="6" xr16:uid="{00000000-0015-0000-FFFF-FFFF05000000}" name="LinkedTable_Produto" type="102" refreshedVersion="6" minRefreshableVersion="5">
    <extLst>
      <ext xmlns:x15="http://schemas.microsoft.com/office/spreadsheetml/2010/11/main" uri="{DE250136-89BD-433C-8126-D09CA5730AF9}">
        <x15:connection id="Produto">
          <x15:rangePr sourceName="_xlcn.LinkedTable_Produto"/>
        </x15:connection>
      </ext>
    </extLst>
  </connection>
  <connection id="7" xr16:uid="{00000000-0015-0000-FFFF-FFFF06000000}" name="LinkedTable_Torque" type="102" refreshedVersion="6" minRefreshableVersion="5">
    <extLst>
      <ext xmlns:x15="http://schemas.microsoft.com/office/spreadsheetml/2010/11/main" uri="{DE250136-89BD-433C-8126-D09CA5730AF9}">
        <x15:connection id="Torque">
          <x15:rangePr sourceName="_xlcn.LinkedTable_Torque"/>
        </x15:connection>
      </ext>
    </extLst>
  </connection>
  <connection id="8" xr16:uid="{00000000-0015-0000-FFFF-FFFF07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<sst xmlns="http://schemas.openxmlformats.org/spreadsheetml/2006/main" count="260" uniqueCount="81">
  <si>
    <t>Controle de Produção</t>
  </si>
  <si>
    <t>Tempo Total</t>
  </si>
  <si>
    <t>Matéria-Prima Utilizada</t>
  </si>
  <si>
    <t>Fornecedor</t>
  </si>
  <si>
    <t>Garrafas</t>
  </si>
  <si>
    <t>Tampas</t>
  </si>
  <si>
    <t>Rótulos</t>
  </si>
  <si>
    <t>FUNÇÃO</t>
  </si>
  <si>
    <t>COLABORADOR</t>
  </si>
  <si>
    <t>Encarregado</t>
  </si>
  <si>
    <t>Abastecimento Garrafa Vazia</t>
  </si>
  <si>
    <t>Enchedora</t>
  </si>
  <si>
    <t>Visor/Rotuladora</t>
  </si>
  <si>
    <t>Empacotadora</t>
  </si>
  <si>
    <t>Pallets</t>
  </si>
  <si>
    <t xml:space="preserve">Paradas / Apontamentos </t>
  </si>
  <si>
    <t>Inicio (h)</t>
  </si>
  <si>
    <t>Final (h)</t>
  </si>
  <si>
    <t>Cód. Parada  Motivo</t>
  </si>
  <si>
    <t>Tempo Gasto</t>
  </si>
  <si>
    <t>Horário</t>
  </si>
  <si>
    <t>Torque</t>
  </si>
  <si>
    <t>Manutenção (Regulagem) _____________</t>
  </si>
  <si>
    <t>Manutenção (Concerto) _______________</t>
  </si>
  <si>
    <t>Falta Matéria Prima __________________</t>
  </si>
  <si>
    <t>Almoço / Jantar</t>
  </si>
  <si>
    <t>Aguarda Liberação CQ.</t>
  </si>
  <si>
    <t>Sem Carga Máquina</t>
  </si>
  <si>
    <t>Limpeza/Sanitização Linha</t>
  </si>
  <si>
    <t>Manutenção Preventiva</t>
  </si>
  <si>
    <t>Cursos / Treinamentos</t>
  </si>
  <si>
    <t xml:space="preserve">Falta de Operador </t>
  </si>
  <si>
    <t>Falta de Energia</t>
  </si>
  <si>
    <t>Reunião</t>
  </si>
  <si>
    <t xml:space="preserve">Código de Horas Paradas de Máquina  </t>
  </si>
  <si>
    <t xml:space="preserve"> PERDAS</t>
  </si>
  <si>
    <t>ITEM</t>
  </si>
  <si>
    <t>QUANTIDADE</t>
  </si>
  <si>
    <t>Plásticos</t>
  </si>
  <si>
    <t>Troca de Kit de garrafas</t>
  </si>
  <si>
    <t>Liberação Rotuladora</t>
  </si>
  <si>
    <t>Liberação Tampadora</t>
  </si>
  <si>
    <t>Limpeza Cabine</t>
  </si>
  <si>
    <t>Liberação Datadora</t>
  </si>
  <si>
    <t>Liberação Empacotadora</t>
  </si>
  <si>
    <t>Setup</t>
  </si>
  <si>
    <t>Observação:</t>
  </si>
  <si>
    <t>Data:</t>
  </si>
  <si>
    <t>Produto</t>
  </si>
  <si>
    <t>Lote</t>
  </si>
  <si>
    <t>Total Produzido</t>
  </si>
  <si>
    <t>Início Produção</t>
  </si>
  <si>
    <t>Final Produção</t>
  </si>
  <si>
    <t>DATA</t>
  </si>
  <si>
    <t>PRODUTO</t>
  </si>
  <si>
    <t>LOTE</t>
  </si>
  <si>
    <t>TOTAL PRODUZIDO</t>
  </si>
  <si>
    <t>INÍCIO PRODUÇÃO</t>
  </si>
  <si>
    <t>FINAL PRODUÇÃO</t>
  </si>
  <si>
    <t>TEMPO TOTAL</t>
  </si>
  <si>
    <t>INICIO (H)</t>
  </si>
  <si>
    <t>FINAL (H)</t>
  </si>
  <si>
    <t>CÓD. PARADA  MOTIVO</t>
  </si>
  <si>
    <t>TEMPO GASTO</t>
  </si>
  <si>
    <t>OBSERVAÇÃO</t>
  </si>
  <si>
    <t>MATÉRIA PRIMA</t>
  </si>
  <si>
    <t>FORNECEDOR</t>
  </si>
  <si>
    <t>HORÁRIO</t>
  </si>
  <si>
    <t>TORQUE</t>
  </si>
  <si>
    <t>a</t>
  </si>
  <si>
    <t>d</t>
  </si>
  <si>
    <t>c</t>
  </si>
  <si>
    <t>f</t>
  </si>
  <si>
    <t>e</t>
  </si>
  <si>
    <t>Água com Gás</t>
  </si>
  <si>
    <t>AG01001</t>
  </si>
  <si>
    <t>ajss</t>
  </si>
  <si>
    <t>asdf</t>
  </si>
  <si>
    <t>fdss</t>
  </si>
  <si>
    <t>asdfds</t>
  </si>
  <si>
    <t>Água csem Gás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</si>
</sst>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00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1" xfId="0" applyFill="1" applyBorder="1" applyAlignment="1">
      <alignment horizontal="center"/>
    </xf>
    <xf numFmtId="14" fontId="0" fillId="0" borderId="0" xfId="0" applyNumberFormat="1"/>
    <xf numFmtId="0" fontId="0" fillId="0" borderId="0" xfId="0" applyBorder="1"/>
    <xf numFmtId="164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4" fontId="0" fillId="0" borderId="2" xfId="0" applyNumberForma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164" fontId="0" fillId="0" borderId="0" xfId="0" applyNumberFormat="1"/>
    <xf numFmtId="0" fontId="1" fillId="0" borderId="1" xfId="0" applyFont="1" applyBorder="1"/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2" fillId="0" borderId="8" xfId="0" applyFont="1" applyBorder="1" applyAlignment="1" applyProtection="1">
      <alignment vertical="center"/>
      <protection locked="0"/>
    </xf>
    <xf numFmtId="0" fontId="2" fillId="0" borderId="9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vertical="center"/>
      <protection locked="0"/>
    </xf>
    <xf numFmtId="0" fontId="2" fillId="0" borderId="11" xfId="0" applyFon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vertical="center"/>
      <protection locked="0"/>
    </xf>
    <xf numFmtId="0" fontId="2" fillId="0" borderId="12" xfId="0" applyFont="1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protection locked="0"/>
    </xf>
    <xf numFmtId="14" fontId="0" fillId="0" borderId="0" xfId="0" applyNumberFormat="1" applyBorder="1"/>
    <xf numFmtId="2" fontId="0" fillId="0" borderId="0" xfId="0" applyNumberFormat="1" applyBorder="1"/>
    <xf numFmtId="165" fontId="0" fillId="0" borderId="0" xfId="0" applyNumberFormat="1"/>
    <xf numFmtId="2" fontId="0" fillId="0" borderId="0" xfId="0" applyNumberForma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9">
    <dxf>
      <numFmt numFmtId="2" formatCode="0.00"/>
    </dxf>
    <dxf>
      <numFmt numFmtId="166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Table" Target="pivotTables/pivotTable3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Table" Target="pivotTables/pivotTable2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ivotTable" Target="pivotTables/pivotTable1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10" Type="http://schemas.microsoft.com/office/2007/relationships/slicerCache" Target="slicerCaches/slicerCache1.xml"/><Relationship Id="rId19" Type="http://schemas.openxmlformats.org/officeDocument/2006/relationships/pivotTable" Target="pivotTables/pivotTable4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General</c:formatCode>
              <c:ptCount val="3"/>
              <c:pt idx="0">
                <c:v>10000</c:v>
              </c:pt>
              <c:pt idx="1">
                <c:v>10000</c:v>
              </c:pt>
              <c:pt idx="2">
                <c:v>10000</c:v>
              </c:pt>
            </c:numLit>
          </c:val>
          <c:extLst>
            <c:ext xmlns:c16="http://schemas.microsoft.com/office/drawing/2014/chart" uri="{C3380CC4-5D6E-409C-BE32-E72D297353CC}">
              <c16:uniqueId val="{00000000-4D68-409E-BC95-13639D2E3D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46064928"/>
        <c:axId val="1246054112"/>
      </c:barChart>
      <c:catAx>
        <c:axId val="1246064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54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4605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649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[Projeto_Aguas_Prata.xlsm]PivotChartTable5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Garrafas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F41C-40F2-A286-BFEFD335901E}"/>
            </c:ext>
          </c:extLst>
        </c:ser>
        <c:ser>
          <c:idx val="1"/>
          <c:order val="1"/>
          <c:tx>
            <c:v>Plásticos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16</c:v>
              </c:pt>
              <c:pt idx="2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2-F41C-40F2-A286-BFEFD335901E}"/>
            </c:ext>
          </c:extLst>
        </c:ser>
        <c:ser>
          <c:idx val="2"/>
          <c:order val="2"/>
          <c:tx>
            <c:v>Rótulos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14</c:v>
              </c:pt>
              <c:pt idx="2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3-F41C-40F2-A286-BFEFD335901E}"/>
            </c:ext>
          </c:extLst>
        </c:ser>
        <c:ser>
          <c:idx val="3"/>
          <c:order val="3"/>
          <c:tx>
            <c:v>Tampas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12</c:v>
              </c:pt>
              <c:pt idx="2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4-F41C-40F2-A286-BFEFD33590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46061184"/>
        <c:axId val="1246059520"/>
      </c:barChart>
      <c:catAx>
        <c:axId val="12460611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5952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460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6118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[Projeto_Aguas_Prata.xlsm]PivotChartTable6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0.0</c:formatCode>
              <c:ptCount val="3"/>
              <c:pt idx="0">
                <c:v>7.9999999999999911</c:v>
              </c:pt>
              <c:pt idx="1">
                <c:v>8</c:v>
              </c:pt>
              <c:pt idx="2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0-AE57-4DBD-AFDA-064651C9D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46065344"/>
        <c:axId val="1246056192"/>
      </c:barChart>
      <c:catAx>
        <c:axId val="1246065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561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4605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65344"/>
        <c:crosses val="autoZero"/>
        <c:crossBetween val="between"/>
        <c:extLst>
          <c:ext xmlns:c15="http://schemas.microsoft.com/office/drawing/2012/chart" uri="{F40574EE-89B7-4290-83BB-5DA773EAF853}">
            <c15:numFmt c:formatCode="0.0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[Projeto_Aguas_Prata.xlsm]PivotChartTable9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Lit>
              <c:ptCount val="3"/>
              <c:pt idx="0">
                <c:v>janeiro</c:v>
              </c:pt>
              <c:pt idx="1">
                <c:v>fevereiro</c:v>
              </c:pt>
              <c:pt idx="2">
                <c:v>março</c:v>
              </c:pt>
            </c:strLit>
          </c:cat>
          <c:val>
            <c:numLit>
              <c:formatCode>0.00</c:formatCode>
              <c:ptCount val="3"/>
              <c:pt idx="0">
                <c:v>2.9999999999999987</c:v>
              </c:pt>
              <c:pt idx="1">
                <c:v>2.9999999999999987</c:v>
              </c:pt>
              <c:pt idx="2">
                <c:v>8.9999999999999964</c:v>
              </c:pt>
            </c:numLit>
          </c:val>
          <c:extLst>
            <c:ext xmlns:c16="http://schemas.microsoft.com/office/drawing/2014/chart" uri="{C3380CC4-5D6E-409C-BE32-E72D297353CC}">
              <c16:uniqueId val="{00000000-CD95-4F36-BDAE-F84EE4771D6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46057440"/>
        <c:axId val="1246057856"/>
      </c:barChart>
      <c:catAx>
        <c:axId val="1246057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578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460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057440"/>
        <c:crosses val="autoZero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[Projeto_Aguas_Prata.xlsm]PivotChartTable10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21</xdr:col>
      <xdr:colOff>0</xdr:colOff>
      <xdr:row>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RODUT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" y="0"/>
              <a:ext cx="12172950" cy="666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4</xdr:row>
      <xdr:rowOff>1</xdr:rowOff>
    </xdr:from>
    <xdr:to>
      <xdr:col>21</xdr:col>
      <xdr:colOff>0</xdr:colOff>
      <xdr:row>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NO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550" y="762001"/>
              <a:ext cx="12192000" cy="76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9</xdr:row>
      <xdr:rowOff>0</xdr:rowOff>
    </xdr:from>
    <xdr:to>
      <xdr:col>11</xdr:col>
      <xdr:colOff>0</xdr:colOff>
      <xdr:row>23</xdr:row>
      <xdr:rowOff>63500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10</xdr:col>
      <xdr:colOff>608400</xdr:colOff>
      <xdr:row>38</xdr:row>
      <xdr:rowOff>63500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608400</xdr:colOff>
      <xdr:row>23</xdr:row>
      <xdr:rowOff>63500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20</xdr:col>
      <xdr:colOff>608400</xdr:colOff>
      <xdr:row>38</xdr:row>
      <xdr:rowOff>63500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76200</xdr:rowOff>
    </xdr:from>
    <xdr:to>
      <xdr:col>1</xdr:col>
      <xdr:colOff>1590675</xdr:colOff>
      <xdr:row>2</xdr:row>
      <xdr:rowOff>123825</xdr:rowOff>
    </xdr:to>
    <xdr:sp macro="[0]!chamar_macros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8125" y="76200"/>
          <a:ext cx="1562100" cy="4286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Enviar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2012.895999537039" createdVersion="3" refreshedVersion="6" minRefreshableVersion="3" recordCount="0" supportSubquery="1" supportAdvancedDrill="1" xr:uid="{D94544ED-7576-48CC-9EDE-6CFA4B1B4FA0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4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0" memberValueDatatype="130" unbalanced="0"/>
    <cacheHierarchy uniqueName="[Funcao].[CHAVE]" caption="CHAVE" attribute="1" defaultMemberUniqueName="[Funcao].[CHAVE].[All]" allUniqueName="[Funcao].[CHAVE].[All]" dimensionUniqueName="[Funcao]" displayFolder="" count="0" memberValueDatatype="130" unbalanced="0"/>
    <cacheHierarchy uniqueName="[Funcao].[COLABORADOR]" caption="COLABORADOR" attribute="1" defaultMemberUniqueName="[Funcao].[COLABORADOR].[All]" allUniqueName="[Funcao].[COLABORADOR].[All]" dimensionUniqueName="[Funcao]" displayFolder="" count="0" memberValueDatatype="130" unbalanced="0"/>
    <cacheHierarchy uniqueName="[Funcao].[DATA]" caption="DATA" attribute="1" time="1" defaultMemberUniqueName="[Funcao].[DATA].[All]" allUniqueName="[Funcao].[DATA].[All]" dimensionUniqueName="[Funcao]" displayFolder="" count="0" memberValueDatatype="7" unbalanced="0"/>
    <cacheHierarchy uniqueName="[Funcao].[FUNÇÃO]" caption="FUNÇÃO" attribute="1" defaultMemberUniqueName="[Funcao].[FUNÇÃO].[All]" allUniqueName="[Funcao].[FUNÇÃO].[All]" dimensionUniqueName="[Funcao]" displayFolder="" count="0" memberValueDatatype="130" unbalanced="0"/>
    <cacheHierarchy uniqueName="[Funcao].[PRODUTO]" caption="PRODUTO" attribute="1" defaultMemberUniqueName="[Funcao].[PRODUTO].[All]" allUniqueName="[Funcao].[PRODUTO].[All]" dimensionUniqueName="[Funcao]" displayFolder="" count="0" memberValueDatatype="130" unbalanced="0"/>
    <cacheHierarchy uniqueName="[Materia_Prima].[CHAVE]" caption="CHAVE" attribute="1" defaultMemberUniqueName="[Materia_Prima].[CHAVE].[All]" allUniqueName="[Materia_Prima].[CHAVE].[All]" dimensionUniqueName="[Materia_Prima]" displayFolder="" count="0" memberValueDatatype="130" unbalanced="0"/>
    <cacheHierarchy uniqueName="[Materia_Prima].[DATA]" caption="DATA" attribute="1" time="1" defaultMemberUniqueName="[Materia_Prima].[DATA].[All]" allUniqueName="[Materia_Prima].[DATA].[All]" dimensionUniqueName="[Materia_Prima]" displayFolder="" count="0" memberValueDatatype="7" unbalanced="0"/>
    <cacheHierarchy uniqueName="[Materia_Prima].[FORNECEDOR]" caption="FORNECEDOR" attribute="1" defaultMemberUniqueName="[Materia_Prima].[FORNECEDOR].[All]" allUniqueName="[Materia_Prima].[FORNECEDOR].[All]" dimensionUniqueName="[Materia_Prima]" displayFolder="" count="0" memberValueDatatype="130" unbalanced="0"/>
    <cacheHierarchy uniqueName="[Materia_Prima].[MATÉRIA PRIMA]" caption="MATÉRIA PRIMA" attribute="1" defaultMemberUniqueName="[Materia_Prima].[MATÉRIA PRIMA].[All]" allUniqueName="[Materia_Prima].[MATÉRIA PRIMA].[All]" dimensionUniqueName="[Materia_Prima]" displayFolder="" count="0" memberValueDatatype="130" unbalanced="0"/>
    <cacheHierarchy uniqueName="[Materia_Prima].[PRODUTO]" caption="PRODUTO" attribute="1" defaultMemberUniqueName="[Materia_Prima].[PRODUTO].[All]" allUniqueName="[Materia_Prima].[PRODUTO].[All]" dimensionUniqueName="[Materia_Prima]" displayFolder="" count="0" memberValueDatatype="130" unbalanced="0"/>
    <cacheHierarchy uniqueName="[Parada].[CHAVE]" caption="CHAVE" attribute="1" defaultMemberUniqueName="[Parada].[CHAVE].[All]" allUniqueName="[Parada].[CHAVE].[All]" dimensionUniqueName="[Parada]" displayFolder="" count="0" memberValueDatatype="130" unbalanced="0"/>
    <cacheHierarchy uniqueName="[Parada].[CÓD. PARADA  MOTIVO]" caption="CÓD. PARADA  MOTIVO" attribute="1" defaultMemberUniqueName="[Parada].[CÓD. PARADA  MOTIVO].[All]" allUniqueName="[Parada].[CÓD. PARADA  MOTIVO].[All]" dimensionUniqueName="[Parada]" displayFolder="" count="0" memberValueDatatype="130" unbalanced="0"/>
    <cacheHierarchy uniqueName="[Parada].[DATA]" caption="DATA" attribute="1" time="1" defaultMemberUniqueName="[Parada].[DATA].[All]" allUniqueName="[Parada].[DATA].[All]" dimensionUniqueName="[Parada]" displayFolder="" count="0" memberValueDatatype="7" unbalanced="0"/>
    <cacheHierarchy uniqueName="[Parada].[FINAL (H)]" caption="FINAL (H)" attribute="1" defaultMemberUniqueName="[Parada].[FINAL (H)].[All]" allUniqueName="[Parada].[FINAL (H)].[All]" dimensionUniqueName="[Parada]" displayFolder="" count="0" memberValueDatatype="5" unbalanced="0"/>
    <cacheHierarchy uniqueName="[Parada].[INICIO (H)]" caption="INICIO (H)" attribute="1" defaultMemberUniqueName="[Parada].[INICIO (H)].[All]" allUniqueName="[Parada].[INICIO (H)].[All]" dimensionUniqueName="[Parada]" displayFolder="" count="0" memberValueDatatype="5" unbalanced="0"/>
    <cacheHierarchy uniqueName="[Parada].[PRODUTO]" caption="PRODUTO" attribute="1" defaultMemberUniqueName="[Parada].[PRODUTO].[All]" allUniqueName="[Parada].[PRODUTO].[All]" dimensionUniqueName="[Parada]" displayFolder="" count="0" memberValueDatatype="130" unbalanced="0"/>
    <cacheHierarchy uniqueName="[Parada].[TEMPO GASTO]" caption="TEMPO GASTO" attribute="1" defaultMemberUniqueName="[Parada].[TEMPO GASTO].[All]" allUniqueName="[Parada].[TEMPO GASTO].[All]" dimensionUniqueName="[Parada]" displayFolder="" count="0" memberValueDatatype="5" unbalanced="0"/>
    <cacheHierarchy uniqueName="[Perdas].[CHAVE]" caption="CHAVE" attribute="1" defaultMemberUniqueName="[Perdas].[CHAVE].[All]" allUniqueName="[Perdas].[CHAVE].[All]" dimensionUniqueName="[Perdas]" displayFolder="" count="0" memberValueDatatype="130" unbalanced="0"/>
    <cacheHierarchy uniqueName="[Perdas].[DATA]" caption="DATA" attribute="1" time="1" defaultMemberUniqueName="[Perdas].[DATA].[All]" allUniqueName="[Perdas].[DATA].[All]" dimensionUniqueName="[Perdas]" displayFolder="" count="0" memberValueDatatype="7" unbalanced="0"/>
    <cacheHierarchy uniqueName="[Perdas].[ITEM]" caption="ITEM" attribute="1" defaultMemberUniqueName="[Perdas].[ITEM].[All]" allUniqueName="[Perdas].[ITEM].[All]" dimensionUniqueName="[Perdas]" displayFolder="" count="0" memberValueDatatype="130" unbalanced="0"/>
    <cacheHierarchy uniqueName="[Perdas].[PRODUTO]" caption="PRODUTO" attribute="1" defaultMemberUniqueName="[Perdas].[PRODUTO].[All]" allUniqueName="[Perdas].[PRODUTO].[All]" dimensionUniqueName="[Perdas]" displayFolder="" count="0" memberValueDatatype="130" unbalanced="0"/>
    <cacheHierarchy uniqueName="[Perdas].[QUANTIDADE]" caption="QUANTIDADE" attribute="1" defaultMemberUniqueName="[Perdas].[QUANTIDADE].[All]" allUniqueName="[Perdas].[QUANTIDADE].[All]" dimensionUniqueName="[Perdas]" displayFolder="" count="0" memberValueDatatype="20" unbalanced="0"/>
    <cacheHierarchy uniqueName="[Produto].[ANO]" caption="ANO" attribute="1" defaultMemberUniqueName="[Produto].[ANO].[All]" allUniqueName="[Produto].[ANO].[All]" dimensionUniqueName="[Produto]" displayFolder="" count="2" memberValueDatatype="20" unbalanced="0"/>
    <cacheHierarchy uniqueName="[Produto].[CHAVE]" caption="CHAVE" attribute="1" defaultMemberUniqueName="[Produto].[CHAVE].[All]" allUniqueName="[Produto].[CHAVE].[All]" dimensionUniqueName="[Produto]" displayFolder="" count="0" memberValueDatatype="130" unbalanced="0"/>
    <cacheHierarchy uniqueName="[Produto].[DATA]" caption="DATA" attribute="1" time="1" defaultMemberUniqueName="[Produto].[DATA].[All]" allUniqueName="[Produto].[DATA].[All]" dimensionUniqueName="[Produto]" displayFolder="" count="0" memberValueDatatype="7" unbalanced="0"/>
    <cacheHierarchy uniqueName="[Produto].[DATA (Mês)]" caption="DATA (Mês)" attribute="1" defaultMemberUniqueName="[Produto].[DATA (Mês)].[All]" allUniqueName="[Produto].[DATA (Mês)].[All]" dimensionUniqueName="[Produto]" displayFolder="" count="0" memberValueDatatype="130" unbalanced="0"/>
    <cacheHierarchy uniqueName="[Produto].[FINAL PRODUÇÃO]" caption="FINAL PRODUÇÃO" attribute="1" defaultMemberUniqueName="[Produto].[FINAL PRODUÇÃO].[All]" allUniqueName="[Produto].[FINAL PRODUÇÃO].[All]" dimensionUniqueName="[Produto]" displayFolder="" count="0" memberValueDatatype="5" unbalanced="0"/>
    <cacheHierarchy uniqueName="[Produto].[INÍCIO PRODUÇÃO]" caption="INÍCIO PRODUÇÃO" attribute="1" defaultMemberUniqueName="[Produto].[INÍCIO PRODUÇÃO].[All]" allUniqueName="[Produto].[INÍCIO PRODUÇÃO].[All]" dimensionUniqueName="[Produto]" displayFolder="" count="0" memberValueDatatype="5" unbalanced="0"/>
    <cacheHierarchy uniqueName="[Produto].[LOTE]" caption="LOTE" attribute="1" defaultMemberUniqueName="[Produto].[LOTE].[All]" allUniqueName="[Produto].[LOTE].[All]" dimensionUniqueName="[Produto]" displayFolder="" count="0" memberValueDatatype="130" unbalanced="0"/>
    <cacheHierarchy uniqueName="[Produto].[OBSERVAÇÃO]" caption="OBSERVAÇÃO" attribute="1" defaultMemberUniqueName="[Produto].[OBSERVAÇÃO].[All]" allUniqueName="[Produto].[OBSERVAÇÃO].[All]" dimensionUniqueName="[Produto]" displayFolder="" count="0" memberValueDatatype="130" unbalanced="0"/>
    <cacheHierarchy uniqueName="[Produto].[PRODUTO]" caption="PRODUTO" attribute="1" defaultMemberUniqueName="[Produto].[PRODUTO].[All]" allUniqueName="[Produto].[PRODUTO].[All]" dimensionUniqueName="[Produto]" displayFolder="" count="2" memberValueDatatype="130" unbalanced="0"/>
    <cacheHierarchy uniqueName="[Produto].[TEMPO TOTAL]" caption="TEMPO TOTAL" attribute="1" defaultMemberUniqueName="[Produto].[TEMPO TOTAL].[All]" allUniqueName="[Produto].[TEMPO TOTAL].[All]" dimensionUniqueName="[Produto]" displayFolder="" count="0" memberValueDatatype="5" unbalanced="0"/>
    <cacheHierarchy uniqueName="[Produto].[TOTAL PRODUZIDO]" caption="TOTAL PRODUZIDO" attribute="1" defaultMemberUniqueName="[Produto].[TOTAL PRODUZIDO].[All]" allUniqueName="[Produto].[TOTAL PRODUZIDO].[All]" dimensionUniqueName="[Produto]" displayFolder="" count="0" memberValueDatatype="20" unbalanced="0"/>
    <cacheHierarchy uniqueName="[Torque].[CHAVE]" caption="CHAVE" attribute="1" defaultMemberUniqueName="[Torque].[CHAVE].[All]" allUniqueName="[Torque].[CHAVE].[All]" dimensionUniqueName="[Torque]" displayFolder="" count="0" memberValueDatatype="130" unbalanced="0"/>
    <cacheHierarchy uniqueName="[Torque].[DATA]" caption="DATA" attribute="1" time="1" defaultMemberUniqueName="[Torque].[DATA].[All]" allUniqueName="[Torque].[DATA].[All]" dimensionUniqueName="[Torque]" displayFolder="" count="0" memberValueDatatype="7" unbalanced="0"/>
    <cacheHierarchy uniqueName="[Torque].[HORÁRIO]" caption="HORÁRIO" attribute="1" defaultMemberUniqueName="[Torque].[HORÁRIO].[All]" allUniqueName="[Torque].[HORÁRIO].[All]" dimensionUniqueName="[Torque]" displayFolder="" count="0" memberValueDatatype="5" unbalanced="0"/>
    <cacheHierarchy uniqueName="[Torque].[PRODUTO]" caption="PRODUTO" attribute="1" defaultMemberUniqueName="[Torque].[PRODUTO].[All]" allUniqueName="[Torque].[PRODUTO].[All]" dimensionUniqueName="[Torque]" displayFolder="" count="0" memberValueDatatype="130" unbalanced="0"/>
    <cacheHierarchy uniqueName="[Torque].[TORQUE]" caption="TORQUE" attribute="1" defaultMemberUniqueName="[Torque].[TORQUE].[All]" allUniqueName="[Torque].[TORQUE].[All]" dimensionUniqueName="[Torque]" displayFolder="" count="0" memberValueDatatype="130" unbalanced="0"/>
    <cacheHierarchy uniqueName="[Produto].[DATA (Índice de Mês)]" caption="DATA (Índice de Mês)" attribute="1" defaultMemberUniqueName="[Produto].[DATA (Índice de Mês)].[All]" allUniqueName="[Produto].[DATA (Índice de Mês)].[All]" dimensionUniqueName="[Produto]" displayFolder="" count="0" memberValueDatatype="20" unbalanced="0" hidden="1"/>
    <cacheHierarchy uniqueName="[Measures].[Tempo total Produção (Hs)]" caption="Tempo total Produção (Hs)" measure="1" displayFolder="" measureGroup="Produto" count="0"/>
    <cacheHierarchy uniqueName="[Measures].[Total Produzido Mensal]" caption="Total Produzido Mensal" measure="1" displayFolder="" measureGroup="Produto" count="0"/>
    <cacheHierarchy uniqueName="[Measures].[Tempo de Parada]" caption="Tempo de Parada" measure="1" displayFolder="" measureGroup="Produto" count="0"/>
    <cacheHierarchy uniqueName="[Measures].[Total Perdas]" caption="Total Perdas" measure="1" displayFolder="" measureGroup="Produto" count="0"/>
    <cacheHierarchy uniqueName="[Measures].[__XL_Count Produto]" caption="__XL_Count Produto" measure="1" displayFolder="" measureGroup="Produto" count="0" hidden="1"/>
    <cacheHierarchy uniqueName="[Measures].[__XL_Count Perdas]" caption="__XL_Count Perdas" measure="1" displayFolder="" measureGroup="Perdas" count="0" hidden="1"/>
    <cacheHierarchy uniqueName="[Measures].[__XL_Count Parada]" caption="__XL_Count Parada" measure="1" displayFolder="" measureGroup="Parada" count="0" hidden="1"/>
    <cacheHierarchy uniqueName="[Measures].[__XL_Count Funcao]" caption="__XL_Count Funcao" measure="1" displayFolder="" measureGroup="Funcao" count="0" hidden="1"/>
    <cacheHierarchy uniqueName="[Measures].[__XL_Count Materia_Prima]" caption="__XL_Count Materia_Prima" measure="1" displayFolder="" measureGroup="Materia_Prima" count="0" hidden="1"/>
    <cacheHierarchy uniqueName="[Measures].[__XL_Count Torque]" caption="__XL_Count Torque" measure="1" displayFolder="" measureGroup="Torque" count="0" hidden="1"/>
    <cacheHierarchy uniqueName="[Measures].[__XL_Count dCalendario]" caption="__XL_Count dCalendario" measure="1" displayFolder="" measureGroup="dCalendario" count="0" hidden="1"/>
    <cacheHierarchy uniqueName="[Measures].[__Não há medidas definidas]" caption="__Não há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33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2012.896001504632" createdVersion="5" refreshedVersion="6" minRefreshableVersion="3" recordCount="0" supportSubquery="1" supportAdvancedDrill="1" xr:uid="{00000000-000A-0000-FFFF-FFFF3F010000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Calendario].[Nome do Mês].[Nome do Mês]" caption="Nome do Mês" numFmtId="0" hierarchy="2" level="1">
      <sharedItems count="3">
        <s v="janeiro"/>
        <s v="fevereiro"/>
        <s v="março"/>
      </sharedItems>
    </cacheField>
    <cacheField name="[Produto].[PRODUTO].[PRODUTO]" caption="PRODUTO" numFmtId="0" hierarchy="33" level="1">
      <sharedItems containsSemiMixedTypes="0" containsNonDate="0" containsString="0"/>
    </cacheField>
    <cacheField name="[Measures].[Tempo total Produção (Hs)]" caption="Tempo total Produção (Hs)" numFmtId="0" hierarchy="42" level="32767"/>
  </cacheFields>
  <cacheHierarchies count="54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uncao].[CHAVE]" caption="CHAVE" attribute="1" defaultMemberUniqueName="[Funcao].[CHAVE].[All]" allUniqueName="[Funcao].[CHAVE].[All]" dimensionUniqueName="[Funcao]" displayFolder="" count="0" memberValueDatatype="130" unbalanced="0"/>
    <cacheHierarchy uniqueName="[Funcao].[COLABORADOR]" caption="COLABORADOR" attribute="1" defaultMemberUniqueName="[Funcao].[COLABORADOR].[All]" allUniqueName="[Funcao].[COLABORADOR].[All]" dimensionUniqueName="[Funcao]" displayFolder="" count="0" memberValueDatatype="130" unbalanced="0"/>
    <cacheHierarchy uniqueName="[Funcao].[DATA]" caption="DATA" attribute="1" time="1" defaultMemberUniqueName="[Funcao].[DATA].[All]" allUniqueName="[Funcao].[DATA].[All]" dimensionUniqueName="[Funcao]" displayFolder="" count="0" memberValueDatatype="7" unbalanced="0"/>
    <cacheHierarchy uniqueName="[Funcao].[FUNÇÃO]" caption="FUNÇÃO" attribute="1" defaultMemberUniqueName="[Funcao].[FUNÇÃO].[All]" allUniqueName="[Funcao].[FUNÇÃO].[All]" dimensionUniqueName="[Funcao]" displayFolder="" count="0" memberValueDatatype="130" unbalanced="0"/>
    <cacheHierarchy uniqueName="[Funcao].[PRODUTO]" caption="PRODUTO" attribute="1" defaultMemberUniqueName="[Funcao].[PRODUTO].[All]" allUniqueName="[Funcao].[PRODUTO].[All]" dimensionUniqueName="[Funcao]" displayFolder="" count="0" memberValueDatatype="130" unbalanced="0"/>
    <cacheHierarchy uniqueName="[Materia_Prima].[CHAVE]" caption="CHAVE" attribute="1" defaultMemberUniqueName="[Materia_Prima].[CHAVE].[All]" allUniqueName="[Materia_Prima].[CHAVE].[All]" dimensionUniqueName="[Materia_Prima]" displayFolder="" count="0" memberValueDatatype="130" unbalanced="0"/>
    <cacheHierarchy uniqueName="[Materia_Prima].[DATA]" caption="DATA" attribute="1" time="1" defaultMemberUniqueName="[Materia_Prima].[DATA].[All]" allUniqueName="[Materia_Prima].[DATA].[All]" dimensionUniqueName="[Materia_Prima]" displayFolder="" count="0" memberValueDatatype="7" unbalanced="0"/>
    <cacheHierarchy uniqueName="[Materia_Prima].[FORNECEDOR]" caption="FORNECEDOR" attribute="1" defaultMemberUniqueName="[Materia_Prima].[FORNECEDOR].[All]" allUniqueName="[Materia_Prima].[FORNECEDOR].[All]" dimensionUniqueName="[Materia_Prima]" displayFolder="" count="0" memberValueDatatype="130" unbalanced="0"/>
    <cacheHierarchy uniqueName="[Materia_Prima].[MATÉRIA PRIMA]" caption="MATÉRIA PRIMA" attribute="1" defaultMemberUniqueName="[Materia_Prima].[MATÉRIA PRIMA].[All]" allUniqueName="[Materia_Prima].[MATÉRIA PRIMA].[All]" dimensionUniqueName="[Materia_Prima]" displayFolder="" count="0" memberValueDatatype="130" unbalanced="0"/>
    <cacheHierarchy uniqueName="[Materia_Prima].[PRODUTO]" caption="PRODUTO" attribute="1" defaultMemberUniqueName="[Materia_Prima].[PRODUTO].[All]" allUniqueName="[Materia_Prima].[PRODUTO].[All]" dimensionUniqueName="[Materia_Prima]" displayFolder="" count="0" memberValueDatatype="130" unbalanced="0"/>
    <cacheHierarchy uniqueName="[Parada].[CHAVE]" caption="CHAVE" attribute="1" defaultMemberUniqueName="[Parada].[CHAVE].[All]" allUniqueName="[Parada].[CHAVE].[All]" dimensionUniqueName="[Parada]" displayFolder="" count="0" memberValueDatatype="130" unbalanced="0"/>
    <cacheHierarchy uniqueName="[Parada].[CÓD. PARADA  MOTIVO]" caption="CÓD. PARADA  MOTIVO" attribute="1" defaultMemberUniqueName="[Parada].[CÓD. PARADA  MOTIVO].[All]" allUniqueName="[Parada].[CÓD. PARADA  MOTIVO].[All]" dimensionUniqueName="[Parada]" displayFolder="" count="0" memberValueDatatype="130" unbalanced="0"/>
    <cacheHierarchy uniqueName="[Parada].[DATA]" caption="DATA" attribute="1" time="1" defaultMemberUniqueName="[Parada].[DATA].[All]" allUniqueName="[Parada].[DATA].[All]" dimensionUniqueName="[Parada]" displayFolder="" count="0" memberValueDatatype="7" unbalanced="0"/>
    <cacheHierarchy uniqueName="[Parada].[FINAL (H)]" caption="FINAL (H)" attribute="1" defaultMemberUniqueName="[Parada].[FINAL (H)].[All]" allUniqueName="[Parada].[FINAL (H)].[All]" dimensionUniqueName="[Parada]" displayFolder="" count="0" memberValueDatatype="5" unbalanced="0"/>
    <cacheHierarchy uniqueName="[Parada].[INICIO (H)]" caption="INICIO (H)" attribute="1" defaultMemberUniqueName="[Parada].[INICIO (H)].[All]" allUniqueName="[Parada].[INICIO (H)].[All]" dimensionUniqueName="[Parada]" displayFolder="" count="0" memberValueDatatype="5" unbalanced="0"/>
    <cacheHierarchy uniqueName="[Parada].[PRODUTO]" caption="PRODUTO" attribute="1" defaultMemberUniqueName="[Parada].[PRODUTO].[All]" allUniqueName="[Parada].[PRODUTO].[All]" dimensionUniqueName="[Parada]" displayFolder="" count="0" memberValueDatatype="130" unbalanced="0"/>
    <cacheHierarchy uniqueName="[Parada].[TEMPO GASTO]" caption="TEMPO GASTO" attribute="1" defaultMemberUniqueName="[Parada].[TEMPO GASTO].[All]" allUniqueName="[Parada].[TEMPO GASTO].[All]" dimensionUniqueName="[Parada]" displayFolder="" count="0" memberValueDatatype="5" unbalanced="0"/>
    <cacheHierarchy uniqueName="[Perdas].[CHAVE]" caption="CHAVE" attribute="1" defaultMemberUniqueName="[Perdas].[CHAVE].[All]" allUniqueName="[Perdas].[CHAVE].[All]" dimensionUniqueName="[Perdas]" displayFolder="" count="0" memberValueDatatype="130" unbalanced="0"/>
    <cacheHierarchy uniqueName="[Perdas].[DATA]" caption="DATA" attribute="1" time="1" defaultMemberUniqueName="[Perdas].[DATA].[All]" allUniqueName="[Perdas].[DATA].[All]" dimensionUniqueName="[Perdas]" displayFolder="" count="0" memberValueDatatype="7" unbalanced="0"/>
    <cacheHierarchy uniqueName="[Perdas].[ITEM]" caption="ITEM" attribute="1" defaultMemberUniqueName="[Perdas].[ITEM].[All]" allUniqueName="[Perdas].[ITEM].[All]" dimensionUniqueName="[Perdas]" displayFolder="" count="0" memberValueDatatype="130" unbalanced="0"/>
    <cacheHierarchy uniqueName="[Perdas].[PRODUTO]" caption="PRODUTO" attribute="1" defaultMemberUniqueName="[Perdas].[PRODUTO].[All]" allUniqueName="[Perdas].[PRODUTO].[All]" dimensionUniqueName="[Perdas]" displayFolder="" count="0" memberValueDatatype="130" unbalanced="0"/>
    <cacheHierarchy uniqueName="[Perdas].[QUANTIDADE]" caption="QUANTIDADE" attribute="1" defaultMemberUniqueName="[Perdas].[QUANTIDADE].[All]" allUniqueName="[Perdas].[QUANTIDADE].[All]" dimensionUniqueName="[Perdas]" displayFolder="" count="0" memberValueDatatype="20" unbalanced="0"/>
    <cacheHierarchy uniqueName="[Produto].[ANO]" caption="ANO" attribute="1" defaultMemberUniqueName="[Produto].[ANO].[All]" allUniqueName="[Produto].[ANO].[All]" dimensionUniqueName="[Produto]" displayFolder="" count="0" memberValueDatatype="20" unbalanced="0"/>
    <cacheHierarchy uniqueName="[Produto].[CHAVE]" caption="CHAVE" attribute="1" defaultMemberUniqueName="[Produto].[CHAVE].[All]" allUniqueName="[Produto].[CHAVE].[All]" dimensionUniqueName="[Produto]" displayFolder="" count="0" memberValueDatatype="130" unbalanced="0"/>
    <cacheHierarchy uniqueName="[Produto].[DATA]" caption="DATA" attribute="1" time="1" defaultMemberUniqueName="[Produto].[DATA].[All]" allUniqueName="[Produto].[DATA].[All]" dimensionUniqueName="[Produto]" displayFolder="" count="0" memberValueDatatype="7" unbalanced="0"/>
    <cacheHierarchy uniqueName="[Produto].[DATA (Mês)]" caption="DATA (Mês)" attribute="1" defaultMemberUniqueName="[Produto].[DATA (Mês)].[All]" allUniqueName="[Produto].[DATA (Mês)].[All]" dimensionUniqueName="[Produto]" displayFolder="" count="0" memberValueDatatype="130" unbalanced="0"/>
    <cacheHierarchy uniqueName="[Produto].[FINAL PRODUÇÃO]" caption="FINAL PRODUÇÃO" attribute="1" defaultMemberUniqueName="[Produto].[FINAL PRODUÇÃO].[All]" allUniqueName="[Produto].[FINAL PRODUÇÃO].[All]" dimensionUniqueName="[Produto]" displayFolder="" count="0" memberValueDatatype="5" unbalanced="0"/>
    <cacheHierarchy uniqueName="[Produto].[INÍCIO PRODUÇÃO]" caption="INÍCIO PRODUÇÃO" attribute="1" defaultMemberUniqueName="[Produto].[INÍCIO PRODUÇÃO].[All]" allUniqueName="[Produto].[INÍCIO PRODUÇÃO].[All]" dimensionUniqueName="[Produto]" displayFolder="" count="0" memberValueDatatype="5" unbalanced="0"/>
    <cacheHierarchy uniqueName="[Produto].[LOTE]" caption="LOTE" attribute="1" defaultMemberUniqueName="[Produto].[LOTE].[All]" allUniqueName="[Produto].[LOTE].[All]" dimensionUniqueName="[Produto]" displayFolder="" count="0" memberValueDatatype="130" unbalanced="0"/>
    <cacheHierarchy uniqueName="[Produto].[OBSERVAÇÃO]" caption="OBSERVAÇÃO" attribute="1" defaultMemberUniqueName="[Produto].[OBSERVAÇÃO].[All]" allUniqueName="[Produto].[OBSERVAÇÃO].[All]" dimensionUniqueName="[Produto]" displayFolder="" count="0" memberValueDatatype="130" unbalanced="0"/>
    <cacheHierarchy uniqueName="[Produto].[PRODUTO]" caption="PRODUTO" attribute="1" defaultMemberUniqueName="[Produto].[PRODUTO].[All]" allUniqueName="[Produto].[PRODUTO].[All]" dimensionUniqueName="[Produto]" displayFolder="" count="2" memberValueDatatype="130" unbalanced="0">
      <fieldsUsage count="2">
        <fieldUsage x="-1"/>
        <fieldUsage x="1"/>
      </fieldsUsage>
    </cacheHierarchy>
    <cacheHierarchy uniqueName="[Produto].[TEMPO TOTAL]" caption="TEMPO TOTAL" attribute="1" defaultMemberUniqueName="[Produto].[TEMPO TOTAL].[All]" allUniqueName="[Produto].[TEMPO TOTAL].[All]" dimensionUniqueName="[Produto]" displayFolder="" count="0" memberValueDatatype="5" unbalanced="0"/>
    <cacheHierarchy uniqueName="[Produto].[TOTAL PRODUZIDO]" caption="TOTAL PRODUZIDO" attribute="1" defaultMemberUniqueName="[Produto].[TOTAL PRODUZIDO].[All]" allUniqueName="[Produto].[TOTAL PRODUZIDO].[All]" dimensionUniqueName="[Produto]" displayFolder="" count="0" memberValueDatatype="20" unbalanced="0"/>
    <cacheHierarchy uniqueName="[Torque].[CHAVE]" caption="CHAVE" attribute="1" defaultMemberUniqueName="[Torque].[CHAVE].[All]" allUniqueName="[Torque].[CHAVE].[All]" dimensionUniqueName="[Torque]" displayFolder="" count="0" memberValueDatatype="130" unbalanced="0"/>
    <cacheHierarchy uniqueName="[Torque].[DATA]" caption="DATA" attribute="1" time="1" defaultMemberUniqueName="[Torque].[DATA].[All]" allUniqueName="[Torque].[DATA].[All]" dimensionUniqueName="[Torque]" displayFolder="" count="0" memberValueDatatype="7" unbalanced="0"/>
    <cacheHierarchy uniqueName="[Torque].[HORÁRIO]" caption="HORÁRIO" attribute="1" defaultMemberUniqueName="[Torque].[HORÁRIO].[All]" allUniqueName="[Torque].[HORÁRIO].[All]" dimensionUniqueName="[Torque]" displayFolder="" count="0" memberValueDatatype="5" unbalanced="0"/>
    <cacheHierarchy uniqueName="[Torque].[PRODUTO]" caption="PRODUTO" attribute="1" defaultMemberUniqueName="[Torque].[PRODUTO].[All]" allUniqueName="[Torque].[PRODUTO].[All]" dimensionUniqueName="[Torque]" displayFolder="" count="0" memberValueDatatype="130" unbalanced="0"/>
    <cacheHierarchy uniqueName="[Torque].[TORQUE]" caption="TORQUE" attribute="1" defaultMemberUniqueName="[Torque].[TORQUE].[All]" allUniqueName="[Torque].[TORQUE].[All]" dimensionUniqueName="[Torque]" displayFolder="" count="0" memberValueDatatype="130" unbalanced="0"/>
    <cacheHierarchy uniqueName="[Produto].[DATA (Índice de Mês)]" caption="DATA (Índice de Mês)" attribute="1" defaultMemberUniqueName="[Produto].[DATA (Índice de Mês)].[All]" allUniqueName="[Produto].[DATA (Índice de Mês)].[All]" dimensionUniqueName="[Produto]" displayFolder="" count="0" memberValueDatatype="20" unbalanced="0" hidden="1"/>
    <cacheHierarchy uniqueName="[Measures].[Tempo total Produção (Hs)]" caption="Tempo total Produção (Hs)" measure="1" displayFolder="" measureGroup="Produto" count="0" oneField="1">
      <fieldsUsage count="1">
        <fieldUsage x="2"/>
      </fieldsUsage>
    </cacheHierarchy>
    <cacheHierarchy uniqueName="[Measures].[Total Produzido Mensal]" caption="Total Produzido Mensal" measure="1" displayFolder="" measureGroup="Produto" count="0"/>
    <cacheHierarchy uniqueName="[Measures].[Tempo de Parada]" caption="Tempo de Parada" measure="1" displayFolder="" measureGroup="Produto" count="0"/>
    <cacheHierarchy uniqueName="[Measures].[Total Perdas]" caption="Total Perdas" measure="1" displayFolder="" measureGroup="Produto" count="0"/>
    <cacheHierarchy uniqueName="[Measures].[__XL_Count Produto]" caption="__XL_Count Produto" measure="1" displayFolder="" measureGroup="Produto" count="0" hidden="1"/>
    <cacheHierarchy uniqueName="[Measures].[__XL_Count Perdas]" caption="__XL_Count Perdas" measure="1" displayFolder="" measureGroup="Perdas" count="0" hidden="1"/>
    <cacheHierarchy uniqueName="[Measures].[__XL_Count Parada]" caption="__XL_Count Parada" measure="1" displayFolder="" measureGroup="Parada" count="0" hidden="1"/>
    <cacheHierarchy uniqueName="[Measures].[__XL_Count Funcao]" caption="__XL_Count Funcao" measure="1" displayFolder="" measureGroup="Funcao" count="0" hidden="1"/>
    <cacheHierarchy uniqueName="[Measures].[__XL_Count Materia_Prima]" caption="__XL_Count Materia_Prima" measure="1" displayFolder="" measureGroup="Materia_Prima" count="0" hidden="1"/>
    <cacheHierarchy uniqueName="[Measures].[__XL_Count Torque]" caption="__XL_Count Torque" measure="1" displayFolder="" measureGroup="Torque" count="0" hidden="1"/>
    <cacheHierarchy uniqueName="[Measures].[__XL_Count dCalendario]" caption="__XL_Count dCalendario" measure="1" displayFolder="" measureGroup="dCalendario" count="0" hidden="1"/>
    <cacheHierarchy uniqueName="[Measures].[__Não há medidas definidas]" caption="__Não há medidas definidas" measure="1" displayFolder="" count="0" hidden="1"/>
  </cacheHierarchies>
  <kpis count="0"/>
  <dimensions count="8">
    <dimension name="dCalendario" uniqueName="[dCalendario]" caption="dCalendario"/>
    <dimension name="Funcao" uniqueName="[Funcao]" caption="Funcao"/>
    <dimension name="Materia_Prima" uniqueName="[Materia_Prima]" caption="Materia_Prima"/>
    <dimension measure="1" name="Measures" uniqueName="[Measures]" caption="Measures"/>
    <dimension name="Parada" uniqueName="[Parada]" caption="Parada"/>
    <dimension name="Perdas" uniqueName="[Perdas]" caption="Perdas"/>
    <dimension name="Produto" uniqueName="[Produto]" caption="Produto"/>
    <dimension name="Torque" uniqueName="[Torque]" caption="Torque"/>
  </dimensions>
  <measureGroups count="7">
    <measureGroup name="dCalendario" caption="dCalendario"/>
    <measureGroup name="Funcao" caption="Funcao"/>
    <measureGroup name="Materia_Prima" caption="Materia_Prima"/>
    <measureGroup name="Parada" caption="Parada"/>
    <measureGroup name="Perdas" caption="Perdas"/>
    <measureGroup name="Produto" caption="Produto"/>
    <measureGroup name="Torque" caption="Torque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6"/>
    <map measureGroup="3" dimension="0"/>
    <map measureGroup="3" dimension="4"/>
    <map measureGroup="3" dimension="6"/>
    <map measureGroup="4" dimension="0"/>
    <map measureGroup="4" dimension="5"/>
    <map measureGroup="4" dimension="6"/>
    <map measureGroup="5" dimension="0"/>
    <map measureGroup="5" dimension="6"/>
    <map measureGroup="6" dimension="0"/>
    <map measureGroup="6" dimension="6"/>
    <map measureGroup="6" dimension="7"/>
  </maps>
  <extLst>
    <ext xmlns:x14="http://schemas.microsoft.com/office/spreadsheetml/2009/9/main" uri="{725AE2AE-9491-48be-B2B4-4EB974FC3084}">
      <x14:pivotCacheDefinition pivotCacheId="2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2012.896003009257" createdVersion="5" refreshedVersion="6" minRefreshableVersion="3" recordCount="0" supportSubquery="1" supportAdvancedDrill="1" xr:uid="{00000000-000A-0000-FFFF-FFFF3C010000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Calendario].[Nome do Mês].[Nome do Mês]" caption="Nome do Mês" numFmtId="0" hierarchy="2" level="1">
      <sharedItems count="3">
        <s v="janeiro"/>
        <s v="fevereiro"/>
        <s v="março"/>
      </sharedItems>
    </cacheField>
    <cacheField name="[Produto].[PRODUTO].[PRODUTO]" caption="PRODUTO" numFmtId="0" hierarchy="33" level="1">
      <sharedItems containsSemiMixedTypes="0" containsNonDate="0" containsString="0"/>
    </cacheField>
    <cacheField name="[Measures].[Total Perdas]" caption="Total Perdas" numFmtId="0" hierarchy="45" level="32767"/>
    <cacheField name="[Perdas].[ITEM].[ITEM]" caption="ITEM" numFmtId="0" hierarchy="22" level="1">
      <sharedItems count="4">
        <s v="Garrafas"/>
        <s v="Plásticos"/>
        <s v="Rótulos"/>
        <s v="Tampas"/>
      </sharedItems>
    </cacheField>
  </cacheFields>
  <cacheHierarchies count="54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uncao].[CHAVE]" caption="CHAVE" attribute="1" defaultMemberUniqueName="[Funcao].[CHAVE].[All]" allUniqueName="[Funcao].[CHAVE].[All]" dimensionUniqueName="[Funcao]" displayFolder="" count="0" memberValueDatatype="130" unbalanced="0"/>
    <cacheHierarchy uniqueName="[Funcao].[COLABORADOR]" caption="COLABORADOR" attribute="1" defaultMemberUniqueName="[Funcao].[COLABORADOR].[All]" allUniqueName="[Funcao].[COLABORADOR].[All]" dimensionUniqueName="[Funcao]" displayFolder="" count="0" memberValueDatatype="130" unbalanced="0"/>
    <cacheHierarchy uniqueName="[Funcao].[DATA]" caption="DATA" attribute="1" time="1" defaultMemberUniqueName="[Funcao].[DATA].[All]" allUniqueName="[Funcao].[DATA].[All]" dimensionUniqueName="[Funcao]" displayFolder="" count="0" memberValueDatatype="7" unbalanced="0"/>
    <cacheHierarchy uniqueName="[Funcao].[FUNÇÃO]" caption="FUNÇÃO" attribute="1" defaultMemberUniqueName="[Funcao].[FUNÇÃO].[All]" allUniqueName="[Funcao].[FUNÇÃO].[All]" dimensionUniqueName="[Funcao]" displayFolder="" count="0" memberValueDatatype="130" unbalanced="0"/>
    <cacheHierarchy uniqueName="[Funcao].[PRODUTO]" caption="PRODUTO" attribute="1" defaultMemberUniqueName="[Funcao].[PRODUTO].[All]" allUniqueName="[Funcao].[PRODUTO].[All]" dimensionUniqueName="[Funcao]" displayFolder="" count="0" memberValueDatatype="130" unbalanced="0"/>
    <cacheHierarchy uniqueName="[Materia_Prima].[CHAVE]" caption="CHAVE" attribute="1" defaultMemberUniqueName="[Materia_Prima].[CHAVE].[All]" allUniqueName="[Materia_Prima].[CHAVE].[All]" dimensionUniqueName="[Materia_Prima]" displayFolder="" count="0" memberValueDatatype="130" unbalanced="0"/>
    <cacheHierarchy uniqueName="[Materia_Prima].[DATA]" caption="DATA" attribute="1" time="1" defaultMemberUniqueName="[Materia_Prima].[DATA].[All]" allUniqueName="[Materia_Prima].[DATA].[All]" dimensionUniqueName="[Materia_Prima]" displayFolder="" count="0" memberValueDatatype="7" unbalanced="0"/>
    <cacheHierarchy uniqueName="[Materia_Prima].[FORNECEDOR]" caption="FORNECEDOR" attribute="1" defaultMemberUniqueName="[Materia_Prima].[FORNECEDOR].[All]" allUniqueName="[Materia_Prima].[FORNECEDOR].[All]" dimensionUniqueName="[Materia_Prima]" displayFolder="" count="0" memberValueDatatype="130" unbalanced="0"/>
    <cacheHierarchy uniqueName="[Materia_Prima].[MATÉRIA PRIMA]" caption="MATÉRIA PRIMA" attribute="1" defaultMemberUniqueName="[Materia_Prima].[MATÉRIA PRIMA].[All]" allUniqueName="[Materia_Prima].[MATÉRIA PRIMA].[All]" dimensionUniqueName="[Materia_Prima]" displayFolder="" count="0" memberValueDatatype="130" unbalanced="0"/>
    <cacheHierarchy uniqueName="[Materia_Prima].[PRODUTO]" caption="PRODUTO" attribute="1" defaultMemberUniqueName="[Materia_Prima].[PRODUTO].[All]" allUniqueName="[Materia_Prima].[PRODUTO].[All]" dimensionUniqueName="[Materia_Prima]" displayFolder="" count="0" memberValueDatatype="130" unbalanced="0"/>
    <cacheHierarchy uniqueName="[Parada].[CHAVE]" caption="CHAVE" attribute="1" defaultMemberUniqueName="[Parada].[CHAVE].[All]" allUniqueName="[Parada].[CHAVE].[All]" dimensionUniqueName="[Parada]" displayFolder="" count="0" memberValueDatatype="130" unbalanced="0"/>
    <cacheHierarchy uniqueName="[Parada].[CÓD. PARADA  MOTIVO]" caption="CÓD. PARADA  MOTIVO" attribute="1" defaultMemberUniqueName="[Parada].[CÓD. PARADA  MOTIVO].[All]" allUniqueName="[Parada].[CÓD. PARADA  MOTIVO].[All]" dimensionUniqueName="[Parada]" displayFolder="" count="0" memberValueDatatype="130" unbalanced="0"/>
    <cacheHierarchy uniqueName="[Parada].[DATA]" caption="DATA" attribute="1" time="1" defaultMemberUniqueName="[Parada].[DATA].[All]" allUniqueName="[Parada].[DATA].[All]" dimensionUniqueName="[Parada]" displayFolder="" count="0" memberValueDatatype="7" unbalanced="0"/>
    <cacheHierarchy uniqueName="[Parada].[FINAL (H)]" caption="FINAL (H)" attribute="1" defaultMemberUniqueName="[Parada].[FINAL (H)].[All]" allUniqueName="[Parada].[FINAL (H)].[All]" dimensionUniqueName="[Parada]" displayFolder="" count="0" memberValueDatatype="5" unbalanced="0"/>
    <cacheHierarchy uniqueName="[Parada].[INICIO (H)]" caption="INICIO (H)" attribute="1" defaultMemberUniqueName="[Parada].[INICIO (H)].[All]" allUniqueName="[Parada].[INICIO (H)].[All]" dimensionUniqueName="[Parada]" displayFolder="" count="0" memberValueDatatype="5" unbalanced="0"/>
    <cacheHierarchy uniqueName="[Parada].[PRODUTO]" caption="PRODUTO" attribute="1" defaultMemberUniqueName="[Parada].[PRODUTO].[All]" allUniqueName="[Parada].[PRODUTO].[All]" dimensionUniqueName="[Parada]" displayFolder="" count="0" memberValueDatatype="130" unbalanced="0"/>
    <cacheHierarchy uniqueName="[Parada].[TEMPO GASTO]" caption="TEMPO GASTO" attribute="1" defaultMemberUniqueName="[Parada].[TEMPO GASTO].[All]" allUniqueName="[Parada].[TEMPO GASTO].[All]" dimensionUniqueName="[Parada]" displayFolder="" count="0" memberValueDatatype="5" unbalanced="0"/>
    <cacheHierarchy uniqueName="[Perdas].[CHAVE]" caption="CHAVE" attribute="1" defaultMemberUniqueName="[Perdas].[CHAVE].[All]" allUniqueName="[Perdas].[CHAVE].[All]" dimensionUniqueName="[Perdas]" displayFolder="" count="0" memberValueDatatype="130" unbalanced="0"/>
    <cacheHierarchy uniqueName="[Perdas].[DATA]" caption="DATA" attribute="1" time="1" defaultMemberUniqueName="[Perdas].[DATA].[All]" allUniqueName="[Perdas].[DATA].[All]" dimensionUniqueName="[Perdas]" displayFolder="" count="0" memberValueDatatype="7" unbalanced="0"/>
    <cacheHierarchy uniqueName="[Perdas].[ITEM]" caption="ITEM" attribute="1" defaultMemberUniqueName="[Perdas].[ITEM].[All]" allUniqueName="[Perdas].[ITEM].[All]" dimensionUniqueName="[Perdas]" displayFolder="" count="2" memberValueDatatype="130" unbalanced="0">
      <fieldsUsage count="2">
        <fieldUsage x="-1"/>
        <fieldUsage x="3"/>
      </fieldsUsage>
    </cacheHierarchy>
    <cacheHierarchy uniqueName="[Perdas].[PRODUTO]" caption="PRODUTO" attribute="1" defaultMemberUniqueName="[Perdas].[PRODUTO].[All]" allUniqueName="[Perdas].[PRODUTO].[All]" dimensionUniqueName="[Perdas]" displayFolder="" count="0" memberValueDatatype="130" unbalanced="0"/>
    <cacheHierarchy uniqueName="[Perdas].[QUANTIDADE]" caption="QUANTIDADE" attribute="1" defaultMemberUniqueName="[Perdas].[QUANTIDADE].[All]" allUniqueName="[Perdas].[QUANTIDADE].[All]" dimensionUniqueName="[Perdas]" displayFolder="" count="0" memberValueDatatype="20" unbalanced="0"/>
    <cacheHierarchy uniqueName="[Produto].[ANO]" caption="ANO" attribute="1" defaultMemberUniqueName="[Produto].[ANO].[All]" allUniqueName="[Produto].[ANO].[All]" dimensionUniqueName="[Produto]" displayFolder="" count="0" memberValueDatatype="20" unbalanced="0"/>
    <cacheHierarchy uniqueName="[Produto].[CHAVE]" caption="CHAVE" attribute="1" defaultMemberUniqueName="[Produto].[CHAVE].[All]" allUniqueName="[Produto].[CHAVE].[All]" dimensionUniqueName="[Produto]" displayFolder="" count="0" memberValueDatatype="130" unbalanced="0"/>
    <cacheHierarchy uniqueName="[Produto].[DATA]" caption="DATA" attribute="1" time="1" defaultMemberUniqueName="[Produto].[DATA].[All]" allUniqueName="[Produto].[DATA].[All]" dimensionUniqueName="[Produto]" displayFolder="" count="0" memberValueDatatype="7" unbalanced="0"/>
    <cacheHierarchy uniqueName="[Produto].[DATA (Mês)]" caption="DATA (Mês)" attribute="1" defaultMemberUniqueName="[Produto].[DATA (Mês)].[All]" allUniqueName="[Produto].[DATA (Mês)].[All]" dimensionUniqueName="[Produto]" displayFolder="" count="0" memberValueDatatype="130" unbalanced="0"/>
    <cacheHierarchy uniqueName="[Produto].[FINAL PRODUÇÃO]" caption="FINAL PRODUÇÃO" attribute="1" defaultMemberUniqueName="[Produto].[FINAL PRODUÇÃO].[All]" allUniqueName="[Produto].[FINAL PRODUÇÃO].[All]" dimensionUniqueName="[Produto]" displayFolder="" count="0" memberValueDatatype="5" unbalanced="0"/>
    <cacheHierarchy uniqueName="[Produto].[INÍCIO PRODUÇÃO]" caption="INÍCIO PRODUÇÃO" attribute="1" defaultMemberUniqueName="[Produto].[INÍCIO PRODUÇÃO].[All]" allUniqueName="[Produto].[INÍCIO PRODUÇÃO].[All]" dimensionUniqueName="[Produto]" displayFolder="" count="0" memberValueDatatype="5" unbalanced="0"/>
    <cacheHierarchy uniqueName="[Produto].[LOTE]" caption="LOTE" attribute="1" defaultMemberUniqueName="[Produto].[LOTE].[All]" allUniqueName="[Produto].[LOTE].[All]" dimensionUniqueName="[Produto]" displayFolder="" count="0" memberValueDatatype="130" unbalanced="0"/>
    <cacheHierarchy uniqueName="[Produto].[OBSERVAÇÃO]" caption="OBSERVAÇÃO" attribute="1" defaultMemberUniqueName="[Produto].[OBSERVAÇÃO].[All]" allUniqueName="[Produto].[OBSERVAÇÃO].[All]" dimensionUniqueName="[Produto]" displayFolder="" count="0" memberValueDatatype="130" unbalanced="0"/>
    <cacheHierarchy uniqueName="[Produto].[PRODUTO]" caption="PRODUTO" attribute="1" defaultMemberUniqueName="[Produto].[PRODUTO].[All]" allUniqueName="[Produto].[PRODUTO].[All]" dimensionUniqueName="[Produto]" displayFolder="" count="2" memberValueDatatype="130" unbalanced="0">
      <fieldsUsage count="2">
        <fieldUsage x="-1"/>
        <fieldUsage x="1"/>
      </fieldsUsage>
    </cacheHierarchy>
    <cacheHierarchy uniqueName="[Produto].[TEMPO TOTAL]" caption="TEMPO TOTAL" attribute="1" defaultMemberUniqueName="[Produto].[TEMPO TOTAL].[All]" allUniqueName="[Produto].[TEMPO TOTAL].[All]" dimensionUniqueName="[Produto]" displayFolder="" count="0" memberValueDatatype="5" unbalanced="0"/>
    <cacheHierarchy uniqueName="[Produto].[TOTAL PRODUZIDO]" caption="TOTAL PRODUZIDO" attribute="1" defaultMemberUniqueName="[Produto].[TOTAL PRODUZIDO].[All]" allUniqueName="[Produto].[TOTAL PRODUZIDO].[All]" dimensionUniqueName="[Produto]" displayFolder="" count="0" memberValueDatatype="20" unbalanced="0"/>
    <cacheHierarchy uniqueName="[Torque].[CHAVE]" caption="CHAVE" attribute="1" defaultMemberUniqueName="[Torque].[CHAVE].[All]" allUniqueName="[Torque].[CHAVE].[All]" dimensionUniqueName="[Torque]" displayFolder="" count="0" memberValueDatatype="130" unbalanced="0"/>
    <cacheHierarchy uniqueName="[Torque].[DATA]" caption="DATA" attribute="1" time="1" defaultMemberUniqueName="[Torque].[DATA].[All]" allUniqueName="[Torque].[DATA].[All]" dimensionUniqueName="[Torque]" displayFolder="" count="0" memberValueDatatype="7" unbalanced="0"/>
    <cacheHierarchy uniqueName="[Torque].[HORÁRIO]" caption="HORÁRIO" attribute="1" defaultMemberUniqueName="[Torque].[HORÁRIO].[All]" allUniqueName="[Torque].[HORÁRIO].[All]" dimensionUniqueName="[Torque]" displayFolder="" count="0" memberValueDatatype="5" unbalanced="0"/>
    <cacheHierarchy uniqueName="[Torque].[PRODUTO]" caption="PRODUTO" attribute="1" defaultMemberUniqueName="[Torque].[PRODUTO].[All]" allUniqueName="[Torque].[PRODUTO].[All]" dimensionUniqueName="[Torque]" displayFolder="" count="0" memberValueDatatype="130" unbalanced="0"/>
    <cacheHierarchy uniqueName="[Torque].[TORQUE]" caption="TORQUE" attribute="1" defaultMemberUniqueName="[Torque].[TORQUE].[All]" allUniqueName="[Torque].[TORQUE].[All]" dimensionUniqueName="[Torque]" displayFolder="" count="0" memberValueDatatype="130" unbalanced="0"/>
    <cacheHierarchy uniqueName="[Produto].[DATA (Índice de Mês)]" caption="DATA (Índice de Mês)" attribute="1" defaultMemberUniqueName="[Produto].[DATA (Índice de Mês)].[All]" allUniqueName="[Produto].[DATA (Índice de Mês)].[All]" dimensionUniqueName="[Produto]" displayFolder="" count="0" memberValueDatatype="20" unbalanced="0" hidden="1"/>
    <cacheHierarchy uniqueName="[Measures].[Tempo total Produção (Hs)]" caption="Tempo total Produção (Hs)" measure="1" displayFolder="" measureGroup="Produto" count="0"/>
    <cacheHierarchy uniqueName="[Measures].[Total Produzido Mensal]" caption="Total Produzido Mensal" measure="1" displayFolder="" measureGroup="Produto" count="0"/>
    <cacheHierarchy uniqueName="[Measures].[Tempo de Parada]" caption="Tempo de Parada" measure="1" displayFolder="" measureGroup="Produto" count="0"/>
    <cacheHierarchy uniqueName="[Measures].[Total Perdas]" caption="Total Perdas" measure="1" displayFolder="" measureGroup="Produto" count="0" oneField="1">
      <fieldsUsage count="1">
        <fieldUsage x="2"/>
      </fieldsUsage>
    </cacheHierarchy>
    <cacheHierarchy uniqueName="[Measures].[__XL_Count Produto]" caption="__XL_Count Produto" measure="1" displayFolder="" measureGroup="Produto" count="0" hidden="1"/>
    <cacheHierarchy uniqueName="[Measures].[__XL_Count Perdas]" caption="__XL_Count Perdas" measure="1" displayFolder="" measureGroup="Perdas" count="0" hidden="1"/>
    <cacheHierarchy uniqueName="[Measures].[__XL_Count Parada]" caption="__XL_Count Parada" measure="1" displayFolder="" measureGroup="Parada" count="0" hidden="1"/>
    <cacheHierarchy uniqueName="[Measures].[__XL_Count Funcao]" caption="__XL_Count Funcao" measure="1" displayFolder="" measureGroup="Funcao" count="0" hidden="1"/>
    <cacheHierarchy uniqueName="[Measures].[__XL_Count Materia_Prima]" caption="__XL_Count Materia_Prima" measure="1" displayFolder="" measureGroup="Materia_Prima" count="0" hidden="1"/>
    <cacheHierarchy uniqueName="[Measures].[__XL_Count Torque]" caption="__XL_Count Torque" measure="1" displayFolder="" measureGroup="Torque" count="0" hidden="1"/>
    <cacheHierarchy uniqueName="[Measures].[__XL_Count dCalendario]" caption="__XL_Count dCalendario" measure="1" displayFolder="" measureGroup="dCalendario" count="0" hidden="1"/>
    <cacheHierarchy uniqueName="[Measures].[__Não há medidas definidas]" caption="__Não há medidas definidas" measure="1" displayFolder="" count="0" hidden="1"/>
  </cacheHierarchies>
  <kpis count="0"/>
  <dimensions count="8">
    <dimension name="dCalendario" uniqueName="[dCalendario]" caption="dCalendario"/>
    <dimension name="Funcao" uniqueName="[Funcao]" caption="Funcao"/>
    <dimension name="Materia_Prima" uniqueName="[Materia_Prima]" caption="Materia_Prima"/>
    <dimension measure="1" name="Measures" uniqueName="[Measures]" caption="Measures"/>
    <dimension name="Parada" uniqueName="[Parada]" caption="Parada"/>
    <dimension name="Perdas" uniqueName="[Perdas]" caption="Perdas"/>
    <dimension name="Produto" uniqueName="[Produto]" caption="Produto"/>
    <dimension name="Torque" uniqueName="[Torque]" caption="Torque"/>
  </dimensions>
  <measureGroups count="7">
    <measureGroup name="dCalendario" caption="dCalendario"/>
    <measureGroup name="Funcao" caption="Funcao"/>
    <measureGroup name="Materia_Prima" caption="Materia_Prima"/>
    <measureGroup name="Parada" caption="Parada"/>
    <measureGroup name="Perdas" caption="Perdas"/>
    <measureGroup name="Produto" caption="Produto"/>
    <measureGroup name="Torque" caption="Torque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6"/>
    <map measureGroup="3" dimension="0"/>
    <map measureGroup="3" dimension="4"/>
    <map measureGroup="3" dimension="6"/>
    <map measureGroup="4" dimension="0"/>
    <map measureGroup="4" dimension="5"/>
    <map measureGroup="4" dimension="6"/>
    <map measureGroup="5" dimension="0"/>
    <map measureGroup="5" dimension="6"/>
    <map measureGroup="6" dimension="0"/>
    <map measureGroup="6" dimension="6"/>
    <map measureGroup="6" dimension="7"/>
  </maps>
  <extLst>
    <ext xmlns:x14="http://schemas.microsoft.com/office/spreadsheetml/2009/9/main" uri="{725AE2AE-9491-48be-B2B4-4EB974FC3084}">
      <x14:pivotCacheDefinition pivotCacheId="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2012.896004629627" createdVersion="5" refreshedVersion="6" minRefreshableVersion="3" recordCount="0" supportSubquery="1" supportAdvancedDrill="1" xr:uid="{00000000-000A-0000-FFFF-FFFF39010000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Calendario].[Nome do Mês].[Nome do Mês]" caption="Nome do Mês" numFmtId="0" hierarchy="2" level="1">
      <sharedItems count="3">
        <s v="janeiro"/>
        <s v="fevereiro"/>
        <s v="março"/>
      </sharedItems>
    </cacheField>
    <cacheField name="[Produto].[PRODUTO].[PRODUTO]" caption="PRODUTO" numFmtId="0" hierarchy="33" level="1">
      <sharedItems containsSemiMixedTypes="0" containsNonDate="0" containsString="0"/>
    </cacheField>
    <cacheField name="[Measures].[Total Produzido Mensal]" caption="Total Produzido Mensal" numFmtId="0" hierarchy="43" level="32767"/>
    <cacheField name="[Produto].[ANO].[ANO]" caption="ANO" numFmtId="0" hierarchy="25" level="1">
      <sharedItems containsSemiMixedTypes="0" containsNonDate="0" containsString="0"/>
    </cacheField>
  </cacheFields>
  <cacheHierarchies count="54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uncao].[CHAVE]" caption="CHAVE" attribute="1" defaultMemberUniqueName="[Funcao].[CHAVE].[All]" allUniqueName="[Funcao].[CHAVE].[All]" dimensionUniqueName="[Funcao]" displayFolder="" count="0" memberValueDatatype="130" unbalanced="0"/>
    <cacheHierarchy uniqueName="[Funcao].[COLABORADOR]" caption="COLABORADOR" attribute="1" defaultMemberUniqueName="[Funcao].[COLABORADOR].[All]" allUniqueName="[Funcao].[COLABORADOR].[All]" dimensionUniqueName="[Funcao]" displayFolder="" count="0" memberValueDatatype="130" unbalanced="0"/>
    <cacheHierarchy uniqueName="[Funcao].[DATA]" caption="DATA" attribute="1" time="1" defaultMemberUniqueName="[Funcao].[DATA].[All]" allUniqueName="[Funcao].[DATA].[All]" dimensionUniqueName="[Funcao]" displayFolder="" count="0" memberValueDatatype="7" unbalanced="0"/>
    <cacheHierarchy uniqueName="[Funcao].[FUNÇÃO]" caption="FUNÇÃO" attribute="1" defaultMemberUniqueName="[Funcao].[FUNÇÃO].[All]" allUniqueName="[Funcao].[FUNÇÃO].[All]" dimensionUniqueName="[Funcao]" displayFolder="" count="0" memberValueDatatype="130" unbalanced="0"/>
    <cacheHierarchy uniqueName="[Funcao].[PRODUTO]" caption="PRODUTO" attribute="1" defaultMemberUniqueName="[Funcao].[PRODUTO].[All]" allUniqueName="[Funcao].[PRODUTO].[All]" dimensionUniqueName="[Funcao]" displayFolder="" count="0" memberValueDatatype="130" unbalanced="0"/>
    <cacheHierarchy uniqueName="[Materia_Prima].[CHAVE]" caption="CHAVE" attribute="1" defaultMemberUniqueName="[Materia_Prima].[CHAVE].[All]" allUniqueName="[Materia_Prima].[CHAVE].[All]" dimensionUniqueName="[Materia_Prima]" displayFolder="" count="0" memberValueDatatype="130" unbalanced="0"/>
    <cacheHierarchy uniqueName="[Materia_Prima].[DATA]" caption="DATA" attribute="1" time="1" defaultMemberUniqueName="[Materia_Prima].[DATA].[All]" allUniqueName="[Materia_Prima].[DATA].[All]" dimensionUniqueName="[Materia_Prima]" displayFolder="" count="0" memberValueDatatype="7" unbalanced="0"/>
    <cacheHierarchy uniqueName="[Materia_Prima].[FORNECEDOR]" caption="FORNECEDOR" attribute="1" defaultMemberUniqueName="[Materia_Prima].[FORNECEDOR].[All]" allUniqueName="[Materia_Prima].[FORNECEDOR].[All]" dimensionUniqueName="[Materia_Prima]" displayFolder="" count="0" memberValueDatatype="130" unbalanced="0"/>
    <cacheHierarchy uniqueName="[Materia_Prima].[MATÉRIA PRIMA]" caption="MATÉRIA PRIMA" attribute="1" defaultMemberUniqueName="[Materia_Prima].[MATÉRIA PRIMA].[All]" allUniqueName="[Materia_Prima].[MATÉRIA PRIMA].[All]" dimensionUniqueName="[Materia_Prima]" displayFolder="" count="0" memberValueDatatype="130" unbalanced="0"/>
    <cacheHierarchy uniqueName="[Materia_Prima].[PRODUTO]" caption="PRODUTO" attribute="1" defaultMemberUniqueName="[Materia_Prima].[PRODUTO].[All]" allUniqueName="[Materia_Prima].[PRODUTO].[All]" dimensionUniqueName="[Materia_Prima]" displayFolder="" count="0" memberValueDatatype="130" unbalanced="0"/>
    <cacheHierarchy uniqueName="[Parada].[CHAVE]" caption="CHAVE" attribute="1" defaultMemberUniqueName="[Parada].[CHAVE].[All]" allUniqueName="[Parada].[CHAVE].[All]" dimensionUniqueName="[Parada]" displayFolder="" count="0" memberValueDatatype="130" unbalanced="0"/>
    <cacheHierarchy uniqueName="[Parada].[CÓD. PARADA  MOTIVO]" caption="CÓD. PARADA  MOTIVO" attribute="1" defaultMemberUniqueName="[Parada].[CÓD. PARADA  MOTIVO].[All]" allUniqueName="[Parada].[CÓD. PARADA  MOTIVO].[All]" dimensionUniqueName="[Parada]" displayFolder="" count="0" memberValueDatatype="130" unbalanced="0"/>
    <cacheHierarchy uniqueName="[Parada].[DATA]" caption="DATA" attribute="1" time="1" defaultMemberUniqueName="[Parada].[DATA].[All]" allUniqueName="[Parada].[DATA].[All]" dimensionUniqueName="[Parada]" displayFolder="" count="0" memberValueDatatype="7" unbalanced="0"/>
    <cacheHierarchy uniqueName="[Parada].[FINAL (H)]" caption="FINAL (H)" attribute="1" defaultMemberUniqueName="[Parada].[FINAL (H)].[All]" allUniqueName="[Parada].[FINAL (H)].[All]" dimensionUniqueName="[Parada]" displayFolder="" count="0" memberValueDatatype="5" unbalanced="0"/>
    <cacheHierarchy uniqueName="[Parada].[INICIO (H)]" caption="INICIO (H)" attribute="1" defaultMemberUniqueName="[Parada].[INICIO (H)].[All]" allUniqueName="[Parada].[INICIO (H)].[All]" dimensionUniqueName="[Parada]" displayFolder="" count="0" memberValueDatatype="5" unbalanced="0"/>
    <cacheHierarchy uniqueName="[Parada].[PRODUTO]" caption="PRODUTO" attribute="1" defaultMemberUniqueName="[Parada].[PRODUTO].[All]" allUniqueName="[Parada].[PRODUTO].[All]" dimensionUniqueName="[Parada]" displayFolder="" count="0" memberValueDatatype="130" unbalanced="0"/>
    <cacheHierarchy uniqueName="[Parada].[TEMPO GASTO]" caption="TEMPO GASTO" attribute="1" defaultMemberUniqueName="[Parada].[TEMPO GASTO].[All]" allUniqueName="[Parada].[TEMPO GASTO].[All]" dimensionUniqueName="[Parada]" displayFolder="" count="0" memberValueDatatype="5" unbalanced="0"/>
    <cacheHierarchy uniqueName="[Perdas].[CHAVE]" caption="CHAVE" attribute="1" defaultMemberUniqueName="[Perdas].[CHAVE].[All]" allUniqueName="[Perdas].[CHAVE].[All]" dimensionUniqueName="[Perdas]" displayFolder="" count="0" memberValueDatatype="130" unbalanced="0"/>
    <cacheHierarchy uniqueName="[Perdas].[DATA]" caption="DATA" attribute="1" time="1" defaultMemberUniqueName="[Perdas].[DATA].[All]" allUniqueName="[Perdas].[DATA].[All]" dimensionUniqueName="[Perdas]" displayFolder="" count="0" memberValueDatatype="7" unbalanced="0"/>
    <cacheHierarchy uniqueName="[Perdas].[ITEM]" caption="ITEM" attribute="1" defaultMemberUniqueName="[Perdas].[ITEM].[All]" allUniqueName="[Perdas].[ITEM].[All]" dimensionUniqueName="[Perdas]" displayFolder="" count="0" memberValueDatatype="130" unbalanced="0"/>
    <cacheHierarchy uniqueName="[Perdas].[PRODUTO]" caption="PRODUTO" attribute="1" defaultMemberUniqueName="[Perdas].[PRODUTO].[All]" allUniqueName="[Perdas].[PRODUTO].[All]" dimensionUniqueName="[Perdas]" displayFolder="" count="0" memberValueDatatype="130" unbalanced="0"/>
    <cacheHierarchy uniqueName="[Perdas].[QUANTIDADE]" caption="QUANTIDADE" attribute="1" defaultMemberUniqueName="[Perdas].[QUANTIDADE].[All]" allUniqueName="[Perdas].[QUANTIDADE].[All]" dimensionUniqueName="[Perdas]" displayFolder="" count="0" memberValueDatatype="20" unbalanced="0"/>
    <cacheHierarchy uniqueName="[Produto].[ANO]" caption="ANO" attribute="1" defaultMemberUniqueName="[Produto].[ANO].[All]" allUniqueName="[Produto].[ANO].[All]" dimensionUniqueName="[Produto]" displayFolder="" count="2" memberValueDatatype="20" unbalanced="0">
      <fieldsUsage count="2">
        <fieldUsage x="-1"/>
        <fieldUsage x="3"/>
      </fieldsUsage>
    </cacheHierarchy>
    <cacheHierarchy uniqueName="[Produto].[CHAVE]" caption="CHAVE" attribute="1" defaultMemberUniqueName="[Produto].[CHAVE].[All]" allUniqueName="[Produto].[CHAVE].[All]" dimensionUniqueName="[Produto]" displayFolder="" count="0" memberValueDatatype="130" unbalanced="0"/>
    <cacheHierarchy uniqueName="[Produto].[DATA]" caption="DATA" attribute="1" time="1" defaultMemberUniqueName="[Produto].[DATA].[All]" allUniqueName="[Produto].[DATA].[All]" dimensionUniqueName="[Produto]" displayFolder="" count="0" memberValueDatatype="7" unbalanced="0"/>
    <cacheHierarchy uniqueName="[Produto].[DATA (Mês)]" caption="DATA (Mês)" attribute="1" defaultMemberUniqueName="[Produto].[DATA (Mês)].[All]" allUniqueName="[Produto].[DATA (Mês)].[All]" dimensionUniqueName="[Produto]" displayFolder="" count="0" memberValueDatatype="130" unbalanced="0"/>
    <cacheHierarchy uniqueName="[Produto].[FINAL PRODUÇÃO]" caption="FINAL PRODUÇÃO" attribute="1" defaultMemberUniqueName="[Produto].[FINAL PRODUÇÃO].[All]" allUniqueName="[Produto].[FINAL PRODUÇÃO].[All]" dimensionUniqueName="[Produto]" displayFolder="" count="0" memberValueDatatype="5" unbalanced="0"/>
    <cacheHierarchy uniqueName="[Produto].[INÍCIO PRODUÇÃO]" caption="INÍCIO PRODUÇÃO" attribute="1" defaultMemberUniqueName="[Produto].[INÍCIO PRODUÇÃO].[All]" allUniqueName="[Produto].[INÍCIO PRODUÇÃO].[All]" dimensionUniqueName="[Produto]" displayFolder="" count="0" memberValueDatatype="5" unbalanced="0"/>
    <cacheHierarchy uniqueName="[Produto].[LOTE]" caption="LOTE" attribute="1" defaultMemberUniqueName="[Produto].[LOTE].[All]" allUniqueName="[Produto].[LOTE].[All]" dimensionUniqueName="[Produto]" displayFolder="" count="0" memberValueDatatype="130" unbalanced="0"/>
    <cacheHierarchy uniqueName="[Produto].[OBSERVAÇÃO]" caption="OBSERVAÇÃO" attribute="1" defaultMemberUniqueName="[Produto].[OBSERVAÇÃO].[All]" allUniqueName="[Produto].[OBSERVAÇÃO].[All]" dimensionUniqueName="[Produto]" displayFolder="" count="0" memberValueDatatype="130" unbalanced="0"/>
    <cacheHierarchy uniqueName="[Produto].[PRODUTO]" caption="PRODUTO" attribute="1" defaultMemberUniqueName="[Produto].[PRODUTO].[All]" allUniqueName="[Produto].[PRODUTO].[All]" dimensionUniqueName="[Produto]" displayFolder="" count="2" memberValueDatatype="130" unbalanced="0">
      <fieldsUsage count="2">
        <fieldUsage x="-1"/>
        <fieldUsage x="1"/>
      </fieldsUsage>
    </cacheHierarchy>
    <cacheHierarchy uniqueName="[Produto].[TEMPO TOTAL]" caption="TEMPO TOTAL" attribute="1" defaultMemberUniqueName="[Produto].[TEMPO TOTAL].[All]" allUniqueName="[Produto].[TEMPO TOTAL].[All]" dimensionUniqueName="[Produto]" displayFolder="" count="0" memberValueDatatype="5" unbalanced="0"/>
    <cacheHierarchy uniqueName="[Produto].[TOTAL PRODUZIDO]" caption="TOTAL PRODUZIDO" attribute="1" defaultMemberUniqueName="[Produto].[TOTAL PRODUZIDO].[All]" allUniqueName="[Produto].[TOTAL PRODUZIDO].[All]" dimensionUniqueName="[Produto]" displayFolder="" count="0" memberValueDatatype="20" unbalanced="0"/>
    <cacheHierarchy uniqueName="[Torque].[CHAVE]" caption="CHAVE" attribute="1" defaultMemberUniqueName="[Torque].[CHAVE].[All]" allUniqueName="[Torque].[CHAVE].[All]" dimensionUniqueName="[Torque]" displayFolder="" count="0" memberValueDatatype="130" unbalanced="0"/>
    <cacheHierarchy uniqueName="[Torque].[DATA]" caption="DATA" attribute="1" time="1" defaultMemberUniqueName="[Torque].[DATA].[All]" allUniqueName="[Torque].[DATA].[All]" dimensionUniqueName="[Torque]" displayFolder="" count="0" memberValueDatatype="7" unbalanced="0"/>
    <cacheHierarchy uniqueName="[Torque].[HORÁRIO]" caption="HORÁRIO" attribute="1" defaultMemberUniqueName="[Torque].[HORÁRIO].[All]" allUniqueName="[Torque].[HORÁRIO].[All]" dimensionUniqueName="[Torque]" displayFolder="" count="0" memberValueDatatype="5" unbalanced="0"/>
    <cacheHierarchy uniqueName="[Torque].[PRODUTO]" caption="PRODUTO" attribute="1" defaultMemberUniqueName="[Torque].[PRODUTO].[All]" allUniqueName="[Torque].[PRODUTO].[All]" dimensionUniqueName="[Torque]" displayFolder="" count="0" memberValueDatatype="130" unbalanced="0"/>
    <cacheHierarchy uniqueName="[Torque].[TORQUE]" caption="TORQUE" attribute="1" defaultMemberUniqueName="[Torque].[TORQUE].[All]" allUniqueName="[Torque].[TORQUE].[All]" dimensionUniqueName="[Torque]" displayFolder="" count="0" memberValueDatatype="130" unbalanced="0"/>
    <cacheHierarchy uniqueName="[Produto].[DATA (Índice de Mês)]" caption="DATA (Índice de Mês)" attribute="1" defaultMemberUniqueName="[Produto].[DATA (Índice de Mês)].[All]" allUniqueName="[Produto].[DATA (Índice de Mês)].[All]" dimensionUniqueName="[Produto]" displayFolder="" count="0" memberValueDatatype="20" unbalanced="0" hidden="1"/>
    <cacheHierarchy uniqueName="[Measures].[Tempo total Produção (Hs)]" caption="Tempo total Produção (Hs)" measure="1" displayFolder="" measureGroup="Produto" count="0"/>
    <cacheHierarchy uniqueName="[Measures].[Total Produzido Mensal]" caption="Total Produzido Mensal" measure="1" displayFolder="" measureGroup="Produto" count="0" oneField="1">
      <fieldsUsage count="1">
        <fieldUsage x="2"/>
      </fieldsUsage>
    </cacheHierarchy>
    <cacheHierarchy uniqueName="[Measures].[Tempo de Parada]" caption="Tempo de Parada" measure="1" displayFolder="" measureGroup="Produto" count="0"/>
    <cacheHierarchy uniqueName="[Measures].[Total Perdas]" caption="Total Perdas" measure="1" displayFolder="" measureGroup="Produto" count="0"/>
    <cacheHierarchy uniqueName="[Measures].[__XL_Count Produto]" caption="__XL_Count Produto" measure="1" displayFolder="" measureGroup="Produto" count="0" hidden="1"/>
    <cacheHierarchy uniqueName="[Measures].[__XL_Count Perdas]" caption="__XL_Count Perdas" measure="1" displayFolder="" measureGroup="Perdas" count="0" hidden="1"/>
    <cacheHierarchy uniqueName="[Measures].[__XL_Count Parada]" caption="__XL_Count Parada" measure="1" displayFolder="" measureGroup="Parada" count="0" hidden="1"/>
    <cacheHierarchy uniqueName="[Measures].[__XL_Count Funcao]" caption="__XL_Count Funcao" measure="1" displayFolder="" measureGroup="Funcao" count="0" hidden="1"/>
    <cacheHierarchy uniqueName="[Measures].[__XL_Count Materia_Prima]" caption="__XL_Count Materia_Prima" measure="1" displayFolder="" measureGroup="Materia_Prima" count="0" hidden="1"/>
    <cacheHierarchy uniqueName="[Measures].[__XL_Count Torque]" caption="__XL_Count Torque" measure="1" displayFolder="" measureGroup="Torque" count="0" hidden="1"/>
    <cacheHierarchy uniqueName="[Measures].[__XL_Count dCalendario]" caption="__XL_Count dCalendario" measure="1" displayFolder="" measureGroup="dCalendario" count="0" hidden="1"/>
    <cacheHierarchy uniqueName="[Measures].[__Não há medidas definidas]" caption="__Não há medidas definidas" measure="1" displayFolder="" count="0" hidden="1"/>
  </cacheHierarchies>
  <kpis count="0"/>
  <dimensions count="8">
    <dimension name="dCalendario" uniqueName="[dCalendario]" caption="dCalendario"/>
    <dimension name="Funcao" uniqueName="[Funcao]" caption="Funcao"/>
    <dimension name="Materia_Prima" uniqueName="[Materia_Prima]" caption="Materia_Prima"/>
    <dimension measure="1" name="Measures" uniqueName="[Measures]" caption="Measures"/>
    <dimension name="Parada" uniqueName="[Parada]" caption="Parada"/>
    <dimension name="Perdas" uniqueName="[Perdas]" caption="Perdas"/>
    <dimension name="Produto" uniqueName="[Produto]" caption="Produto"/>
    <dimension name="Torque" uniqueName="[Torque]" caption="Torque"/>
  </dimensions>
  <measureGroups count="7">
    <measureGroup name="dCalendario" caption="dCalendario"/>
    <measureGroup name="Funcao" caption="Funcao"/>
    <measureGroup name="Materia_Prima" caption="Materia_Prima"/>
    <measureGroup name="Parada" caption="Parada"/>
    <measureGroup name="Perdas" caption="Perdas"/>
    <measureGroup name="Produto" caption="Produto"/>
    <measureGroup name="Torque" caption="Torque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6"/>
    <map measureGroup="3" dimension="0"/>
    <map measureGroup="3" dimension="4"/>
    <map measureGroup="3" dimension="6"/>
    <map measureGroup="4" dimension="0"/>
    <map measureGroup="4" dimension="5"/>
    <map measureGroup="4" dimension="6"/>
    <map measureGroup="5" dimension="0"/>
    <map measureGroup="5" dimension="6"/>
    <map measureGroup="6" dimension="0"/>
    <map measureGroup="6" dimension="6"/>
    <map measureGroup="6" dimension="7"/>
  </maps>
  <extLst>
    <ext xmlns:x14="http://schemas.microsoft.com/office/spreadsheetml/2009/9/main" uri="{725AE2AE-9491-48be-B2B4-4EB974FC3084}">
      <x14:pivotCacheDefinition pivotCacheId="1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2012.89600601852" createdVersion="5" refreshedVersion="6" minRefreshableVersion="3" recordCount="0" supportSubquery="1" supportAdvancedDrill="1" xr:uid="{00000000-000A-0000-FFFF-FFFF42010000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Calendario].[Nome do Mês].[Nome do Mês]" caption="Nome do Mês" numFmtId="0" hierarchy="2" level="1">
      <sharedItems count="3">
        <s v="janeiro"/>
        <s v="fevereiro"/>
        <s v="março"/>
      </sharedItems>
    </cacheField>
    <cacheField name="[Produto].[PRODUTO].[PRODUTO]" caption="PRODUTO" numFmtId="0" hierarchy="33" level="1">
      <sharedItems containsSemiMixedTypes="0" containsNonDate="0" containsString="0"/>
    </cacheField>
    <cacheField name="[Measures].[Tempo de Parada]" caption="Tempo de Parada" numFmtId="0" hierarchy="44" level="32767"/>
  </cacheFields>
  <cacheHierarchies count="54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uncao].[CHAVE]" caption="CHAVE" attribute="1" defaultMemberUniqueName="[Funcao].[CHAVE].[All]" allUniqueName="[Funcao].[CHAVE].[All]" dimensionUniqueName="[Funcao]" displayFolder="" count="0" memberValueDatatype="130" unbalanced="0"/>
    <cacheHierarchy uniqueName="[Funcao].[COLABORADOR]" caption="COLABORADOR" attribute="1" defaultMemberUniqueName="[Funcao].[COLABORADOR].[All]" allUniqueName="[Funcao].[COLABORADOR].[All]" dimensionUniqueName="[Funcao]" displayFolder="" count="0" memberValueDatatype="130" unbalanced="0"/>
    <cacheHierarchy uniqueName="[Funcao].[DATA]" caption="DATA" attribute="1" time="1" defaultMemberUniqueName="[Funcao].[DATA].[All]" allUniqueName="[Funcao].[DATA].[All]" dimensionUniqueName="[Funcao]" displayFolder="" count="0" memberValueDatatype="7" unbalanced="0"/>
    <cacheHierarchy uniqueName="[Funcao].[FUNÇÃO]" caption="FUNÇÃO" attribute="1" defaultMemberUniqueName="[Funcao].[FUNÇÃO].[All]" allUniqueName="[Funcao].[FUNÇÃO].[All]" dimensionUniqueName="[Funcao]" displayFolder="" count="0" memberValueDatatype="130" unbalanced="0"/>
    <cacheHierarchy uniqueName="[Funcao].[PRODUTO]" caption="PRODUTO" attribute="1" defaultMemberUniqueName="[Funcao].[PRODUTO].[All]" allUniqueName="[Funcao].[PRODUTO].[All]" dimensionUniqueName="[Funcao]" displayFolder="" count="0" memberValueDatatype="130" unbalanced="0"/>
    <cacheHierarchy uniqueName="[Materia_Prima].[CHAVE]" caption="CHAVE" attribute="1" defaultMemberUniqueName="[Materia_Prima].[CHAVE].[All]" allUniqueName="[Materia_Prima].[CHAVE].[All]" dimensionUniqueName="[Materia_Prima]" displayFolder="" count="0" memberValueDatatype="130" unbalanced="0"/>
    <cacheHierarchy uniqueName="[Materia_Prima].[DATA]" caption="DATA" attribute="1" time="1" defaultMemberUniqueName="[Materia_Prima].[DATA].[All]" allUniqueName="[Materia_Prima].[DATA].[All]" dimensionUniqueName="[Materia_Prima]" displayFolder="" count="0" memberValueDatatype="7" unbalanced="0"/>
    <cacheHierarchy uniqueName="[Materia_Prima].[FORNECEDOR]" caption="FORNECEDOR" attribute="1" defaultMemberUniqueName="[Materia_Prima].[FORNECEDOR].[All]" allUniqueName="[Materia_Prima].[FORNECEDOR].[All]" dimensionUniqueName="[Materia_Prima]" displayFolder="" count="0" memberValueDatatype="130" unbalanced="0"/>
    <cacheHierarchy uniqueName="[Materia_Prima].[MATÉRIA PRIMA]" caption="MATÉRIA PRIMA" attribute="1" defaultMemberUniqueName="[Materia_Prima].[MATÉRIA PRIMA].[All]" allUniqueName="[Materia_Prima].[MATÉRIA PRIMA].[All]" dimensionUniqueName="[Materia_Prima]" displayFolder="" count="0" memberValueDatatype="130" unbalanced="0"/>
    <cacheHierarchy uniqueName="[Materia_Prima].[PRODUTO]" caption="PRODUTO" attribute="1" defaultMemberUniqueName="[Materia_Prima].[PRODUTO].[All]" allUniqueName="[Materia_Prima].[PRODUTO].[All]" dimensionUniqueName="[Materia_Prima]" displayFolder="" count="0" memberValueDatatype="130" unbalanced="0"/>
    <cacheHierarchy uniqueName="[Parada].[CHAVE]" caption="CHAVE" attribute="1" defaultMemberUniqueName="[Parada].[CHAVE].[All]" allUniqueName="[Parada].[CHAVE].[All]" dimensionUniqueName="[Parada]" displayFolder="" count="0" memberValueDatatype="130" unbalanced="0"/>
    <cacheHierarchy uniqueName="[Parada].[CÓD. PARADA  MOTIVO]" caption="CÓD. PARADA  MOTIVO" attribute="1" defaultMemberUniqueName="[Parada].[CÓD. PARADA  MOTIVO].[All]" allUniqueName="[Parada].[CÓD. PARADA  MOTIVO].[All]" dimensionUniqueName="[Parada]" displayFolder="" count="0" memberValueDatatype="130" unbalanced="0"/>
    <cacheHierarchy uniqueName="[Parada].[DATA]" caption="DATA" attribute="1" time="1" defaultMemberUniqueName="[Parada].[DATA].[All]" allUniqueName="[Parada].[DATA].[All]" dimensionUniqueName="[Parada]" displayFolder="" count="0" memberValueDatatype="7" unbalanced="0"/>
    <cacheHierarchy uniqueName="[Parada].[FINAL (H)]" caption="FINAL (H)" attribute="1" defaultMemberUniqueName="[Parada].[FINAL (H)].[All]" allUniqueName="[Parada].[FINAL (H)].[All]" dimensionUniqueName="[Parada]" displayFolder="" count="0" memberValueDatatype="5" unbalanced="0"/>
    <cacheHierarchy uniqueName="[Parada].[INICIO (H)]" caption="INICIO (H)" attribute="1" defaultMemberUniqueName="[Parada].[INICIO (H)].[All]" allUniqueName="[Parada].[INICIO (H)].[All]" dimensionUniqueName="[Parada]" displayFolder="" count="0" memberValueDatatype="5" unbalanced="0"/>
    <cacheHierarchy uniqueName="[Parada].[PRODUTO]" caption="PRODUTO" attribute="1" defaultMemberUniqueName="[Parada].[PRODUTO].[All]" allUniqueName="[Parada].[PRODUTO].[All]" dimensionUniqueName="[Parada]" displayFolder="" count="0" memberValueDatatype="130" unbalanced="0"/>
    <cacheHierarchy uniqueName="[Parada].[TEMPO GASTO]" caption="TEMPO GASTO" attribute="1" defaultMemberUniqueName="[Parada].[TEMPO GASTO].[All]" allUniqueName="[Parada].[TEMPO GASTO].[All]" dimensionUniqueName="[Parada]" displayFolder="" count="0" memberValueDatatype="5" unbalanced="0"/>
    <cacheHierarchy uniqueName="[Perdas].[CHAVE]" caption="CHAVE" attribute="1" defaultMemberUniqueName="[Perdas].[CHAVE].[All]" allUniqueName="[Perdas].[CHAVE].[All]" dimensionUniqueName="[Perdas]" displayFolder="" count="0" memberValueDatatype="130" unbalanced="0"/>
    <cacheHierarchy uniqueName="[Perdas].[DATA]" caption="DATA" attribute="1" time="1" defaultMemberUniqueName="[Perdas].[DATA].[All]" allUniqueName="[Perdas].[DATA].[All]" dimensionUniqueName="[Perdas]" displayFolder="" count="0" memberValueDatatype="7" unbalanced="0"/>
    <cacheHierarchy uniqueName="[Perdas].[ITEM]" caption="ITEM" attribute="1" defaultMemberUniqueName="[Perdas].[ITEM].[All]" allUniqueName="[Perdas].[ITEM].[All]" dimensionUniqueName="[Perdas]" displayFolder="" count="0" memberValueDatatype="130" unbalanced="0"/>
    <cacheHierarchy uniqueName="[Perdas].[PRODUTO]" caption="PRODUTO" attribute="1" defaultMemberUniqueName="[Perdas].[PRODUTO].[All]" allUniqueName="[Perdas].[PRODUTO].[All]" dimensionUniqueName="[Perdas]" displayFolder="" count="0" memberValueDatatype="130" unbalanced="0"/>
    <cacheHierarchy uniqueName="[Perdas].[QUANTIDADE]" caption="QUANTIDADE" attribute="1" defaultMemberUniqueName="[Perdas].[QUANTIDADE].[All]" allUniqueName="[Perdas].[QUANTIDADE].[All]" dimensionUniqueName="[Perdas]" displayFolder="" count="0" memberValueDatatype="20" unbalanced="0"/>
    <cacheHierarchy uniqueName="[Produto].[ANO]" caption="ANO" attribute="1" defaultMemberUniqueName="[Produto].[ANO].[All]" allUniqueName="[Produto].[ANO].[All]" dimensionUniqueName="[Produto]" displayFolder="" count="0" memberValueDatatype="20" unbalanced="0"/>
    <cacheHierarchy uniqueName="[Produto].[CHAVE]" caption="CHAVE" attribute="1" defaultMemberUniqueName="[Produto].[CHAVE].[All]" allUniqueName="[Produto].[CHAVE].[All]" dimensionUniqueName="[Produto]" displayFolder="" count="0" memberValueDatatype="130" unbalanced="0"/>
    <cacheHierarchy uniqueName="[Produto].[DATA]" caption="DATA" attribute="1" time="1" defaultMemberUniqueName="[Produto].[DATA].[All]" allUniqueName="[Produto].[DATA].[All]" dimensionUniqueName="[Produto]" displayFolder="" count="0" memberValueDatatype="7" unbalanced="0"/>
    <cacheHierarchy uniqueName="[Produto].[DATA (Mês)]" caption="DATA (Mês)" attribute="1" defaultMemberUniqueName="[Produto].[DATA (Mês)].[All]" allUniqueName="[Produto].[DATA (Mês)].[All]" dimensionUniqueName="[Produto]" displayFolder="" count="0" memberValueDatatype="130" unbalanced="0"/>
    <cacheHierarchy uniqueName="[Produto].[FINAL PRODUÇÃO]" caption="FINAL PRODUÇÃO" attribute="1" defaultMemberUniqueName="[Produto].[FINAL PRODUÇÃO].[All]" allUniqueName="[Produto].[FINAL PRODUÇÃO].[All]" dimensionUniqueName="[Produto]" displayFolder="" count="0" memberValueDatatype="5" unbalanced="0"/>
    <cacheHierarchy uniqueName="[Produto].[INÍCIO PRODUÇÃO]" caption="INÍCIO PRODUÇÃO" attribute="1" defaultMemberUniqueName="[Produto].[INÍCIO PRODUÇÃO].[All]" allUniqueName="[Produto].[INÍCIO PRODUÇÃO].[All]" dimensionUniqueName="[Produto]" displayFolder="" count="0" memberValueDatatype="5" unbalanced="0"/>
    <cacheHierarchy uniqueName="[Produto].[LOTE]" caption="LOTE" attribute="1" defaultMemberUniqueName="[Produto].[LOTE].[All]" allUniqueName="[Produto].[LOTE].[All]" dimensionUniqueName="[Produto]" displayFolder="" count="0" memberValueDatatype="130" unbalanced="0"/>
    <cacheHierarchy uniqueName="[Produto].[OBSERVAÇÃO]" caption="OBSERVAÇÃO" attribute="1" defaultMemberUniqueName="[Produto].[OBSERVAÇÃO].[All]" allUniqueName="[Produto].[OBSERVAÇÃO].[All]" dimensionUniqueName="[Produto]" displayFolder="" count="0" memberValueDatatype="130" unbalanced="0"/>
    <cacheHierarchy uniqueName="[Produto].[PRODUTO]" caption="PRODUTO" attribute="1" defaultMemberUniqueName="[Produto].[PRODUTO].[All]" allUniqueName="[Produto].[PRODUTO].[All]" dimensionUniqueName="[Produto]" displayFolder="" count="2" memberValueDatatype="130" unbalanced="0">
      <fieldsUsage count="2">
        <fieldUsage x="-1"/>
        <fieldUsage x="1"/>
      </fieldsUsage>
    </cacheHierarchy>
    <cacheHierarchy uniqueName="[Produto].[TEMPO TOTAL]" caption="TEMPO TOTAL" attribute="1" defaultMemberUniqueName="[Produto].[TEMPO TOTAL].[All]" allUniqueName="[Produto].[TEMPO TOTAL].[All]" dimensionUniqueName="[Produto]" displayFolder="" count="0" memberValueDatatype="5" unbalanced="0"/>
    <cacheHierarchy uniqueName="[Produto].[TOTAL PRODUZIDO]" caption="TOTAL PRODUZIDO" attribute="1" defaultMemberUniqueName="[Produto].[TOTAL PRODUZIDO].[All]" allUniqueName="[Produto].[TOTAL PRODUZIDO].[All]" dimensionUniqueName="[Produto]" displayFolder="" count="0" memberValueDatatype="20" unbalanced="0"/>
    <cacheHierarchy uniqueName="[Torque].[CHAVE]" caption="CHAVE" attribute="1" defaultMemberUniqueName="[Torque].[CHAVE].[All]" allUniqueName="[Torque].[CHAVE].[All]" dimensionUniqueName="[Torque]" displayFolder="" count="0" memberValueDatatype="130" unbalanced="0"/>
    <cacheHierarchy uniqueName="[Torque].[DATA]" caption="DATA" attribute="1" time="1" defaultMemberUniqueName="[Torque].[DATA].[All]" allUniqueName="[Torque].[DATA].[All]" dimensionUniqueName="[Torque]" displayFolder="" count="0" memberValueDatatype="7" unbalanced="0"/>
    <cacheHierarchy uniqueName="[Torque].[HORÁRIO]" caption="HORÁRIO" attribute="1" defaultMemberUniqueName="[Torque].[HORÁRIO].[All]" allUniqueName="[Torque].[HORÁRIO].[All]" dimensionUniqueName="[Torque]" displayFolder="" count="0" memberValueDatatype="5" unbalanced="0"/>
    <cacheHierarchy uniqueName="[Torque].[PRODUTO]" caption="PRODUTO" attribute="1" defaultMemberUniqueName="[Torque].[PRODUTO].[All]" allUniqueName="[Torque].[PRODUTO].[All]" dimensionUniqueName="[Torque]" displayFolder="" count="0" memberValueDatatype="130" unbalanced="0"/>
    <cacheHierarchy uniqueName="[Torque].[TORQUE]" caption="TORQUE" attribute="1" defaultMemberUniqueName="[Torque].[TORQUE].[All]" allUniqueName="[Torque].[TORQUE].[All]" dimensionUniqueName="[Torque]" displayFolder="" count="0" memberValueDatatype="130" unbalanced="0"/>
    <cacheHierarchy uniqueName="[Produto].[DATA (Índice de Mês)]" caption="DATA (Índice de Mês)" attribute="1" defaultMemberUniqueName="[Produto].[DATA (Índice de Mês)].[All]" allUniqueName="[Produto].[DATA (Índice de Mês)].[All]" dimensionUniqueName="[Produto]" displayFolder="" count="0" memberValueDatatype="20" unbalanced="0" hidden="1"/>
    <cacheHierarchy uniqueName="[Measures].[Tempo total Produção (Hs)]" caption="Tempo total Produção (Hs)" measure="1" displayFolder="" measureGroup="Produto" count="0"/>
    <cacheHierarchy uniqueName="[Measures].[Total Produzido Mensal]" caption="Total Produzido Mensal" measure="1" displayFolder="" measureGroup="Produto" count="0"/>
    <cacheHierarchy uniqueName="[Measures].[Tempo de Parada]" caption="Tempo de Parada" measure="1" displayFolder="" measureGroup="Produto" count="0" oneField="1">
      <fieldsUsage count="1">
        <fieldUsage x="2"/>
      </fieldsUsage>
    </cacheHierarchy>
    <cacheHierarchy uniqueName="[Measures].[Total Perdas]" caption="Total Perdas" measure="1" displayFolder="" measureGroup="Produto" count="0"/>
    <cacheHierarchy uniqueName="[Measures].[__XL_Count Produto]" caption="__XL_Count Produto" measure="1" displayFolder="" measureGroup="Produto" count="0" hidden="1"/>
    <cacheHierarchy uniqueName="[Measures].[__XL_Count Perdas]" caption="__XL_Count Perdas" measure="1" displayFolder="" measureGroup="Perdas" count="0" hidden="1"/>
    <cacheHierarchy uniqueName="[Measures].[__XL_Count Parada]" caption="__XL_Count Parada" measure="1" displayFolder="" measureGroup="Parada" count="0" hidden="1"/>
    <cacheHierarchy uniqueName="[Measures].[__XL_Count Funcao]" caption="__XL_Count Funcao" measure="1" displayFolder="" measureGroup="Funcao" count="0" hidden="1"/>
    <cacheHierarchy uniqueName="[Measures].[__XL_Count Materia_Prima]" caption="__XL_Count Materia_Prima" measure="1" displayFolder="" measureGroup="Materia_Prima" count="0" hidden="1"/>
    <cacheHierarchy uniqueName="[Measures].[__XL_Count Torque]" caption="__XL_Count Torque" measure="1" displayFolder="" measureGroup="Torque" count="0" hidden="1"/>
    <cacheHierarchy uniqueName="[Measures].[__XL_Count dCalendario]" caption="__XL_Count dCalendario" measure="1" displayFolder="" measureGroup="dCalendario" count="0" hidden="1"/>
    <cacheHierarchy uniqueName="[Measures].[__Não há medidas definidas]" caption="__Não há medidas definidas" measure="1" displayFolder="" count="0" hidden="1"/>
  </cacheHierarchies>
  <kpis count="0"/>
  <dimensions count="8">
    <dimension name="dCalendario" uniqueName="[dCalendario]" caption="dCalendario"/>
    <dimension name="Funcao" uniqueName="[Funcao]" caption="Funcao"/>
    <dimension name="Materia_Prima" uniqueName="[Materia_Prima]" caption="Materia_Prima"/>
    <dimension measure="1" name="Measures" uniqueName="[Measures]" caption="Measures"/>
    <dimension name="Parada" uniqueName="[Parada]" caption="Parada"/>
    <dimension name="Perdas" uniqueName="[Perdas]" caption="Perdas"/>
    <dimension name="Produto" uniqueName="[Produto]" caption="Produto"/>
    <dimension name="Torque" uniqueName="[Torque]" caption="Torque"/>
  </dimensions>
  <measureGroups count="7">
    <measureGroup name="dCalendario" caption="dCalendario"/>
    <measureGroup name="Funcao" caption="Funcao"/>
    <measureGroup name="Materia_Prima" caption="Materia_Prima"/>
    <measureGroup name="Parada" caption="Parada"/>
    <measureGroup name="Perdas" caption="Perdas"/>
    <measureGroup name="Produto" caption="Produto"/>
    <measureGroup name="Torque" caption="Torque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6"/>
    <map measureGroup="3" dimension="0"/>
    <map measureGroup="3" dimension="4"/>
    <map measureGroup="3" dimension="6"/>
    <map measureGroup="4" dimension="0"/>
    <map measureGroup="4" dimension="5"/>
    <map measureGroup="4" dimension="6"/>
    <map measureGroup="5" dimension="0"/>
    <map measureGroup="5" dimension="6"/>
    <map measureGroup="6" dimension="0"/>
    <map measureGroup="6" dimension="6"/>
    <map measureGroup="6" dimension="7"/>
  </maps>
  <extLst>
    <ext xmlns:x14="http://schemas.microsoft.com/office/spreadsheetml/2009/9/main" uri="{725AE2AE-9491-48be-B2B4-4EB974FC3084}">
      <x14:pivotCacheDefinition pivotCacheId="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1000000}" name="PivotChartTable5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>
  <location ref="A1:B5" firstHeaderRow="1" firstDataRow="1" firstDataCol="1"/>
  <pivotFields count="4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llDrilled="1" showAll="0" dataSourceSort="1" defaultAttributeDrillState="1"/>
    <pivotField dataField="1" showAll="0"/>
    <pivotField allDrilled="1" showAll="0" dataSourceSort="1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2" subtotal="count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oduto].[PRODUTO].&amp;[Água com Gá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17">
        <x15:pivotRow count="1">
          <x15:c>
            <x15:v>10000</x15:v>
          </x15:c>
        </x15:pivotRow>
        <x15:pivotRow count="1">
          <x15:c>
            <x15:v>10000</x15:v>
          </x15:c>
        </x15:pivotRow>
        <x15:pivotRow count="1">
          <x15:c>
            <x15:v>10000</x15:v>
          </x15:c>
        </x15:pivotRow>
        <x15:pivotRow count="1">
          <x15:c>
            <x15:v>30000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Calendario]"/>
        <x15:activeTabTopLevelEntity name="[Produt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2000000}" name="PivotChartTable6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>
  <location ref="A1:F6" firstHeaderRow="1" firstDataRow="2" firstDataCol="1"/>
  <pivotFields count="4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llDrilled="1" showAll="0" dataSourceSort="1" defaultAttributeDrillState="1"/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fld="2" subtotal="count" baseField="0" baseItem="0"/>
  </dataFields>
  <chartFormats count="4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oduto].[PRODUTO].&amp;[Água com Gá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5" cacheId="19">
        <x15:pivotRow count="5">
          <x15:c>
            <x15:v>10</x15:v>
          </x15:c>
          <x15:c>
            <x15:v>16</x15:v>
          </x15:c>
          <x15:c>
            <x15:v>14</x15:v>
          </x15:c>
          <x15:c>
            <x15:v>12</x15:v>
          </x15:c>
          <x15:c>
            <x15:v>52</x15:v>
          </x15:c>
        </x15:pivotRow>
        <x15:pivotRow count="5">
          <x15:c>
            <x15:v>10</x15:v>
          </x15:c>
          <x15:c>
            <x15:v>16</x15:v>
          </x15:c>
          <x15:c>
            <x15:v>14</x15:v>
          </x15:c>
          <x15:c>
            <x15:v>12</x15:v>
          </x15:c>
          <x15:c>
            <x15:v>52</x15:v>
          </x15:c>
        </x15:pivotRow>
        <x15:pivotRow count="5">
          <x15:c>
            <x15:v>10</x15:v>
          </x15:c>
          <x15:c>
            <x15:v>16</x15:v>
          </x15:c>
          <x15:c>
            <x15:v>14</x15:v>
          </x15:c>
          <x15:c>
            <x15:v>12</x15:v>
          </x15:c>
          <x15:c>
            <x15:v>52</x15:v>
          </x15:c>
        </x15:pivotRow>
        <x15:pivotRow count="5">
          <x15:c>
            <x15:v>30</x15:v>
          </x15:c>
          <x15:c>
            <x15:v>48</x15:v>
          </x15:c>
          <x15:c>
            <x15:v>42</x15:v>
          </x15:c>
          <x15:c>
            <x15:v>36</x15:v>
          </x15:c>
          <x15:c>
            <x15:v>156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Calendario]"/>
        <x15:activeTabTopLevelEntity name="[Produto]"/>
        <x15:activeTabTopLevelEntity name="[Perda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3000000}" name="PivotChartTable9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5">
  <location ref="A1:B5" firstHeaderRow="1" firstDataRow="1" firstDataCol="1"/>
  <pivotFields count="3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llDrilled="1" showAll="0" dataSourceSort="1" defaultAttributeDrillState="1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2" subtotal="count" baseField="0" baseItem="0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oduto].[PRODUTO].&amp;[Água com Gá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.0"/>
      </x15:pivotTableServerFormats>
    </ext>
    <ext xmlns:x15="http://schemas.microsoft.com/office/spreadsheetml/2010/11/main" uri="{44433962-1CF7-4059-B4EE-95C3D5FFCF73}">
      <x15:pivotTableData rowCount="4" columnCount="1" cacheId="29">
        <x15:pivotRow count="1">
          <x15:c>
            <x15:v>7.9999999999999911</x15:v>
            <x15:x in="0"/>
          </x15:c>
        </x15:pivotRow>
        <x15:pivotRow count="1">
          <x15:c>
            <x15:v>8</x15:v>
            <x15:x in="0"/>
          </x15:c>
        </x15:pivotRow>
        <x15:pivotRow count="1">
          <x15:c>
            <x15:v>8</x15:v>
            <x15:x in="0"/>
          </x15:c>
        </x15:pivotRow>
        <x15:pivotRow count="1">
          <x15:c>
            <x15:v>23.999999999999993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Calendario]"/>
        <x15:activeTabTopLevelEntity name="[Produt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0000000}" name="PivotChartTable10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5">
  <location ref="A1:B5" firstHeaderRow="1" firstDataRow="1" firstDataCol="1"/>
  <pivotFields count="3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llDrilled="1" showAll="0" dataSourceSort="1" defaultAttributeDrillState="1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2" subtotal="count" baseField="0" baseItem="0"/>
  </dataFields>
  <chartFormats count="3"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oduto].[PRODUTO].&amp;[Água com Gá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.00"/>
      </x15:pivotTableServerFormats>
    </ext>
    <ext xmlns:x15="http://schemas.microsoft.com/office/spreadsheetml/2010/11/main" uri="{44433962-1CF7-4059-B4EE-95C3D5FFCF73}">
      <x15:pivotTableData rowCount="4" columnCount="1" cacheId="31">
        <x15:pivotRow count="1">
          <x15:c>
            <x15:v>2.9999999999999987</x15:v>
            <x15:x in="0"/>
          </x15:c>
        </x15:pivotRow>
        <x15:pivotRow count="1">
          <x15:c>
            <x15:v>2.9999999999999987</x15:v>
            <x15:x in="0"/>
          </x15:c>
        </x15:pivotRow>
        <x15:pivotRow count="1">
          <x15:c>
            <x15:v>8.9999999999999964</x15:v>
            <x15:x in="0"/>
          </x15:c>
        </x15:pivotRow>
        <x15:pivotRow count="1">
          <x15:c>
            <x15:v>14.999999999999995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roduto]"/>
        <x15:activeTabTopLevelEntity name="[dCalendario]"/>
        <x15:activeTabTopLevelEntity name="[Perda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0000000-0013-0000-FFFF-FFFF01000000}" sourceName="[Produto].[PRODUTO]">
  <data>
    <olap pivotCacheId="33">
      <levels count="2">
        <level uniqueName="[Produto].[PRODUTO].[(All)]" sourceCaption="(All)" count="0"/>
        <level uniqueName="[Produto].[PRODUTO].[PRODUTO]" sourceCaption="PRODUTO" count="2">
          <ranges>
            <range startItem="0">
              <i n="[Produto].[PRODUTO].&amp;[Água com Gás]" c="Água com Gás"/>
              <i n="[Produto].[PRODUTO].&amp;[Água csem Gás]" c="Água csem Gás"/>
            </range>
          </ranges>
        </level>
      </levels>
      <selections count="1">
        <selection n="[Produto].[PRODUTO].&amp;[Água com Gás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0"/>
        <pivotTable tabId="4294967295" name="PivotChartTable9"/>
        <pivotTable tabId="4294967295" name="PivotChartTable6"/>
        <pivotTable tabId="4294967295" name="PivotChartTable5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00000000-0013-0000-FFFF-FFFF02000000}" sourceName="[Produto].[ANO]">
  <data>
    <olap pivotCacheId="33">
      <levels count="2">
        <level uniqueName="[Produto].[ANO].[(All)]" sourceCaption="(All)" count="0"/>
        <level uniqueName="[Produto].[ANO].[ANO]" sourceCaption="ANO" count="1">
          <ranges>
            <range startItem="0">
              <i n="[Produto].[ANO].&amp;[2019]" c="2019"/>
            </range>
          </ranges>
        </level>
      </levels>
      <selections count="1">
        <selection n="[Produto].[ANO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5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00000000-0014-0000-FFFF-FFFF01000000}" cache="SegmentaçãodeDados_PRODUTO" caption="PRODUTO" columnCount="5" level="1" rowHeight="241300"/>
  <slicer name="ANO" xr10:uid="{00000000-0014-0000-FFFF-FFFF02000000}" cache="SegmentaçãodeDados_ANO" caption="ANO" columnCount="10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to" displayName="Produto" ref="A1:H5" totalsRowShown="0">
  <autoFilter ref="A1:H5" xr:uid="{00000000-0009-0000-0100-000001000000}"/>
  <tableColumns count="8">
    <tableColumn id="1" xr3:uid="{00000000-0010-0000-0000-000001000000}" name="DATA" dataDxfId="8"/>
    <tableColumn id="7" xr3:uid="{00000000-0010-0000-0000-000007000000}" name="PRODUTO"/>
    <tableColumn id="2" xr3:uid="{00000000-0010-0000-0000-000002000000}" name="LOTE"/>
    <tableColumn id="3" xr3:uid="{00000000-0010-0000-0000-000003000000}" name="TOTAL PRODUZIDO"/>
    <tableColumn id="4" xr3:uid="{00000000-0010-0000-0000-000004000000}" name="INÍCIO PRODUÇÃO" dataDxfId="7"/>
    <tableColumn id="5" xr3:uid="{00000000-0010-0000-0000-000005000000}" name="FINAL PRODUÇÃO" dataDxfId="6"/>
    <tableColumn id="6" xr3:uid="{00000000-0010-0000-0000-000006000000}" name="TEMPO TOTAL" dataDxfId="5"/>
    <tableColumn id="8" xr3:uid="{00000000-0010-0000-0000-000008000000}" name="OBSERVAÇÃO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erdas" displayName="Perdas" ref="A1:D17" totalsRowShown="0">
  <autoFilter ref="A1:D17" xr:uid="{00000000-0009-0000-0100-000002000000}"/>
  <tableColumns count="4">
    <tableColumn id="1" xr3:uid="{00000000-0010-0000-0100-000001000000}" name="DATA"/>
    <tableColumn id="2" xr3:uid="{00000000-0010-0000-0100-000002000000}" name="PRODUTO"/>
    <tableColumn id="3" xr3:uid="{00000000-0010-0000-0100-000003000000}" name="ITEM"/>
    <tableColumn id="4" xr3:uid="{00000000-0010-0000-0100-000004000000}" name="QUANTIDAD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arada" displayName="Parada" ref="A1:F7" totalsRowShown="0">
  <autoFilter ref="A1:F7" xr:uid="{00000000-0009-0000-0100-000004000000}"/>
  <tableColumns count="6">
    <tableColumn id="1" xr3:uid="{00000000-0010-0000-0200-000001000000}" name="DATA"/>
    <tableColumn id="2" xr3:uid="{00000000-0010-0000-0200-000002000000}" name="PRODUTO"/>
    <tableColumn id="3" xr3:uid="{00000000-0010-0000-0200-000003000000}" name="INICIO (H)" dataDxfId="4"/>
    <tableColumn id="4" xr3:uid="{00000000-0010-0000-0200-000004000000}" name="FINAL (H)" dataDxfId="3"/>
    <tableColumn id="5" xr3:uid="{00000000-0010-0000-0200-000005000000}" name="CÓD. PARADA  MOTIVO"/>
    <tableColumn id="6" xr3:uid="{00000000-0010-0000-0200-000006000000}" name="TEMPO GASTO" dataDxfId="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Funcao" displayName="Funcao" ref="A1:D25" totalsRowShown="0">
  <autoFilter ref="A1:D25" xr:uid="{00000000-0009-0000-0100-000003000000}"/>
  <tableColumns count="4">
    <tableColumn id="1" xr3:uid="{00000000-0010-0000-0300-000001000000}" name="DATA" dataDxfId="1"/>
    <tableColumn id="2" xr3:uid="{00000000-0010-0000-0300-000002000000}" name="PRODUTO"/>
    <tableColumn id="3" xr3:uid="{00000000-0010-0000-0300-000003000000}" name="FUNÇÃO"/>
    <tableColumn id="4" xr3:uid="{00000000-0010-0000-0300-000004000000}" name="COLABORADOR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ateria_Prima" displayName="Materia_Prima" ref="A1:D13" totalsRowShown="0">
  <autoFilter ref="A1:D13" xr:uid="{00000000-0009-0000-0100-000005000000}"/>
  <tableColumns count="4">
    <tableColumn id="1" xr3:uid="{00000000-0010-0000-0400-000001000000}" name="DATA"/>
    <tableColumn id="2" xr3:uid="{00000000-0010-0000-0400-000002000000}" name="PRODUTO"/>
    <tableColumn id="3" xr3:uid="{00000000-0010-0000-0400-000003000000}" name="MATÉRIA PRIMA"/>
    <tableColumn id="4" xr3:uid="{00000000-0010-0000-0400-000004000000}" name="FORNECEDOR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orque" displayName="Torque" ref="A1:D6" totalsRowShown="0">
  <autoFilter ref="A1:D6" xr:uid="{00000000-0009-0000-0100-000006000000}"/>
  <tableColumns count="4">
    <tableColumn id="1" xr3:uid="{00000000-0010-0000-0500-000001000000}" name="DATA"/>
    <tableColumn id="2" xr3:uid="{00000000-0010-0000-0500-000002000000}" name="PRODUTO"/>
    <tableColumn id="3" xr3:uid="{00000000-0010-0000-0500-000003000000}" name="HORÁRIO" dataDxfId="0"/>
    <tableColumn id="4" xr3:uid="{00000000-0010-0000-0500-000004000000}" name="TORQU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eport"/>
  <dimension ref="A1"/>
  <sheetViews>
    <sheetView showGridLines="0" tabSelected="1" topLeftCell="A22" workbookViewId="0">
      <selection activeCell="H41" sqref="H41"/>
    </sheetView>
  </sheetViews>
  <sheetFormatPr defaultRowHeight="15" x14ac:dyDescent="0.25"/>
  <cols>
    <col min="1" max="1" width="3.140625" customWidth="1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Formulario"/>
  <dimension ref="B2:N26"/>
  <sheetViews>
    <sheetView showGridLines="0" zoomScale="85" zoomScaleNormal="85" workbookViewId="0">
      <selection activeCell="E6" sqref="E6:F6"/>
    </sheetView>
  </sheetViews>
  <sheetFormatPr defaultRowHeight="15" x14ac:dyDescent="0.25"/>
  <cols>
    <col min="1" max="1" width="3.140625" customWidth="1"/>
    <col min="2" max="2" width="28.5703125" bestFit="1" customWidth="1"/>
    <col min="3" max="3" width="18.28515625" customWidth="1"/>
    <col min="4" max="4" width="3.140625" customWidth="1"/>
    <col min="5" max="6" width="11.5703125" customWidth="1"/>
    <col min="7" max="7" width="18.85546875" bestFit="1" customWidth="1"/>
    <col min="8" max="8" width="12.5703125" bestFit="1" customWidth="1"/>
    <col min="9" max="9" width="3.140625" customWidth="1"/>
    <col min="10" max="11" width="15.7109375" customWidth="1"/>
    <col min="12" max="12" width="3.140625" customWidth="1"/>
    <col min="14" max="14" width="45.42578125" bestFit="1" customWidth="1"/>
  </cols>
  <sheetData>
    <row r="2" spans="2:14" x14ac:dyDescent="0.25">
      <c r="B2" s="16" t="s">
        <v>0</v>
      </c>
      <c r="C2" s="16"/>
      <c r="F2" s="8" t="s">
        <v>47</v>
      </c>
      <c r="G2" s="7"/>
      <c r="J2" s="10" t="s">
        <v>20</v>
      </c>
      <c r="K2" s="10" t="s">
        <v>21</v>
      </c>
      <c r="M2" s="17" t="s">
        <v>34</v>
      </c>
      <c r="N2" s="17"/>
    </row>
    <row r="3" spans="2:14" x14ac:dyDescent="0.25">
      <c r="J3" s="5"/>
      <c r="K3" s="11"/>
      <c r="M3" s="9">
        <v>1</v>
      </c>
      <c r="N3" s="1" t="s">
        <v>22</v>
      </c>
    </row>
    <row r="4" spans="2:14" x14ac:dyDescent="0.25">
      <c r="B4" s="13" t="s">
        <v>48</v>
      </c>
      <c r="C4" s="11"/>
      <c r="E4" s="17" t="s">
        <v>2</v>
      </c>
      <c r="F4" s="17"/>
      <c r="G4" s="32" t="s">
        <v>3</v>
      </c>
      <c r="H4" s="33"/>
      <c r="J4" s="5"/>
      <c r="K4" s="11"/>
      <c r="M4" s="9">
        <v>2</v>
      </c>
      <c r="N4" s="1" t="s">
        <v>23</v>
      </c>
    </row>
    <row r="5" spans="2:14" x14ac:dyDescent="0.25">
      <c r="B5" s="13" t="s">
        <v>49</v>
      </c>
      <c r="C5" s="11"/>
      <c r="E5" s="34" t="s">
        <v>4</v>
      </c>
      <c r="F5" s="35"/>
      <c r="G5" s="14"/>
      <c r="H5" s="15"/>
      <c r="J5" s="5"/>
      <c r="K5" s="11"/>
      <c r="M5" s="9">
        <v>3</v>
      </c>
      <c r="N5" s="1" t="s">
        <v>24</v>
      </c>
    </row>
    <row r="6" spans="2:14" x14ac:dyDescent="0.25">
      <c r="B6" s="13" t="s">
        <v>50</v>
      </c>
      <c r="C6" s="11"/>
      <c r="E6" s="34" t="s">
        <v>5</v>
      </c>
      <c r="F6" s="35"/>
      <c r="G6" s="14"/>
      <c r="H6" s="15"/>
      <c r="J6" s="5"/>
      <c r="K6" s="11"/>
      <c r="M6" s="9">
        <v>4</v>
      </c>
      <c r="N6" s="1" t="s">
        <v>25</v>
      </c>
    </row>
    <row r="7" spans="2:14" x14ac:dyDescent="0.25">
      <c r="B7" s="13" t="s">
        <v>51</v>
      </c>
      <c r="C7" s="5"/>
      <c r="E7" s="34" t="s">
        <v>6</v>
      </c>
      <c r="F7" s="35"/>
      <c r="G7" s="14"/>
      <c r="H7" s="15"/>
      <c r="J7" s="5"/>
      <c r="K7" s="11"/>
      <c r="M7" s="9">
        <v>5</v>
      </c>
      <c r="N7" s="1" t="s">
        <v>26</v>
      </c>
    </row>
    <row r="8" spans="2:14" x14ac:dyDescent="0.25">
      <c r="B8" s="13" t="s">
        <v>52</v>
      </c>
      <c r="C8" s="5"/>
      <c r="G8" s="27"/>
      <c r="J8" s="5"/>
      <c r="K8" s="11"/>
      <c r="M8" s="9">
        <v>6</v>
      </c>
      <c r="N8" s="1" t="s">
        <v>27</v>
      </c>
    </row>
    <row r="9" spans="2:14" x14ac:dyDescent="0.25">
      <c r="B9" s="13" t="s">
        <v>1</v>
      </c>
      <c r="C9" s="6" t="str">
        <f>IF(C7="","",($C$8-$C$7)-SUM($H$13:$H$19))</f>
        <v/>
      </c>
      <c r="J9" s="5"/>
      <c r="K9" s="11"/>
      <c r="M9" s="9">
        <v>7</v>
      </c>
      <c r="N9" s="1" t="s">
        <v>28</v>
      </c>
    </row>
    <row r="10" spans="2:14" x14ac:dyDescent="0.25">
      <c r="J10" s="5"/>
      <c r="K10" s="11"/>
      <c r="M10" s="9">
        <v>8</v>
      </c>
      <c r="N10" s="1" t="s">
        <v>29</v>
      </c>
    </row>
    <row r="11" spans="2:14" ht="17.25" customHeight="1" x14ac:dyDescent="0.25">
      <c r="B11" s="10" t="s">
        <v>7</v>
      </c>
      <c r="C11" s="10" t="s">
        <v>8</v>
      </c>
      <c r="E11" s="32" t="s">
        <v>15</v>
      </c>
      <c r="F11" s="36"/>
      <c r="G11" s="36"/>
      <c r="H11" s="33"/>
      <c r="J11" s="5"/>
      <c r="K11" s="11"/>
      <c r="M11" s="9">
        <v>9</v>
      </c>
      <c r="N11" s="1" t="s">
        <v>30</v>
      </c>
    </row>
    <row r="12" spans="2:14" x14ac:dyDescent="0.25">
      <c r="B12" s="1" t="s">
        <v>9</v>
      </c>
      <c r="C12" s="11"/>
      <c r="E12" s="10" t="s">
        <v>16</v>
      </c>
      <c r="F12" s="10" t="s">
        <v>17</v>
      </c>
      <c r="G12" s="10" t="s">
        <v>18</v>
      </c>
      <c r="H12" s="10" t="s">
        <v>19</v>
      </c>
      <c r="J12" s="5"/>
      <c r="K12" s="11"/>
      <c r="M12" s="9">
        <v>10</v>
      </c>
      <c r="N12" s="1" t="s">
        <v>31</v>
      </c>
    </row>
    <row r="13" spans="2:14" x14ac:dyDescent="0.25">
      <c r="B13" s="1" t="s">
        <v>10</v>
      </c>
      <c r="C13" s="11"/>
      <c r="E13" s="5"/>
      <c r="F13" s="5"/>
      <c r="G13" s="11"/>
      <c r="H13" s="6" t="str">
        <f>IF(E13="","",F13-E13)</f>
        <v/>
      </c>
      <c r="J13" s="5"/>
      <c r="K13" s="11"/>
      <c r="M13" s="9">
        <v>11</v>
      </c>
      <c r="N13" s="1" t="s">
        <v>32</v>
      </c>
    </row>
    <row r="14" spans="2:14" x14ac:dyDescent="0.25">
      <c r="B14" s="1" t="s">
        <v>11</v>
      </c>
      <c r="C14" s="11"/>
      <c r="E14" s="5"/>
      <c r="F14" s="5"/>
      <c r="G14" s="11"/>
      <c r="H14" s="6" t="str">
        <f t="shared" ref="H14:H19" si="0">IF(E14="","",F14-E14)</f>
        <v/>
      </c>
      <c r="J14" s="5"/>
      <c r="K14" s="11"/>
      <c r="M14" s="9">
        <v>12</v>
      </c>
      <c r="N14" s="1" t="s">
        <v>33</v>
      </c>
    </row>
    <row r="15" spans="2:14" x14ac:dyDescent="0.25">
      <c r="B15" s="1" t="s">
        <v>12</v>
      </c>
      <c r="C15" s="11"/>
      <c r="E15" s="5"/>
      <c r="F15" s="5"/>
      <c r="G15" s="11"/>
      <c r="H15" s="6" t="str">
        <f t="shared" si="0"/>
        <v/>
      </c>
      <c r="J15" s="5"/>
      <c r="K15" s="11"/>
    </row>
    <row r="16" spans="2:14" x14ac:dyDescent="0.25">
      <c r="B16" s="1" t="s">
        <v>13</v>
      </c>
      <c r="C16" s="11"/>
      <c r="E16" s="5"/>
      <c r="F16" s="5"/>
      <c r="G16" s="11"/>
      <c r="H16" s="6" t="str">
        <f t="shared" si="0"/>
        <v/>
      </c>
      <c r="J16" s="5"/>
      <c r="K16" s="11"/>
      <c r="M16" s="17" t="s">
        <v>45</v>
      </c>
      <c r="N16" s="17"/>
    </row>
    <row r="17" spans="2:14" x14ac:dyDescent="0.25">
      <c r="B17" s="1" t="s">
        <v>14</v>
      </c>
      <c r="C17" s="11"/>
      <c r="E17" s="5"/>
      <c r="F17" s="5"/>
      <c r="G17" s="11"/>
      <c r="H17" s="6" t="str">
        <f t="shared" si="0"/>
        <v/>
      </c>
      <c r="J17" s="5"/>
      <c r="K17" s="11"/>
      <c r="M17" s="2">
        <v>13</v>
      </c>
      <c r="N17" s="1" t="s">
        <v>39</v>
      </c>
    </row>
    <row r="18" spans="2:14" x14ac:dyDescent="0.25">
      <c r="E18" s="5"/>
      <c r="F18" s="5"/>
      <c r="G18" s="11"/>
      <c r="H18" s="6" t="str">
        <f t="shared" si="0"/>
        <v/>
      </c>
      <c r="J18" s="5"/>
      <c r="K18" s="11"/>
      <c r="M18" s="2">
        <v>14</v>
      </c>
      <c r="N18" s="1" t="s">
        <v>40</v>
      </c>
    </row>
    <row r="19" spans="2:14" x14ac:dyDescent="0.25">
      <c r="B19" s="4"/>
      <c r="C19" s="4"/>
      <c r="E19" s="5"/>
      <c r="F19" s="5"/>
      <c r="G19" s="11"/>
      <c r="H19" s="6" t="str">
        <f t="shared" si="0"/>
        <v/>
      </c>
      <c r="J19" s="5"/>
      <c r="K19" s="11"/>
      <c r="M19" s="2">
        <v>15</v>
      </c>
      <c r="N19" s="1" t="s">
        <v>41</v>
      </c>
    </row>
    <row r="20" spans="2:14" x14ac:dyDescent="0.25">
      <c r="M20" s="2">
        <v>16</v>
      </c>
      <c r="N20" s="1" t="s">
        <v>42</v>
      </c>
    </row>
    <row r="21" spans="2:14" x14ac:dyDescent="0.25">
      <c r="B21" s="32" t="s">
        <v>35</v>
      </c>
      <c r="C21" s="33"/>
      <c r="E21" s="37" t="s">
        <v>46</v>
      </c>
      <c r="F21" s="38"/>
      <c r="G21" s="38"/>
      <c r="H21" s="38"/>
      <c r="I21" s="38"/>
      <c r="J21" s="38"/>
      <c r="K21" s="39"/>
      <c r="M21" s="2">
        <v>17</v>
      </c>
      <c r="N21" s="1" t="s">
        <v>43</v>
      </c>
    </row>
    <row r="22" spans="2:14" ht="21" x14ac:dyDescent="0.25">
      <c r="B22" s="10" t="s">
        <v>36</v>
      </c>
      <c r="C22" s="10" t="s">
        <v>37</v>
      </c>
      <c r="E22" s="26"/>
      <c r="F22" s="19"/>
      <c r="G22" s="19"/>
      <c r="H22" s="19"/>
      <c r="I22" s="19"/>
      <c r="J22" s="19"/>
      <c r="K22" s="20"/>
      <c r="M22" s="2">
        <v>18</v>
      </c>
      <c r="N22" s="1" t="s">
        <v>44</v>
      </c>
    </row>
    <row r="23" spans="2:14" ht="21" x14ac:dyDescent="0.25">
      <c r="B23" s="1" t="s">
        <v>4</v>
      </c>
      <c r="C23" s="11"/>
      <c r="E23" s="21"/>
      <c r="F23" s="18"/>
      <c r="G23" s="18"/>
      <c r="H23" s="18"/>
      <c r="I23" s="18"/>
      <c r="J23" s="18"/>
      <c r="K23" s="22"/>
    </row>
    <row r="24" spans="2:14" ht="21" x14ac:dyDescent="0.25">
      <c r="B24" s="1" t="s">
        <v>5</v>
      </c>
      <c r="C24" s="11"/>
      <c r="E24" s="21"/>
      <c r="F24" s="18"/>
      <c r="G24" s="18"/>
      <c r="H24" s="18"/>
      <c r="I24" s="18"/>
      <c r="J24" s="18"/>
      <c r="K24" s="22"/>
    </row>
    <row r="25" spans="2:14" ht="21" x14ac:dyDescent="0.25">
      <c r="B25" s="1" t="s">
        <v>6</v>
      </c>
      <c r="C25" s="11"/>
      <c r="E25" s="21"/>
      <c r="F25" s="18"/>
      <c r="G25" s="18"/>
      <c r="H25" s="18"/>
      <c r="I25" s="18"/>
      <c r="J25" s="18"/>
      <c r="K25" s="22"/>
    </row>
    <row r="26" spans="2:14" ht="21" x14ac:dyDescent="0.25">
      <c r="B26" s="1" t="s">
        <v>38</v>
      </c>
      <c r="C26" s="11"/>
      <c r="E26" s="23"/>
      <c r="F26" s="24"/>
      <c r="G26" s="24"/>
      <c r="H26" s="24"/>
      <c r="I26" s="24"/>
      <c r="J26" s="24"/>
      <c r="K26" s="25"/>
    </row>
  </sheetData>
  <mergeCells count="7">
    <mergeCell ref="B21:C21"/>
    <mergeCell ref="E5:F5"/>
    <mergeCell ref="E6:F6"/>
    <mergeCell ref="E7:F7"/>
    <mergeCell ref="G4:H4"/>
    <mergeCell ref="E11:H11"/>
    <mergeCell ref="E21:K21"/>
  </mergeCells>
  <pageMargins left="0.511811024" right="0.511811024" top="0.78740157499999996" bottom="0.78740157499999996" header="0.31496062000000002" footer="0.31496062000000002"/>
  <pageSetup paperSize="9" scale="4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roduto"/>
  <dimension ref="A1:H14"/>
  <sheetViews>
    <sheetView showGridLines="0" workbookViewId="0">
      <selection activeCell="G9" sqref="G9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.5703125" bestFit="1" customWidth="1"/>
    <col min="4" max="4" width="20.28515625" bestFit="1" customWidth="1"/>
    <col min="5" max="5" width="20" bestFit="1" customWidth="1"/>
    <col min="6" max="6" width="19.28515625" bestFit="1" customWidth="1"/>
    <col min="7" max="7" width="15.85546875" bestFit="1" customWidth="1"/>
    <col min="8" max="8" width="15.5703125" bestFit="1" customWidth="1"/>
  </cols>
  <sheetData>
    <row r="1" spans="1:8" x14ac:dyDescent="0.25">
      <c r="A1" s="4" t="s">
        <v>53</v>
      </c>
      <c r="B1" s="4" t="s">
        <v>54</v>
      </c>
      <c r="C1" s="4" t="s">
        <v>55</v>
      </c>
      <c r="D1" s="4" t="s">
        <v>56</v>
      </c>
      <c r="E1" s="4" t="s">
        <v>57</v>
      </c>
      <c r="F1" s="4" t="s">
        <v>58</v>
      </c>
      <c r="G1" s="4" t="s">
        <v>59</v>
      </c>
      <c r="H1" t="s">
        <v>64</v>
      </c>
    </row>
    <row r="2" spans="1:8" x14ac:dyDescent="0.25">
      <c r="A2" s="28">
        <v>42004</v>
      </c>
      <c r="B2" s="4" t="s">
        <v>74</v>
      </c>
      <c r="C2" s="4" t="s">
        <v>75</v>
      </c>
      <c r="D2" s="4">
        <v>10000</v>
      </c>
      <c r="E2" s="29">
        <v>0.29166666666666669</v>
      </c>
      <c r="F2" s="29">
        <v>0.75</v>
      </c>
      <c r="G2" s="29">
        <v>0.33333333333333298</v>
      </c>
      <c r="H2" t="s">
        <v>79</v>
      </c>
    </row>
    <row r="3" spans="1:8" x14ac:dyDescent="0.25">
      <c r="A3" s="28">
        <v>42035</v>
      </c>
      <c r="B3" s="4" t="s">
        <v>74</v>
      </c>
      <c r="C3" s="4" t="s">
        <v>75</v>
      </c>
      <c r="D3" s="4">
        <v>10000</v>
      </c>
      <c r="E3" s="29">
        <v>0.29166666666666669</v>
      </c>
      <c r="F3" s="29">
        <v>0.75</v>
      </c>
      <c r="G3" s="29">
        <v>0.33333333333333337</v>
      </c>
      <c r="H3" t="s">
        <v>79</v>
      </c>
    </row>
    <row r="4" spans="1:8" x14ac:dyDescent="0.25">
      <c r="A4" s="28">
        <v>42063</v>
      </c>
      <c r="B4" s="4" t="s">
        <v>80</v>
      </c>
      <c r="C4" s="4" t="s">
        <v>75</v>
      </c>
      <c r="D4" s="4">
        <v>20000</v>
      </c>
      <c r="E4" s="29">
        <v>0.29166666666666669</v>
      </c>
      <c r="F4" s="29">
        <v>0.75</v>
      </c>
      <c r="G4" s="29">
        <v>0.33333333333333337</v>
      </c>
      <c r="H4" t="s">
        <v>79</v>
      </c>
    </row>
    <row r="5" spans="1:8" x14ac:dyDescent="0.25">
      <c r="A5" s="28">
        <v>42063</v>
      </c>
      <c r="B5" s="4" t="s">
        <v>74</v>
      </c>
      <c r="C5" s="4" t="s">
        <v>75</v>
      </c>
      <c r="D5" s="4">
        <v>10000</v>
      </c>
      <c r="E5" s="29">
        <v>0.29166666666666669</v>
      </c>
      <c r="F5" s="29">
        <v>0.75</v>
      </c>
      <c r="G5" s="29">
        <v>0.33333333333333337</v>
      </c>
      <c r="H5" t="s">
        <v>79</v>
      </c>
    </row>
    <row r="14" spans="1:8" x14ac:dyDescent="0.25">
      <c r="E14" s="3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erdas"/>
  <dimension ref="A1:D17"/>
  <sheetViews>
    <sheetView showGridLines="0" workbookViewId="0">
      <selection activeCell="D22" sqref="D22"/>
    </sheetView>
  </sheetViews>
  <sheetFormatPr defaultRowHeight="15" x14ac:dyDescent="0.25"/>
  <cols>
    <col min="2" max="2" width="10.28515625" customWidth="1"/>
    <col min="4" max="4" width="15" customWidth="1"/>
  </cols>
  <sheetData>
    <row r="1" spans="1:4" x14ac:dyDescent="0.25">
      <c r="A1" t="s">
        <v>53</v>
      </c>
      <c r="B1" t="s">
        <v>54</v>
      </c>
      <c r="C1" t="s">
        <v>36</v>
      </c>
      <c r="D1" t="s">
        <v>37</v>
      </c>
    </row>
    <row r="2" spans="1:4" x14ac:dyDescent="0.25">
      <c r="A2" s="3">
        <v>42004</v>
      </c>
      <c r="B2" t="s">
        <v>74</v>
      </c>
      <c r="C2" t="s">
        <v>4</v>
      </c>
      <c r="D2">
        <v>10</v>
      </c>
    </row>
    <row r="3" spans="1:4" x14ac:dyDescent="0.25">
      <c r="A3" s="3">
        <v>42004</v>
      </c>
      <c r="B3" t="s">
        <v>74</v>
      </c>
      <c r="C3" t="s">
        <v>5</v>
      </c>
      <c r="D3">
        <v>12</v>
      </c>
    </row>
    <row r="4" spans="1:4" x14ac:dyDescent="0.25">
      <c r="A4" s="3">
        <v>42004</v>
      </c>
      <c r="B4" t="s">
        <v>74</v>
      </c>
      <c r="C4" t="s">
        <v>6</v>
      </c>
      <c r="D4">
        <v>14</v>
      </c>
    </row>
    <row r="5" spans="1:4" x14ac:dyDescent="0.25">
      <c r="A5" s="3">
        <v>42004</v>
      </c>
      <c r="B5" t="s">
        <v>74</v>
      </c>
      <c r="C5" t="s">
        <v>38</v>
      </c>
      <c r="D5">
        <v>16</v>
      </c>
    </row>
    <row r="6" spans="1:4" x14ac:dyDescent="0.25">
      <c r="A6" s="3">
        <v>42035</v>
      </c>
      <c r="B6" t="s">
        <v>74</v>
      </c>
      <c r="C6" t="s">
        <v>4</v>
      </c>
      <c r="D6">
        <v>10</v>
      </c>
    </row>
    <row r="7" spans="1:4" x14ac:dyDescent="0.25">
      <c r="A7" s="3">
        <v>42035</v>
      </c>
      <c r="B7" t="s">
        <v>74</v>
      </c>
      <c r="C7" t="s">
        <v>5</v>
      </c>
      <c r="D7">
        <v>12</v>
      </c>
    </row>
    <row r="8" spans="1:4" x14ac:dyDescent="0.25">
      <c r="A8" s="3">
        <v>42035</v>
      </c>
      <c r="B8" t="s">
        <v>74</v>
      </c>
      <c r="C8" t="s">
        <v>6</v>
      </c>
      <c r="D8">
        <v>14</v>
      </c>
    </row>
    <row r="9" spans="1:4" x14ac:dyDescent="0.25">
      <c r="A9" s="3">
        <v>42035</v>
      </c>
      <c r="B9" t="s">
        <v>74</v>
      </c>
      <c r="C9" t="s">
        <v>38</v>
      </c>
      <c r="D9">
        <v>16</v>
      </c>
    </row>
    <row r="10" spans="1:4" x14ac:dyDescent="0.25">
      <c r="A10" s="3">
        <v>42063</v>
      </c>
      <c r="B10" t="s">
        <v>80</v>
      </c>
      <c r="C10" t="s">
        <v>4</v>
      </c>
      <c r="D10">
        <v>10</v>
      </c>
    </row>
    <row r="11" spans="1:4" x14ac:dyDescent="0.25">
      <c r="A11" s="3">
        <v>42063</v>
      </c>
      <c r="B11" t="s">
        <v>80</v>
      </c>
      <c r="C11" t="s">
        <v>5</v>
      </c>
      <c r="D11">
        <v>12</v>
      </c>
    </row>
    <row r="12" spans="1:4" x14ac:dyDescent="0.25">
      <c r="A12" s="3">
        <v>42063</v>
      </c>
      <c r="B12" t="s">
        <v>80</v>
      </c>
      <c r="C12" t="s">
        <v>6</v>
      </c>
      <c r="D12">
        <v>14</v>
      </c>
    </row>
    <row r="13" spans="1:4" x14ac:dyDescent="0.25">
      <c r="A13" s="3">
        <v>42063</v>
      </c>
      <c r="B13" t="s">
        <v>80</v>
      </c>
      <c r="C13" t="s">
        <v>38</v>
      </c>
      <c r="D13">
        <v>16</v>
      </c>
    </row>
    <row r="14" spans="1:4" x14ac:dyDescent="0.25">
      <c r="A14" s="3">
        <v>42063</v>
      </c>
      <c r="B14" t="s">
        <v>74</v>
      </c>
      <c r="C14" t="s">
        <v>4</v>
      </c>
      <c r="D14">
        <v>10</v>
      </c>
    </row>
    <row r="15" spans="1:4" x14ac:dyDescent="0.25">
      <c r="A15" s="3">
        <v>42063</v>
      </c>
      <c r="B15" t="s">
        <v>74</v>
      </c>
      <c r="C15" t="s">
        <v>5</v>
      </c>
      <c r="D15">
        <v>12</v>
      </c>
    </row>
    <row r="16" spans="1:4" x14ac:dyDescent="0.25">
      <c r="A16" s="3">
        <v>42063</v>
      </c>
      <c r="B16" t="s">
        <v>74</v>
      </c>
      <c r="C16" t="s">
        <v>6</v>
      </c>
      <c r="D16">
        <v>14</v>
      </c>
    </row>
    <row r="17" spans="1:4" x14ac:dyDescent="0.25">
      <c r="A17" s="3">
        <v>42063</v>
      </c>
      <c r="B17" t="s">
        <v>74</v>
      </c>
      <c r="C17" t="s">
        <v>38</v>
      </c>
      <c r="D17"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Paradas"/>
  <dimension ref="A1:F7"/>
  <sheetViews>
    <sheetView showGridLines="0" workbookViewId="0">
      <selection activeCell="E13" sqref="E13"/>
    </sheetView>
  </sheetViews>
  <sheetFormatPr defaultRowHeight="15" x14ac:dyDescent="0.25"/>
  <cols>
    <col min="1" max="1" width="10.7109375" bestFit="1" customWidth="1"/>
    <col min="2" max="2" width="11.85546875" customWidth="1"/>
    <col min="3" max="3" width="12" customWidth="1"/>
    <col min="4" max="4" width="11.42578125" customWidth="1"/>
    <col min="5" max="5" width="23.7109375" customWidth="1"/>
    <col min="6" max="6" width="15.85546875" customWidth="1"/>
  </cols>
  <sheetData>
    <row r="1" spans="1:6" x14ac:dyDescent="0.25">
      <c r="A1" t="s">
        <v>53</v>
      </c>
      <c r="B1" t="s">
        <v>54</v>
      </c>
      <c r="C1" t="s">
        <v>60</v>
      </c>
      <c r="D1" t="s">
        <v>61</v>
      </c>
      <c r="E1" t="s">
        <v>62</v>
      </c>
      <c r="F1" t="s">
        <v>63</v>
      </c>
    </row>
    <row r="2" spans="1:6" x14ac:dyDescent="0.25">
      <c r="A2" s="3">
        <v>42004</v>
      </c>
      <c r="B2" t="s">
        <v>74</v>
      </c>
      <c r="C2" s="31">
        <v>0.3756944444444445</v>
      </c>
      <c r="D2" s="31">
        <v>0.50069444444444444</v>
      </c>
      <c r="E2" t="s">
        <v>69</v>
      </c>
      <c r="F2" s="31">
        <v>0.12499999999999994</v>
      </c>
    </row>
    <row r="3" spans="1:6" x14ac:dyDescent="0.25">
      <c r="A3" s="3">
        <v>42035</v>
      </c>
      <c r="B3" t="s">
        <v>74</v>
      </c>
      <c r="C3" s="31">
        <v>0.3756944444444445</v>
      </c>
      <c r="D3" s="31">
        <v>0.50069444444444444</v>
      </c>
      <c r="E3" t="s">
        <v>69</v>
      </c>
      <c r="F3" s="31">
        <v>0.12499999999999994</v>
      </c>
    </row>
    <row r="4" spans="1:6" x14ac:dyDescent="0.25">
      <c r="A4" s="3">
        <v>42063</v>
      </c>
      <c r="B4" t="s">
        <v>80</v>
      </c>
      <c r="C4" s="31">
        <v>0.3756944444444445</v>
      </c>
      <c r="D4" s="31">
        <v>0.50069444444444444</v>
      </c>
      <c r="E4" t="s">
        <v>69</v>
      </c>
      <c r="F4" s="31">
        <v>0.12499999999999994</v>
      </c>
    </row>
    <row r="5" spans="1:6" x14ac:dyDescent="0.25">
      <c r="A5" s="3">
        <v>42063</v>
      </c>
      <c r="B5" t="s">
        <v>74</v>
      </c>
      <c r="C5" s="31">
        <v>0.3756944444444445</v>
      </c>
      <c r="D5" s="31">
        <v>0.50069444444444444</v>
      </c>
      <c r="E5" t="s">
        <v>69</v>
      </c>
      <c r="F5" s="31">
        <v>0.12499999999999994</v>
      </c>
    </row>
    <row r="6" spans="1:6" x14ac:dyDescent="0.25">
      <c r="A6" s="3">
        <v>42063</v>
      </c>
      <c r="B6" t="s">
        <v>74</v>
      </c>
      <c r="C6" s="31">
        <v>0.3756944444444445</v>
      </c>
      <c r="D6" s="31">
        <v>0.50069444444444444</v>
      </c>
      <c r="E6" t="s">
        <v>69</v>
      </c>
      <c r="F6" s="31">
        <v>0.12499999999999994</v>
      </c>
    </row>
    <row r="7" spans="1:6" x14ac:dyDescent="0.25">
      <c r="A7" s="3">
        <v>42063</v>
      </c>
      <c r="B7" t="s">
        <v>74</v>
      </c>
      <c r="C7" s="31">
        <v>0.3756944444444445</v>
      </c>
      <c r="D7" s="31">
        <v>0.50069444444444444</v>
      </c>
      <c r="E7" t="s">
        <v>69</v>
      </c>
      <c r="F7" s="31">
        <v>0.12499999999999994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Funcao"/>
  <dimension ref="A1:D25"/>
  <sheetViews>
    <sheetView showGridLines="0" workbookViewId="0">
      <selection activeCell="A2" sqref="A2:XFD13"/>
    </sheetView>
  </sheetViews>
  <sheetFormatPr defaultRowHeight="15" x14ac:dyDescent="0.25"/>
  <cols>
    <col min="1" max="1" width="11.5703125" bestFit="1" customWidth="1"/>
    <col min="2" max="2" width="11.85546875" customWidth="1"/>
    <col min="3" max="3" width="27" bestFit="1" customWidth="1"/>
    <col min="4" max="4" width="16.7109375" customWidth="1"/>
  </cols>
  <sheetData>
    <row r="1" spans="1:4" x14ac:dyDescent="0.25">
      <c r="A1" t="s">
        <v>53</v>
      </c>
      <c r="B1" t="s">
        <v>54</v>
      </c>
      <c r="C1" t="s">
        <v>7</v>
      </c>
      <c r="D1" t="s">
        <v>8</v>
      </c>
    </row>
    <row r="2" spans="1:4" x14ac:dyDescent="0.25">
      <c r="A2" s="3">
        <v>42004</v>
      </c>
      <c r="B2" t="s">
        <v>74</v>
      </c>
      <c r="C2" t="s">
        <v>9</v>
      </c>
      <c r="D2" t="s">
        <v>69</v>
      </c>
    </row>
    <row r="3" spans="1:4" x14ac:dyDescent="0.25">
      <c r="A3" s="3">
        <v>42004</v>
      </c>
      <c r="B3" t="s">
        <v>74</v>
      </c>
      <c r="C3" t="s">
        <v>10</v>
      </c>
      <c r="D3" t="s">
        <v>71</v>
      </c>
    </row>
    <row r="4" spans="1:4" x14ac:dyDescent="0.25">
      <c r="A4" s="3">
        <v>42004</v>
      </c>
      <c r="B4" t="s">
        <v>74</v>
      </c>
      <c r="C4" t="s">
        <v>11</v>
      </c>
      <c r="D4" t="s">
        <v>70</v>
      </c>
    </row>
    <row r="5" spans="1:4" x14ac:dyDescent="0.25">
      <c r="A5" s="3">
        <v>42004</v>
      </c>
      <c r="B5" t="s">
        <v>74</v>
      </c>
      <c r="C5" t="s">
        <v>12</v>
      </c>
      <c r="D5" t="s">
        <v>73</v>
      </c>
    </row>
    <row r="6" spans="1:4" x14ac:dyDescent="0.25">
      <c r="A6" s="3">
        <v>42004</v>
      </c>
      <c r="B6" t="s">
        <v>74</v>
      </c>
      <c r="C6" t="s">
        <v>13</v>
      </c>
      <c r="D6" t="s">
        <v>72</v>
      </c>
    </row>
    <row r="7" spans="1:4" x14ac:dyDescent="0.25">
      <c r="A7" s="3">
        <v>42004</v>
      </c>
      <c r="B7" t="s">
        <v>74</v>
      </c>
      <c r="C7" t="s">
        <v>14</v>
      </c>
      <c r="D7" t="s">
        <v>71</v>
      </c>
    </row>
    <row r="8" spans="1:4" x14ac:dyDescent="0.25">
      <c r="A8" s="3">
        <v>42035</v>
      </c>
      <c r="B8" t="s">
        <v>74</v>
      </c>
      <c r="C8" t="s">
        <v>9</v>
      </c>
      <c r="D8" t="s">
        <v>69</v>
      </c>
    </row>
    <row r="9" spans="1:4" x14ac:dyDescent="0.25">
      <c r="A9" s="3">
        <v>42035</v>
      </c>
      <c r="B9" t="s">
        <v>74</v>
      </c>
      <c r="C9" t="s">
        <v>10</v>
      </c>
      <c r="D9" t="s">
        <v>71</v>
      </c>
    </row>
    <row r="10" spans="1:4" x14ac:dyDescent="0.25">
      <c r="A10" s="3">
        <v>42035</v>
      </c>
      <c r="B10" t="s">
        <v>74</v>
      </c>
      <c r="C10" t="s">
        <v>11</v>
      </c>
      <c r="D10" t="s">
        <v>70</v>
      </c>
    </row>
    <row r="11" spans="1:4" x14ac:dyDescent="0.25">
      <c r="A11" s="3">
        <v>42035</v>
      </c>
      <c r="B11" t="s">
        <v>74</v>
      </c>
      <c r="C11" t="s">
        <v>12</v>
      </c>
      <c r="D11" t="s">
        <v>73</v>
      </c>
    </row>
    <row r="12" spans="1:4" x14ac:dyDescent="0.25">
      <c r="A12" s="3">
        <v>42035</v>
      </c>
      <c r="B12" t="s">
        <v>74</v>
      </c>
      <c r="C12" t="s">
        <v>13</v>
      </c>
      <c r="D12" t="s">
        <v>72</v>
      </c>
    </row>
    <row r="13" spans="1:4" x14ac:dyDescent="0.25">
      <c r="A13" s="3">
        <v>42035</v>
      </c>
      <c r="B13" t="s">
        <v>74</v>
      </c>
      <c r="C13" t="s">
        <v>14</v>
      </c>
      <c r="D13" t="s">
        <v>71</v>
      </c>
    </row>
    <row r="14" spans="1:4" x14ac:dyDescent="0.25">
      <c r="A14" s="3">
        <v>42063</v>
      </c>
      <c r="B14" t="s">
        <v>80</v>
      </c>
      <c r="C14" t="s">
        <v>9</v>
      </c>
      <c r="D14" t="s">
        <v>69</v>
      </c>
    </row>
    <row r="15" spans="1:4" x14ac:dyDescent="0.25">
      <c r="A15" s="3">
        <v>42063</v>
      </c>
      <c r="B15" t="s">
        <v>80</v>
      </c>
      <c r="C15" t="s">
        <v>10</v>
      </c>
      <c r="D15" t="s">
        <v>71</v>
      </c>
    </row>
    <row r="16" spans="1:4" x14ac:dyDescent="0.25">
      <c r="A16" s="3">
        <v>42063</v>
      </c>
      <c r="B16" t="s">
        <v>80</v>
      </c>
      <c r="C16" t="s">
        <v>11</v>
      </c>
      <c r="D16" t="s">
        <v>70</v>
      </c>
    </row>
    <row r="17" spans="1:4" x14ac:dyDescent="0.25">
      <c r="A17" s="3">
        <v>42063</v>
      </c>
      <c r="B17" t="s">
        <v>80</v>
      </c>
      <c r="C17" t="s">
        <v>12</v>
      </c>
      <c r="D17" t="s">
        <v>73</v>
      </c>
    </row>
    <row r="18" spans="1:4" x14ac:dyDescent="0.25">
      <c r="A18" s="3">
        <v>42063</v>
      </c>
      <c r="B18" t="s">
        <v>80</v>
      </c>
      <c r="C18" t="s">
        <v>13</v>
      </c>
      <c r="D18" t="s">
        <v>72</v>
      </c>
    </row>
    <row r="19" spans="1:4" x14ac:dyDescent="0.25">
      <c r="A19" s="3">
        <v>42063</v>
      </c>
      <c r="B19" t="s">
        <v>80</v>
      </c>
      <c r="C19" t="s">
        <v>14</v>
      </c>
      <c r="D19" t="s">
        <v>71</v>
      </c>
    </row>
    <row r="20" spans="1:4" x14ac:dyDescent="0.25">
      <c r="A20" s="3">
        <v>42063</v>
      </c>
      <c r="B20" t="s">
        <v>74</v>
      </c>
      <c r="C20" t="s">
        <v>9</v>
      </c>
      <c r="D20" t="s">
        <v>69</v>
      </c>
    </row>
    <row r="21" spans="1:4" x14ac:dyDescent="0.25">
      <c r="A21" s="3">
        <v>42063</v>
      </c>
      <c r="B21" t="s">
        <v>74</v>
      </c>
      <c r="C21" t="s">
        <v>10</v>
      </c>
      <c r="D21" t="s">
        <v>71</v>
      </c>
    </row>
    <row r="22" spans="1:4" x14ac:dyDescent="0.25">
      <c r="A22" s="3">
        <v>42063</v>
      </c>
      <c r="B22" t="s">
        <v>74</v>
      </c>
      <c r="C22" t="s">
        <v>11</v>
      </c>
      <c r="D22" t="s">
        <v>70</v>
      </c>
    </row>
    <row r="23" spans="1:4" x14ac:dyDescent="0.25">
      <c r="A23" s="3">
        <v>42063</v>
      </c>
      <c r="B23" t="s">
        <v>74</v>
      </c>
      <c r="C23" t="s">
        <v>12</v>
      </c>
      <c r="D23" t="s">
        <v>73</v>
      </c>
    </row>
    <row r="24" spans="1:4" x14ac:dyDescent="0.25">
      <c r="A24" s="3">
        <v>42063</v>
      </c>
      <c r="B24" t="s">
        <v>74</v>
      </c>
      <c r="C24" t="s">
        <v>13</v>
      </c>
      <c r="D24" t="s">
        <v>72</v>
      </c>
    </row>
    <row r="25" spans="1:4" x14ac:dyDescent="0.25">
      <c r="A25" s="3">
        <v>42063</v>
      </c>
      <c r="B25" t="s">
        <v>74</v>
      </c>
      <c r="C25" t="s">
        <v>14</v>
      </c>
      <c r="D2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MP"/>
  <dimension ref="A1:D13"/>
  <sheetViews>
    <sheetView showGridLines="0" workbookViewId="0">
      <selection activeCell="C5" sqref="C5"/>
    </sheetView>
  </sheetViews>
  <sheetFormatPr defaultRowHeight="15" x14ac:dyDescent="0.25"/>
  <cols>
    <col min="1" max="1" width="8" customWidth="1"/>
    <col min="2" max="2" width="11.85546875" customWidth="1"/>
    <col min="3" max="3" width="17.42578125" customWidth="1"/>
    <col min="4" max="4" width="15.140625" customWidth="1"/>
  </cols>
  <sheetData>
    <row r="1" spans="1:4" x14ac:dyDescent="0.25">
      <c r="A1" t="s">
        <v>53</v>
      </c>
      <c r="B1" t="s">
        <v>54</v>
      </c>
      <c r="C1" t="s">
        <v>65</v>
      </c>
      <c r="D1" t="s">
        <v>66</v>
      </c>
    </row>
    <row r="2" spans="1:4" x14ac:dyDescent="0.25">
      <c r="A2" s="3">
        <v>42004</v>
      </c>
      <c r="B2" t="s">
        <v>74</v>
      </c>
      <c r="C2" t="s">
        <v>4</v>
      </c>
      <c r="D2" t="s">
        <v>76</v>
      </c>
    </row>
    <row r="3" spans="1:4" x14ac:dyDescent="0.25">
      <c r="A3" s="3">
        <v>42004</v>
      </c>
      <c r="B3" t="s">
        <v>74</v>
      </c>
      <c r="C3" t="s">
        <v>5</v>
      </c>
      <c r="D3" t="s">
        <v>77</v>
      </c>
    </row>
    <row r="4" spans="1:4" x14ac:dyDescent="0.25">
      <c r="A4" s="3">
        <v>42004</v>
      </c>
      <c r="B4" t="s">
        <v>74</v>
      </c>
      <c r="C4" t="s">
        <v>6</v>
      </c>
      <c r="D4" t="s">
        <v>78</v>
      </c>
    </row>
    <row r="5" spans="1:4" x14ac:dyDescent="0.25">
      <c r="A5" s="3">
        <v>42035</v>
      </c>
      <c r="B5" t="s">
        <v>74</v>
      </c>
      <c r="C5" t="s">
        <v>4</v>
      </c>
      <c r="D5" t="s">
        <v>76</v>
      </c>
    </row>
    <row r="6" spans="1:4" x14ac:dyDescent="0.25">
      <c r="A6" s="3">
        <v>42035</v>
      </c>
      <c r="B6" t="s">
        <v>74</v>
      </c>
      <c r="C6" t="s">
        <v>5</v>
      </c>
      <c r="D6" t="s">
        <v>77</v>
      </c>
    </row>
    <row r="7" spans="1:4" x14ac:dyDescent="0.25">
      <c r="A7" s="3">
        <v>42035</v>
      </c>
      <c r="B7" t="s">
        <v>74</v>
      </c>
      <c r="C7" t="s">
        <v>6</v>
      </c>
      <c r="D7" t="s">
        <v>78</v>
      </c>
    </row>
    <row r="8" spans="1:4" x14ac:dyDescent="0.25">
      <c r="A8" s="3">
        <v>42063</v>
      </c>
      <c r="B8" t="s">
        <v>80</v>
      </c>
      <c r="C8" t="s">
        <v>4</v>
      </c>
      <c r="D8" t="s">
        <v>76</v>
      </c>
    </row>
    <row r="9" spans="1:4" x14ac:dyDescent="0.25">
      <c r="A9" s="3">
        <v>42063</v>
      </c>
      <c r="B9" t="s">
        <v>80</v>
      </c>
      <c r="C9" t="s">
        <v>5</v>
      </c>
      <c r="D9" t="s">
        <v>77</v>
      </c>
    </row>
    <row r="10" spans="1:4" x14ac:dyDescent="0.25">
      <c r="A10" s="3">
        <v>42063</v>
      </c>
      <c r="B10" t="s">
        <v>80</v>
      </c>
      <c r="C10" t="s">
        <v>6</v>
      </c>
      <c r="D10" t="s">
        <v>78</v>
      </c>
    </row>
    <row r="11" spans="1:4" x14ac:dyDescent="0.25">
      <c r="A11" s="3">
        <v>42063</v>
      </c>
      <c r="B11" t="s">
        <v>74</v>
      </c>
      <c r="C11" t="s">
        <v>4</v>
      </c>
      <c r="D11" t="s">
        <v>76</v>
      </c>
    </row>
    <row r="12" spans="1:4" x14ac:dyDescent="0.25">
      <c r="A12" s="3">
        <v>42063</v>
      </c>
      <c r="B12" t="s">
        <v>74</v>
      </c>
      <c r="C12" t="s">
        <v>5</v>
      </c>
      <c r="D12" t="s">
        <v>77</v>
      </c>
    </row>
    <row r="13" spans="1:4" x14ac:dyDescent="0.25">
      <c r="A13" s="3">
        <v>42063</v>
      </c>
      <c r="B13" t="s">
        <v>74</v>
      </c>
      <c r="C13" t="s">
        <v>6</v>
      </c>
      <c r="D13" t="s">
        <v>78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Torque"/>
  <dimension ref="A1:D8"/>
  <sheetViews>
    <sheetView showGridLines="0" workbookViewId="0">
      <selection activeCell="F9" sqref="F9"/>
    </sheetView>
  </sheetViews>
  <sheetFormatPr defaultRowHeight="15" x14ac:dyDescent="0.25"/>
  <cols>
    <col min="1" max="1" width="10.7109375" bestFit="1" customWidth="1"/>
    <col min="2" max="2" width="12.140625" bestFit="1" customWidth="1"/>
    <col min="3" max="3" width="11.5703125" style="12" bestFit="1" customWidth="1"/>
    <col min="4" max="4" width="10.7109375" bestFit="1" customWidth="1"/>
  </cols>
  <sheetData>
    <row r="1" spans="1:4" x14ac:dyDescent="0.25">
      <c r="A1" t="s">
        <v>53</v>
      </c>
      <c r="B1" t="s">
        <v>54</v>
      </c>
      <c r="C1" s="12" t="s">
        <v>67</v>
      </c>
      <c r="D1" t="s">
        <v>68</v>
      </c>
    </row>
    <row r="2" spans="1:4" x14ac:dyDescent="0.25">
      <c r="A2" s="3">
        <v>42004</v>
      </c>
      <c r="B2" t="s">
        <v>74</v>
      </c>
      <c r="C2" s="31">
        <v>0.66666666666666663</v>
      </c>
      <c r="D2" t="s">
        <v>69</v>
      </c>
    </row>
    <row r="3" spans="1:4" x14ac:dyDescent="0.25">
      <c r="A3" s="3">
        <v>42035</v>
      </c>
      <c r="B3" t="s">
        <v>74</v>
      </c>
      <c r="C3" s="31">
        <v>0.66666666666666663</v>
      </c>
      <c r="D3" t="s">
        <v>69</v>
      </c>
    </row>
    <row r="4" spans="1:4" x14ac:dyDescent="0.25">
      <c r="A4" s="3">
        <v>42063</v>
      </c>
      <c r="B4" t="s">
        <v>80</v>
      </c>
      <c r="C4" s="31">
        <v>0.66666666666666663</v>
      </c>
      <c r="D4" t="s">
        <v>69</v>
      </c>
    </row>
    <row r="5" spans="1:4" x14ac:dyDescent="0.25">
      <c r="A5" s="3">
        <v>42063</v>
      </c>
      <c r="B5" t="s">
        <v>74</v>
      </c>
      <c r="C5" s="31">
        <v>0.66666666666666663</v>
      </c>
      <c r="D5" t="s">
        <v>69</v>
      </c>
    </row>
    <row r="6" spans="1:4" x14ac:dyDescent="0.25">
      <c r="A6" s="3">
        <v>42063</v>
      </c>
      <c r="B6" t="s">
        <v>74</v>
      </c>
      <c r="C6" s="31">
        <v>0.70833333333333337</v>
      </c>
      <c r="D6" t="s">
        <v>69</v>
      </c>
    </row>
    <row r="7" spans="1:4" x14ac:dyDescent="0.25">
      <c r="A7" s="3"/>
    </row>
    <row r="8" spans="1:4" x14ac:dyDescent="0.25">
      <c r="A8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5E82A9EA-FE98-49EC-8F0D-A9F86EDF422F}">
  <ds:schemaRefs/>
</ds:datastoreItem>
</file>

<file path=customXml/itemProps2.xml><?xml version="1.0" encoding="utf-8"?>
<ds:datastoreItem xmlns:ds="http://schemas.openxmlformats.org/officeDocument/2006/customXml" ds:itemID="{D42A7804-B6AB-4ABE-A946-6847D61FF5BD}">
  <ds:schemaRefs/>
</ds:datastoreItem>
</file>

<file path=customXml/itemProps3.xml><?xml version="1.0" encoding="utf-8"?>
<ds:datastoreItem xmlns:ds="http://schemas.openxmlformats.org/officeDocument/2006/customXml" ds:itemID="{A791AE74-370E-4499-989D-0948E663CBCC}">
  <ds:schemaRefs/>
</ds:datastoreItem>
</file>

<file path=customXml/itemProps4.xml><?xml version="1.0" encoding="utf-8"?>
<ds:datastoreItem xmlns:ds="http://schemas.openxmlformats.org/officeDocument/2006/customXml" ds:itemID="{57EEBF32-982D-4EAF-90F4-CB2CFABF9EFF}">
  <ds:schemaRefs/>
</ds:datastoreItem>
</file>

<file path=customXml/itemProps5.xml><?xml version="1.0" encoding="utf-8"?>
<ds:datastoreItem xmlns:ds="http://schemas.openxmlformats.org/officeDocument/2006/customXml" ds:itemID="{2B6D61BE-9855-48D5-B6DA-4E5C3393FB1F}">
  <ds:schemaRefs/>
</ds:datastoreItem>
</file>

<file path=customXml/itemProps6.xml><?xml version="1.0" encoding="utf-8"?>
<ds:datastoreItem xmlns:ds="http://schemas.openxmlformats.org/officeDocument/2006/customXml" ds:itemID="{1D0F11D6-1748-4865-94A5-C24F21CCA26D}">
  <ds:schemaRefs/>
</ds:datastoreItem>
</file>

<file path=customXml/itemProps7.xml><?xml version="1.0" encoding="utf-8"?>
<ds:datastoreItem xmlns:ds="http://schemas.openxmlformats.org/officeDocument/2006/customXml" ds:itemID="{946B2D26-47EA-4A6C-9CE8-E34F7EA9E791}">
  <ds:schemaRefs/>
</ds:datastoreItem>
</file>

<file path=customXml/itemProps8.xml><?xml version="1.0" encoding="utf-8"?>
<ds:datastoreItem xmlns:ds="http://schemas.openxmlformats.org/officeDocument/2006/customXml" ds:itemID="{33A9E2A4-71C9-45EF-B6CD-D083740E4B63}">
  <ds:schemaRefs/>
</ds:datastoreItem>
</file>

<file path=customXml/itemProps9.xml><?xml version="1.0" encoding="utf-8"?>
<ds:datastoreItem xmlns:ds="http://schemas.openxmlformats.org/officeDocument/2006/customXml" ds:itemID="{C1BC0E82-AEC1-4C21-A969-B76FBDD8702B}">
  <ds:schemaRefs/>
</ds:datastoreItem>
</file>

<file path=customXml/itemProps10.xml><?xml version="1.0" encoding="utf-8"?>
<ds:datastoreItem xmlns:ds="http://schemas.openxmlformats.org/officeDocument/2006/customXml" ds:itemID="{2BC818B7-8A14-40CE-A0FD-587382347B76}">
  <ds:schemaRefs/>
</ds:datastoreItem>
</file>

<file path=customXml/itemProps11.xml><?xml version="1.0" encoding="utf-8"?>
<ds:datastoreItem xmlns:ds="http://schemas.openxmlformats.org/officeDocument/2006/customXml" ds:itemID="{14DA8C34-C184-4AFC-B688-A7C9C85B84E9}">
  <ds:schemaRefs/>
</ds:datastoreItem>
</file>

<file path=customXml/itemProps12.xml><?xml version="1.0" encoding="utf-8"?>
<ds:datastoreItem xmlns:ds="http://schemas.openxmlformats.org/officeDocument/2006/customXml" ds:itemID="{7A4D6A5C-BBDD-4340-BA47-CE8DFA580620}">
  <ds:schemaRefs/>
</ds:datastoreItem>
</file>

<file path=customXml/itemProps13.xml><?xml version="1.0" encoding="utf-8"?>
<ds:datastoreItem xmlns:ds="http://schemas.openxmlformats.org/officeDocument/2006/customXml" ds:itemID="{B79FA92E-CE14-4D00-88AC-BEAFB43F2EEF}">
  <ds:schemaRefs/>
</ds:datastoreItem>
</file>

<file path=customXml/itemProps14.xml><?xml version="1.0" encoding="utf-8"?>
<ds:datastoreItem xmlns:ds="http://schemas.openxmlformats.org/officeDocument/2006/customXml" ds:itemID="{07ACFFBE-2812-4955-9248-348EC1FC0E70}">
  <ds:schemaRefs/>
</ds:datastoreItem>
</file>

<file path=customXml/itemProps15.xml><?xml version="1.0" encoding="utf-8"?>
<ds:datastoreItem xmlns:ds="http://schemas.openxmlformats.org/officeDocument/2006/customXml" ds:itemID="{347D29CB-7913-42B1-806A-E73FA76F4F09}">
  <ds:schemaRefs/>
</ds:datastoreItem>
</file>

<file path=customXml/itemProps16.xml><?xml version="1.0" encoding="utf-8"?>
<ds:datastoreItem xmlns:ds="http://schemas.openxmlformats.org/officeDocument/2006/customXml" ds:itemID="{D252EBA8-73DF-4471-AA75-C5D206A31D79}">
  <ds:schemaRefs/>
</ds:datastoreItem>
</file>

<file path=customXml/itemProps17.xml><?xml version="1.0" encoding="utf-8"?>
<ds:datastoreItem xmlns:ds="http://schemas.openxmlformats.org/officeDocument/2006/customXml" ds:itemID="{42851598-9F4E-4FBD-A6C7-A99142E7733C}">
  <ds:schemaRefs/>
</ds:datastoreItem>
</file>

<file path=customXml/itemProps18.xml><?xml version="1.0" encoding="utf-8"?>
<ds:datastoreItem xmlns:ds="http://schemas.openxmlformats.org/officeDocument/2006/customXml" ds:itemID="{D7BA2605-27CD-41C8-BB35-B2DAF3365493}">
  <ds:schemaRefs/>
</ds:datastoreItem>
</file>

<file path=customXml/itemProps19.xml><?xml version="1.0" encoding="utf-8"?>
<ds:datastoreItem xmlns:ds="http://schemas.openxmlformats.org/officeDocument/2006/customXml" ds:itemID="{922C87DD-6C06-464D-92BB-132049E3FCA0}">
  <ds:schemaRefs/>
</ds:datastoreItem>
</file>

<file path=customXml/itemProps20.xml><?xml version="1.0" encoding="utf-8"?>
<ds:datastoreItem xmlns:ds="http://schemas.openxmlformats.org/officeDocument/2006/customXml" ds:itemID="{B9C5B59C-3EF6-451E-BABD-1AC4CE2B06D9}">
  <ds:schemaRefs/>
</ds:datastoreItem>
</file>

<file path=customXml/itemProps21.xml><?xml version="1.0" encoding="utf-8"?>
<ds:datastoreItem xmlns:ds="http://schemas.openxmlformats.org/officeDocument/2006/customXml" ds:itemID="{5220512D-9B62-4C3C-9C3C-02839A4CF1F3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D30315E2-FAAB-49C2-BB7B-033033D604C4}">
  <ds:schemaRefs/>
</ds:datastoreItem>
</file>

<file path=customXml/itemProps23.xml><?xml version="1.0" encoding="utf-8"?>
<ds:datastoreItem xmlns:ds="http://schemas.openxmlformats.org/officeDocument/2006/customXml" ds:itemID="{63FDD9C6-4942-432D-ADBE-BD9A76415C9B}">
  <ds:schemaRefs/>
</ds:datastoreItem>
</file>

<file path=customXml/itemProps24.xml><?xml version="1.0" encoding="utf-8"?>
<ds:datastoreItem xmlns:ds="http://schemas.openxmlformats.org/officeDocument/2006/customXml" ds:itemID="{3B20CCC9-E51E-4A67-8DDB-0E877ACE7C6F}">
  <ds:schemaRefs/>
</ds:datastoreItem>
</file>

<file path=customXml/itemProps25.xml><?xml version="1.0" encoding="utf-8"?>
<ds:datastoreItem xmlns:ds="http://schemas.openxmlformats.org/officeDocument/2006/customXml" ds:itemID="{31340F4B-8FB0-4242-BA90-5FA33B779C8E}">
  <ds:schemaRefs/>
</ds:datastoreItem>
</file>

<file path=customXml/itemProps26.xml><?xml version="1.0" encoding="utf-8"?>
<ds:datastoreItem xmlns:ds="http://schemas.openxmlformats.org/officeDocument/2006/customXml" ds:itemID="{79036DAD-FD86-4C26-B8CB-8F001C56711B}">
  <ds:schemaRefs/>
</ds:datastoreItem>
</file>

<file path=customXml/itemProps27.xml><?xml version="1.0" encoding="utf-8"?>
<ds:datastoreItem xmlns:ds="http://schemas.openxmlformats.org/officeDocument/2006/customXml" ds:itemID="{D2D816EC-5937-44F5-8739-E722337EB3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</vt:i4>
      </vt:variant>
    </vt:vector>
  </HeadingPairs>
  <TitlesOfParts>
    <vt:vector size="17" baseType="lpstr">
      <vt:lpstr>Relatório</vt:lpstr>
      <vt:lpstr>PREENCHER</vt:lpstr>
      <vt:lpstr>Produto</vt:lpstr>
      <vt:lpstr>Perdas</vt:lpstr>
      <vt:lpstr>Parada</vt:lpstr>
      <vt:lpstr>Função</vt:lpstr>
      <vt:lpstr>Matéria Prima</vt:lpstr>
      <vt:lpstr>Torque</vt:lpstr>
      <vt:lpstr>PREENCHER!Area_de_impressao</vt:lpstr>
      <vt:lpstr>FUNÇÃO</vt:lpstr>
      <vt:lpstr>hTorques</vt:lpstr>
      <vt:lpstr>Matéria_Prima_Utilizada</vt:lpstr>
      <vt:lpstr>nParadas</vt:lpstr>
      <vt:lpstr>nPerdas</vt:lpstr>
      <vt:lpstr>rngDados</vt:lpstr>
      <vt:lpstr>vData</vt:lpstr>
      <vt:lpstr>vProduto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Amauri Nogueira</dc:creator>
  <cp:lastModifiedBy>Ivanildo Junior</cp:lastModifiedBy>
  <dcterms:created xsi:type="dcterms:W3CDTF">2019-01-08T15:58:17Z</dcterms:created>
  <dcterms:modified xsi:type="dcterms:W3CDTF">2019-01-09T23:30:26Z</dcterms:modified>
</cp:coreProperties>
</file>