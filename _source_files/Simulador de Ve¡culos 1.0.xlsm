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277BFCA8-0A1C-E630-347C-98D23832170D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Junior &amp; Cris\Documents\1 ARQUIVOS DO EXCEL\"/>
    </mc:Choice>
  </mc:AlternateContent>
  <xr:revisionPtr revIDLastSave="0" documentId="13_ncr:1_{724450E5-E3CD-4397-AB87-6961EF0D9CF9}" xr6:coauthVersionLast="34" xr6:coauthVersionMax="34" xr10:uidLastSave="{00000000-0000-0000-0000-000000000000}"/>
  <bookViews>
    <workbookView xWindow="0" yWindow="0" windowWidth="20490" windowHeight="7680" xr2:uid="{71DFE9E9-EE89-4D80-8A6D-8173801E69D7}"/>
  </bookViews>
  <sheets>
    <sheet name="tbSimulação" sheetId="1" r:id="rId1"/>
    <sheet name="tbJuros" sheetId="2" r:id="rId2"/>
  </sheets>
  <functionGroups builtInGroupCount="19"/>
  <definedNames>
    <definedName name="Banco">OFFSET(tbJuros!#REF!,1,0,COUNTA(tbJuros!#REF!)-1,1)</definedName>
    <definedName name="DadosExternos_2" localSheetId="1" hidden="1">tbJuros!#REF!</definedName>
    <definedName name="Montadora">OFFSET(tbJuros!#REF!,1,0,COUNTA(tbJuros!#REF!)-1,1)</definedName>
  </definedNames>
  <calcPr calcId="17901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4" i="2" l="1"/>
  <c r="C4" i="2" l="1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5" i="2"/>
</calcChain>
</file>

<file path=xl/sharedStrings.xml><?xml version="1.0" encoding="utf-8"?>
<sst xmlns="http://schemas.openxmlformats.org/spreadsheetml/2006/main" count="40" uniqueCount="40">
  <si>
    <t>Instituição</t>
  </si>
  <si>
    <t>Tabela de Juros (2018)</t>
  </si>
  <si>
    <t>CCB BRASIL S.A. - CFI</t>
  </si>
  <si>
    <t>BANCO MERCEDES-BENZ S.A.</t>
  </si>
  <si>
    <t>BANCO CNH INDUSTRIAL CAPITAL S.A</t>
  </si>
  <si>
    <t>BANCO RCI BRASIL S.A.</t>
  </si>
  <si>
    <t>BANCO PSA FINANCE BRASIL S.A.</t>
  </si>
  <si>
    <t>BANCO GMAC S.A.</t>
  </si>
  <si>
    <t>FINANC ALFA S.A. CFI</t>
  </si>
  <si>
    <t>BMW FINANCEIRA S.A. - CFI</t>
  </si>
  <si>
    <t>BANCO TOYOTA DO BRASIL S.A.</t>
  </si>
  <si>
    <t>BANCO RODOBENS S.A.</t>
  </si>
  <si>
    <t>BANCO VOLVO BRASIL S.A.</t>
  </si>
  <si>
    <t>BANCO BRADESCO S.A.</t>
  </si>
  <si>
    <t>BANCO BRADESCO FINANC. S.A.</t>
  </si>
  <si>
    <t>BANCO ITAUCARD S.A.</t>
  </si>
  <si>
    <t>BCO. J.SAFRA S.A.</t>
  </si>
  <si>
    <t>BANCO SANTANDER (BRASIL) S.A.</t>
  </si>
  <si>
    <t>SINOSSERRA S/A - SCFI</t>
  </si>
  <si>
    <t>BANCO DO BRASIL S.A.</t>
  </si>
  <si>
    <t>AMAGGI S.A. CFI</t>
  </si>
  <si>
    <t>PORTOSEG S.A. CFI</t>
  </si>
  <si>
    <t>ITA UNIBANCO BM S.A.</t>
  </si>
  <si>
    <t>BV FINANCEIRA S.A. CFI</t>
  </si>
  <si>
    <t>BANCO HONDA S.A.</t>
  </si>
  <si>
    <t>AYMOR CFI S.A.</t>
  </si>
  <si>
    <t>BANCO MONEO S.A.</t>
  </si>
  <si>
    <t>CAIXA ECONOMICA FEDERAL</t>
  </si>
  <si>
    <t>BANCO YAMAHA MOTOR S.A.</t>
  </si>
  <si>
    <t>MERCANTIL BRASIL FIN S.A. CFI</t>
  </si>
  <si>
    <t>BANCO PAN</t>
  </si>
  <si>
    <t>BANCO A.J. RENNER S.A.</t>
  </si>
  <si>
    <t>FINAMAX S.A. CFI</t>
  </si>
  <si>
    <t>BANCO DAYCOVAL S.A</t>
  </si>
  <si>
    <t>SANTANA S.A. - CFI</t>
  </si>
  <si>
    <t>PORTOCRED S.A. - CFI</t>
  </si>
  <si>
    <t>OMNI SA CFI</t>
  </si>
  <si>
    <t>DACASA FINANCEIRA S/A - SCFI</t>
  </si>
  <si>
    <t>Juros A.M</t>
  </si>
  <si>
    <t>Juros A.A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</si>
</sst>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rgb="FF000000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">
    <xf numFmtId="0" fontId="0" fillId="0" borderId="0" xfId="0"/>
    <xf numFmtId="0" fontId="2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0" fillId="0" borderId="0" xfId="0" applyFont="1"/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0" fontId="0" fillId="0" borderId="0" xfId="1" applyNumberFormat="1" applyFont="1" applyAlignment="1">
      <alignment horizontal="center" vertical="center"/>
    </xf>
  </cellXfs>
  <cellStyles count="2">
    <cellStyle name="Normal" xfId="0" builtinId="0"/>
    <cellStyle name="Porcentagem" xfId="1" builtinId="5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numFmt numFmtId="14" formatCode="0.00%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1</xdr:row>
          <xdr:rowOff>57150</xdr:rowOff>
        </xdr:from>
        <xdr:to>
          <xdr:col>3</xdr:col>
          <xdr:colOff>561975</xdr:colOff>
          <xdr:row>4</xdr:row>
          <xdr:rowOff>28575</xdr:rowOff>
        </xdr:to>
        <xdr:sp macro="" textlink="">
          <xdr:nvSpPr>
            <xdr:cNvPr id="1027" name="Botão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Iniciar Simulador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4C9BED-91B1-4622-8F4B-36FAB24EB007}" name="tbMontadoras" displayName="tbMontadoras" ref="A3:C40" headerRowDxfId="7" totalsRowDxfId="6">
  <sortState ref="A4:C39">
    <sortCondition ref="B3:B39"/>
  </sortState>
  <tableColumns count="3">
    <tableColumn id="2" xr3:uid="{E924D165-F24A-41E5-AB83-4C1C913DE53B}" name="Instituição" dataDxfId="5" totalsRowDxfId="4"/>
    <tableColumn id="3" xr3:uid="{72C6884D-C5A0-4242-A45A-4EE4DBBE61C6}" name="Juros A.M" totalsRowFunction="average" dataDxfId="3" totalsRowDxfId="2" dataCellStyle="Porcentagem"/>
    <tableColumn id="4" xr3:uid="{FFB0C86A-F1A7-4E7A-8973-0C6879C19340}" name="Juros A.A" totalsRowFunction="average" dataDxfId="1" totalsRowDxfId="0" dataCellStyle="Porcentagem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05E7F-5B6F-4107-A405-95B0C6DBB79C}">
  <sheetPr codeName="wsSimulation"/>
  <dimension ref="A1"/>
  <sheetViews>
    <sheetView showGridLines="0" tabSelected="1" zoomScaleNormal="100" workbookViewId="0"/>
  </sheetViews>
  <sheetFormatPr defaultRowHeight="15" x14ac:dyDescent="0.25"/>
  <cols>
    <col min="1" max="16384" width="9.140625" style="3"/>
  </cols>
  <sheetData/>
  <sheetProtection selectLockedCells="1" selectUnlockedCells="1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otão 3">
              <controlPr defaultSize="0" print="0" autoFill="0" autoPict="0" macro="[0]!CallForm">
                <anchor moveWithCells="1">
                  <from>
                    <xdr:col>0</xdr:col>
                    <xdr:colOff>361950</xdr:colOff>
                    <xdr:row>1</xdr:row>
                    <xdr:rowOff>57150</xdr:rowOff>
                  </from>
                  <to>
                    <xdr:col>3</xdr:col>
                    <xdr:colOff>561975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0ACAC-3C2A-4763-8902-4408B694A4FD}">
  <sheetPr codeName="sTabelas"/>
  <dimension ref="A1:C40"/>
  <sheetViews>
    <sheetView showGridLines="0" topLeftCell="A3" workbookViewId="0">
      <selection activeCell="A4" sqref="A4"/>
    </sheetView>
  </sheetViews>
  <sheetFormatPr defaultRowHeight="15" x14ac:dyDescent="0.25"/>
  <cols>
    <col min="1" max="1" width="34.42578125" bestFit="1" customWidth="1"/>
    <col min="2" max="2" width="20.42578125" bestFit="1" customWidth="1"/>
    <col min="3" max="3" width="20" bestFit="1" customWidth="1"/>
    <col min="4" max="4" width="15.42578125" bestFit="1" customWidth="1"/>
  </cols>
  <sheetData>
    <row r="1" spans="1:3" ht="18.75" x14ac:dyDescent="0.25">
      <c r="A1" s="2" t="s">
        <v>1</v>
      </c>
      <c r="B1" s="1"/>
      <c r="C1" s="1"/>
    </row>
    <row r="3" spans="1:3" x14ac:dyDescent="0.25">
      <c r="A3" s="4" t="s">
        <v>0</v>
      </c>
      <c r="B3" s="4" t="s">
        <v>38</v>
      </c>
      <c r="C3" s="4" t="s">
        <v>39</v>
      </c>
    </row>
    <row r="4" spans="1:3" x14ac:dyDescent="0.25">
      <c r="A4" s="5" t="str">
        <f>"TAXA " &amp; (tbMontadoras[[#This Row],[Juros A.M]]*100) &amp; "% A.M"</f>
        <v>TAXA 1,5% A.M</v>
      </c>
      <c r="B4" s="6">
        <v>1.4999999999999999E-2</v>
      </c>
      <c r="C4" s="6">
        <f>tbMontadoras[Juros A.M]*12</f>
        <v>0.18</v>
      </c>
    </row>
    <row r="5" spans="1:3" x14ac:dyDescent="0.25">
      <c r="A5" s="5" t="s">
        <v>2</v>
      </c>
      <c r="B5" s="6">
        <v>4.7000000000000002E-3</v>
      </c>
      <c r="C5" s="6">
        <f>tbMontadoras[Juros A.M]*12</f>
        <v>5.6400000000000006E-2</v>
      </c>
    </row>
    <row r="6" spans="1:3" x14ac:dyDescent="0.25">
      <c r="A6" s="5" t="s">
        <v>3</v>
      </c>
      <c r="B6" s="6">
        <v>7.9000000000000008E-3</v>
      </c>
      <c r="C6" s="6">
        <f>tbMontadoras[Juros A.M]*12</f>
        <v>9.4800000000000009E-2</v>
      </c>
    </row>
    <row r="7" spans="1:3" x14ac:dyDescent="0.25">
      <c r="A7" s="5" t="s">
        <v>4</v>
      </c>
      <c r="B7" s="6">
        <v>8.6E-3</v>
      </c>
      <c r="C7" s="6">
        <f>tbMontadoras[Juros A.M]*12</f>
        <v>0.1032</v>
      </c>
    </row>
    <row r="8" spans="1:3" x14ac:dyDescent="0.25">
      <c r="A8" s="5" t="s">
        <v>5</v>
      </c>
      <c r="B8" s="6">
        <v>9.5999999999999992E-3</v>
      </c>
      <c r="C8" s="6">
        <f>tbMontadoras[Juros A.M]*12</f>
        <v>0.1152</v>
      </c>
    </row>
    <row r="9" spans="1:3" x14ac:dyDescent="0.25">
      <c r="A9" s="5" t="s">
        <v>6</v>
      </c>
      <c r="B9" s="6">
        <v>0.01</v>
      </c>
      <c r="C9" s="6">
        <f>tbMontadoras[Juros A.M]*12</f>
        <v>0.12</v>
      </c>
    </row>
    <row r="10" spans="1:3" x14ac:dyDescent="0.25">
      <c r="A10" s="5" t="s">
        <v>7</v>
      </c>
      <c r="B10" s="6">
        <v>1.0500000000000001E-2</v>
      </c>
      <c r="C10" s="6">
        <f>tbMontadoras[Juros A.M]*12</f>
        <v>0.126</v>
      </c>
    </row>
    <row r="11" spans="1:3" x14ac:dyDescent="0.25">
      <c r="A11" s="5" t="s">
        <v>8</v>
      </c>
      <c r="B11" s="6">
        <v>1.2E-2</v>
      </c>
      <c r="C11" s="6">
        <f>tbMontadoras[Juros A.M]*12</f>
        <v>0.14400000000000002</v>
      </c>
    </row>
    <row r="12" spans="1:3" x14ac:dyDescent="0.25">
      <c r="A12" s="5" t="s">
        <v>9</v>
      </c>
      <c r="B12" s="6">
        <v>1.23E-2</v>
      </c>
      <c r="C12" s="6">
        <f>tbMontadoras[Juros A.M]*12</f>
        <v>0.14760000000000001</v>
      </c>
    </row>
    <row r="13" spans="1:3" x14ac:dyDescent="0.25">
      <c r="A13" s="5" t="s">
        <v>10</v>
      </c>
      <c r="B13" s="6">
        <v>1.29E-2</v>
      </c>
      <c r="C13" s="6">
        <f>tbMontadoras[Juros A.M]*12</f>
        <v>0.15479999999999999</v>
      </c>
    </row>
    <row r="14" spans="1:3" x14ac:dyDescent="0.25">
      <c r="A14" s="5" t="s">
        <v>11</v>
      </c>
      <c r="B14" s="6">
        <v>1.32E-2</v>
      </c>
      <c r="C14" s="6">
        <f>tbMontadoras[Juros A.M]*12</f>
        <v>0.15839999999999999</v>
      </c>
    </row>
    <row r="15" spans="1:3" x14ac:dyDescent="0.25">
      <c r="A15" s="5" t="s">
        <v>12</v>
      </c>
      <c r="B15" s="6">
        <v>1.3599999999999999E-2</v>
      </c>
      <c r="C15" s="6">
        <f>tbMontadoras[Juros A.M]*12</f>
        <v>0.16319999999999998</v>
      </c>
    </row>
    <row r="16" spans="1:3" x14ac:dyDescent="0.25">
      <c r="A16" s="5" t="s">
        <v>13</v>
      </c>
      <c r="B16" s="6">
        <v>1.43E-2</v>
      </c>
      <c r="C16" s="6">
        <f>tbMontadoras[Juros A.M]*12</f>
        <v>0.1716</v>
      </c>
    </row>
    <row r="17" spans="1:3" x14ac:dyDescent="0.25">
      <c r="A17" s="5" t="s">
        <v>14</v>
      </c>
      <c r="B17" s="6">
        <v>1.46E-2</v>
      </c>
      <c r="C17" s="6">
        <f>tbMontadoras[Juros A.M]*12</f>
        <v>0.17519999999999999</v>
      </c>
    </row>
    <row r="18" spans="1:3" x14ac:dyDescent="0.25">
      <c r="A18" s="5" t="s">
        <v>15</v>
      </c>
      <c r="B18" s="6">
        <v>1.52E-2</v>
      </c>
      <c r="C18" s="6">
        <f>tbMontadoras[Juros A.M]*12</f>
        <v>0.18240000000000001</v>
      </c>
    </row>
    <row r="19" spans="1:3" x14ac:dyDescent="0.25">
      <c r="A19" s="5" t="s">
        <v>16</v>
      </c>
      <c r="B19" s="6">
        <v>1.54E-2</v>
      </c>
      <c r="C19" s="6">
        <f>tbMontadoras[Juros A.M]*12</f>
        <v>0.18480000000000002</v>
      </c>
    </row>
    <row r="20" spans="1:3" x14ac:dyDescent="0.25">
      <c r="A20" s="5" t="s">
        <v>17</v>
      </c>
      <c r="B20" s="6">
        <v>1.55E-2</v>
      </c>
      <c r="C20" s="6">
        <f>tbMontadoras[Juros A.M]*12</f>
        <v>0.186</v>
      </c>
    </row>
    <row r="21" spans="1:3" x14ac:dyDescent="0.25">
      <c r="A21" s="5" t="s">
        <v>18</v>
      </c>
      <c r="B21" s="6">
        <v>1.5699999999999999E-2</v>
      </c>
      <c r="C21" s="6">
        <f>tbMontadoras[Juros A.M]*12</f>
        <v>0.18839999999999998</v>
      </c>
    </row>
    <row r="22" spans="1:3" x14ac:dyDescent="0.25">
      <c r="A22" s="5" t="s">
        <v>19</v>
      </c>
      <c r="B22" s="6">
        <v>1.6199999999999999E-2</v>
      </c>
      <c r="C22" s="6">
        <f>tbMontadoras[Juros A.M]*12</f>
        <v>0.19439999999999999</v>
      </c>
    </row>
    <row r="23" spans="1:3" x14ac:dyDescent="0.25">
      <c r="A23" s="5" t="s">
        <v>20</v>
      </c>
      <c r="B23" s="6">
        <v>1.6500000000000001E-2</v>
      </c>
      <c r="C23" s="6">
        <f>tbMontadoras[Juros A.M]*12</f>
        <v>0.19800000000000001</v>
      </c>
    </row>
    <row r="24" spans="1:3" x14ac:dyDescent="0.25">
      <c r="A24" s="5" t="s">
        <v>21</v>
      </c>
      <c r="B24" s="6">
        <v>1.66E-2</v>
      </c>
      <c r="C24" s="6">
        <f>tbMontadoras[Juros A.M]*12</f>
        <v>0.19919999999999999</v>
      </c>
    </row>
    <row r="25" spans="1:3" x14ac:dyDescent="0.25">
      <c r="A25" s="5" t="s">
        <v>22</v>
      </c>
      <c r="B25" s="6">
        <v>1.7100000000000001E-2</v>
      </c>
      <c r="C25" s="6">
        <f>tbMontadoras[Juros A.M]*12</f>
        <v>0.20519999999999999</v>
      </c>
    </row>
    <row r="26" spans="1:3" x14ac:dyDescent="0.25">
      <c r="A26" s="5" t="s">
        <v>23</v>
      </c>
      <c r="B26" s="6">
        <v>1.72E-2</v>
      </c>
      <c r="C26" s="6">
        <f>tbMontadoras[Juros A.M]*12</f>
        <v>0.2064</v>
      </c>
    </row>
    <row r="27" spans="1:3" x14ac:dyDescent="0.25">
      <c r="A27" s="5" t="s">
        <v>24</v>
      </c>
      <c r="B27" s="6">
        <v>1.7399999999999999E-2</v>
      </c>
      <c r="C27" s="6">
        <f>tbMontadoras[Juros A.M]*12</f>
        <v>0.20879999999999999</v>
      </c>
    </row>
    <row r="28" spans="1:3" x14ac:dyDescent="0.25">
      <c r="A28" s="5" t="s">
        <v>25</v>
      </c>
      <c r="B28" s="6">
        <v>1.78E-2</v>
      </c>
      <c r="C28" s="6">
        <f>tbMontadoras[Juros A.M]*12</f>
        <v>0.21360000000000001</v>
      </c>
    </row>
    <row r="29" spans="1:3" x14ac:dyDescent="0.25">
      <c r="A29" s="5" t="s">
        <v>26</v>
      </c>
      <c r="B29" s="6">
        <v>0.02</v>
      </c>
      <c r="C29" s="6">
        <f>tbMontadoras[Juros A.M]*12</f>
        <v>0.24</v>
      </c>
    </row>
    <row r="30" spans="1:3" x14ac:dyDescent="0.25">
      <c r="A30" s="5" t="s">
        <v>27</v>
      </c>
      <c r="B30" s="6">
        <v>2.0199999999999999E-2</v>
      </c>
      <c r="C30" s="6">
        <f>tbMontadoras[Juros A.M]*12</f>
        <v>0.2424</v>
      </c>
    </row>
    <row r="31" spans="1:3" x14ac:dyDescent="0.25">
      <c r="A31" s="5" t="s">
        <v>28</v>
      </c>
      <c r="B31" s="6">
        <v>2.1000000000000001E-2</v>
      </c>
      <c r="C31" s="6">
        <f>tbMontadoras[Juros A.M]*12</f>
        <v>0.252</v>
      </c>
    </row>
    <row r="32" spans="1:3" x14ac:dyDescent="0.25">
      <c r="A32" s="5" t="s">
        <v>29</v>
      </c>
      <c r="B32" s="6">
        <v>2.1399999999999999E-2</v>
      </c>
      <c r="C32" s="6">
        <f>tbMontadoras[Juros A.M]*12</f>
        <v>0.25679999999999997</v>
      </c>
    </row>
    <row r="33" spans="1:3" x14ac:dyDescent="0.25">
      <c r="A33" s="5" t="s">
        <v>30</v>
      </c>
      <c r="B33" s="6">
        <v>2.2599999999999999E-2</v>
      </c>
      <c r="C33" s="6">
        <f>tbMontadoras[Juros A.M]*12</f>
        <v>0.2712</v>
      </c>
    </row>
    <row r="34" spans="1:3" x14ac:dyDescent="0.25">
      <c r="A34" s="5" t="s">
        <v>31</v>
      </c>
      <c r="B34" s="6">
        <v>2.3599999999999999E-2</v>
      </c>
      <c r="C34" s="6">
        <f>tbMontadoras[Juros A.M]*12</f>
        <v>0.28320000000000001</v>
      </c>
    </row>
    <row r="35" spans="1:3" x14ac:dyDescent="0.25">
      <c r="A35" s="5" t="s">
        <v>32</v>
      </c>
      <c r="B35" s="6">
        <v>2.52E-2</v>
      </c>
      <c r="C35" s="6">
        <f>tbMontadoras[Juros A.M]*12</f>
        <v>0.3024</v>
      </c>
    </row>
    <row r="36" spans="1:3" x14ac:dyDescent="0.25">
      <c r="A36" s="5" t="s">
        <v>33</v>
      </c>
      <c r="B36" s="6">
        <v>2.7099999999999999E-2</v>
      </c>
      <c r="C36" s="6">
        <f>tbMontadoras[Juros A.M]*12</f>
        <v>0.32519999999999999</v>
      </c>
    </row>
    <row r="37" spans="1:3" x14ac:dyDescent="0.25">
      <c r="A37" s="5" t="s">
        <v>34</v>
      </c>
      <c r="B37" s="6">
        <v>2.9899999999999999E-2</v>
      </c>
      <c r="C37" s="6">
        <f>tbMontadoras[Juros A.M]*12</f>
        <v>0.35880000000000001</v>
      </c>
    </row>
    <row r="38" spans="1:3" x14ac:dyDescent="0.25">
      <c r="A38" s="5" t="s">
        <v>35</v>
      </c>
      <c r="B38" s="6">
        <v>3.5999999999999997E-2</v>
      </c>
      <c r="C38" s="6">
        <f>tbMontadoras[Juros A.M]*12</f>
        <v>0.43199999999999994</v>
      </c>
    </row>
    <row r="39" spans="1:3" x14ac:dyDescent="0.25">
      <c r="A39" s="5" t="s">
        <v>36</v>
      </c>
      <c r="B39" s="6">
        <v>3.9300000000000002E-2</v>
      </c>
      <c r="C39" s="6">
        <f>tbMontadoras[Juros A.M]*12</f>
        <v>0.47160000000000002</v>
      </c>
    </row>
    <row r="40" spans="1:3" x14ac:dyDescent="0.25">
      <c r="A40" s="5" t="s">
        <v>37</v>
      </c>
      <c r="B40" s="6">
        <v>4.0800000000000003E-2</v>
      </c>
      <c r="C40" s="6">
        <f>tbMontadoras[Juros A.M]*12</f>
        <v>0.48960000000000004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57CC535-0C14-41FB-A795-E29D3FE1641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tbSimulação</vt:lpstr>
      <vt:lpstr>tbJuros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Ivanildo Junior</dc:creator>
  <cp:lastModifiedBy>Ivanildo Junior</cp:lastModifiedBy>
  <dcterms:created xsi:type="dcterms:W3CDTF">2018-01-04T01:43:13Z</dcterms:created>
  <dcterms:modified xsi:type="dcterms:W3CDTF">2018-06-21T00:53:34Z</dcterms:modified>
</cp:coreProperties>
</file>